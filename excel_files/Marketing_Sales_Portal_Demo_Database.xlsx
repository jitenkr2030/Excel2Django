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Leads" sheetId="5" state="visible" r:id="rId5"/>
    <sheet xmlns:r="http://schemas.openxmlformats.org/officeDocument/2006/relationships" name="Campaigns" sheetId="6" state="visible" r:id="rId6"/>
    <sheet xmlns:r="http://schemas.openxmlformats.org/officeDocument/2006/relationships" name="Sales Deals" sheetId="7" state="visible" r:id="rId7"/>
    <sheet xmlns:r="http://schemas.openxmlformats.org/officeDocument/2006/relationships" name="Follow Ups" sheetId="8" state="visible" r:id="rId8"/>
    <sheet xmlns:r="http://schemas.openxmlformats.org/officeDocument/2006/relationships" name="Proposals" sheetId="9" state="visible" r:id="rId9"/>
    <sheet xmlns:r="http://schemas.openxmlformats.org/officeDocument/2006/relationships" name="Social Content" sheetId="10" state="visible" r:id="rId10"/>
    <sheet xmlns:r="http://schemas.openxmlformats.org/officeDocument/2006/relationships" name="Tasks" sheetId="11" state="visible" r:id="rId11"/>
    <sheet xmlns:r="http://schemas.openxmlformats.org/officeDocument/2006/relationships" name="Invoices" sheetId="12" state="visible" r:id="rId12"/>
    <sheet xmlns:r="http://schemas.openxmlformats.org/officeDocument/2006/relationships" name="Payments" sheetId="13" state="visible" r:id="rId13"/>
    <sheet xmlns:r="http://schemas.openxmlformats.org/officeDocument/2006/relationships" name="WhatsApp CRM" sheetId="14" state="visible" r:id="rId14"/>
    <sheet xmlns:r="http://schemas.openxmlformats.org/officeDocument/2006/relationships" name="AI Suggestions" sheetId="15" state="visible" r:id="rId15"/>
    <sheet xmlns:r="http://schemas.openxmlformats.org/officeDocument/2006/relationships" name="Marketing Dashboard" sheetId="16" state="visible" r:id="rId16"/>
  </sheets>
  <definedNames>
    <definedName name="_xlnm._FilterDatabase" localSheetId="1" hidden="1">'Clients'!$A$1:$M$9</definedName>
    <definedName name="_xlnm._FilterDatabase" localSheetId="2" hidden="1">'Employees'!$A$1:$K$7</definedName>
    <definedName name="_xlnm._FilterDatabase" localSheetId="3" hidden="1">'Services'!$A$1:$G$13</definedName>
    <definedName name="_xlnm._FilterDatabase" localSheetId="4" hidden="1">'Leads'!$A$1:$N$41</definedName>
    <definedName name="_xlnm._FilterDatabase" localSheetId="5" hidden="1">'Campaigns'!$A$1:$S$9</definedName>
    <definedName name="_xlnm._FilterDatabase" localSheetId="6" hidden="1">'Sales Deals'!$A$1:$K$26</definedName>
    <definedName name="_xlnm._FilterDatabase" localSheetId="7" hidden="1">'Follow Ups'!$A$1:$H$31</definedName>
    <definedName name="_xlnm._FilterDatabase" localSheetId="8" hidden="1">'Proposals'!$A$1:$K$16</definedName>
    <definedName name="_xlnm._FilterDatabase" localSheetId="9" hidden="1">'Social Content'!$A$1:$N$31</definedName>
    <definedName name="_xlnm._FilterDatabase" localSheetId="10" hidden="1">'Tasks'!$A$1:$J$41</definedName>
    <definedName name="_xlnm._FilterDatabase" localSheetId="11" hidden="1">'Invoices'!$A$1:$L$9</definedName>
    <definedName name="_xlnm._FilterDatabase" localSheetId="12" hidden="1">'Payments'!$A$1:$I$6</definedName>
    <definedName name="_xlnm._FilterDatabase" localSheetId="13" hidden="1">'WhatsApp CRM'!$A$1:$I$21</definedName>
    <definedName name="_xlnm._FilterDatabase" localSheetId="14" hidden="1">'AI Suggestions'!$A$1:$J$4</definedName>
    <definedName name="_xlnm._FilterDatabase" localSheetId="15" hidden="1">'Marketing Dashboard'!$A$1:$D$7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'Marketing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 Dashboard'!$A$2:$A$7</f>
            </numRef>
          </cat>
          <val>
            <numRef>
              <f>'Marketing Dashboard'!$B$2:$B$7</f>
            </numRef>
          </val>
        </ser>
        <ser>
          <idx val="1"/>
          <order val="1"/>
          <tx>
            <strRef>
              <f>'Marketing Dashboard'!C1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 Dashboard'!$A$2:$A$7</f>
            </numRef>
          </cat>
          <val>
            <numRef>
              <f>'Marketing Dashboard'!$C$2:$C$7</f>
            </numRef>
          </val>
        </ser>
        <ser>
          <idx val="2"/>
          <order val="2"/>
          <tx>
            <strRef>
              <f>'Marketing Dashboard'!D1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 Dashboard'!$A$2:$A$7</f>
            </numRef>
          </cat>
          <val>
            <numRef>
              <f>'Marketing Dashboard'!$D$2:$D$7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Marketing &amp; Sales Portal — Demo Dashboard</t>
        </is>
      </c>
    </row>
    <row r="3">
      <c r="A3" s="2" t="inlineStr">
        <is>
          <t>Total Clients</t>
        </is>
      </c>
      <c r="B3" s="2">
        <f>COUNTA(Clients!A2:A1000)</f>
        <v/>
      </c>
    </row>
    <row r="4">
      <c r="A4" s="2" t="inlineStr">
        <is>
          <t>Active Clients</t>
        </is>
      </c>
      <c r="B4" s="2">
        <f>COUNTIF(Clients!H2:H1000,"Active")</f>
        <v/>
      </c>
    </row>
    <row r="5">
      <c r="A5" s="2" t="inlineStr">
        <is>
          <t>Total Leads</t>
        </is>
      </c>
      <c r="B5" s="2">
        <f>COUNTA(Leads!A2:A1000)</f>
        <v/>
      </c>
    </row>
    <row r="6">
      <c r="A6" s="2" t="inlineStr">
        <is>
          <t>Won Leads</t>
        </is>
      </c>
      <c r="B6" s="2">
        <f>COUNTIF(Leads!H2:H1000,"Won")</f>
        <v/>
      </c>
    </row>
    <row r="7">
      <c r="A7" s="2" t="inlineStr">
        <is>
          <t>Open Deals</t>
        </is>
      </c>
      <c r="B7" s="2">
        <f>COUNTIF('Sales Deals'!I2:I1000,"&lt;&gt;Won")-COUNTIF('Sales Deals'!I2:I1000,"Lost")</f>
        <v/>
      </c>
    </row>
    <row r="8">
      <c r="A8" s="2" t="inlineStr">
        <is>
          <t>Pipeline Value</t>
        </is>
      </c>
      <c r="B8" s="2">
        <f>SUM('Sales Deals'!F2:F1000)</f>
        <v/>
      </c>
    </row>
    <row r="9">
      <c r="A9" s="2" t="inlineStr">
        <is>
          <t>Weighted Pipeline</t>
        </is>
      </c>
      <c r="B9" s="2">
        <f>SUM('Sales Deals'!H2:H1000)</f>
        <v/>
      </c>
    </row>
    <row r="10">
      <c r="A10" s="2" t="inlineStr">
        <is>
          <t>Campaign Spend</t>
        </is>
      </c>
      <c r="B10" s="2">
        <f>SUM(Campaigns!H2:H1000)</f>
        <v/>
      </c>
    </row>
    <row r="11">
      <c r="A11" s="2" t="inlineStr">
        <is>
          <t>Campaign Revenue</t>
        </is>
      </c>
      <c r="B11" s="2">
        <f>SUM(Campaigns!R2:R1000)</f>
        <v/>
      </c>
    </row>
    <row r="12">
      <c r="A12" s="2" t="inlineStr">
        <is>
          <t>Campaign ROAS</t>
        </is>
      </c>
      <c r="B12" s="2">
        <f>IFERROR(B10/B9,0)</f>
        <v/>
      </c>
    </row>
    <row r="13">
      <c r="A13" s="2" t="inlineStr">
        <is>
          <t>Pending/Overdue Payments</t>
        </is>
      </c>
      <c r="B13" s="2">
        <f>SUMIF(Invoices!K2:K1000,"Pending",Invoices!I2:I1000)+SUMIF(Invoices!K2:K1000,"Overdue",Invoices!I2:I1000)</f>
        <v/>
      </c>
    </row>
    <row r="14">
      <c r="A14" s="2" t="inlineStr">
        <is>
          <t>Tasks Due Today</t>
        </is>
      </c>
      <c r="B14" s="2">
        <f>COUNTIFS(Tasks!H2:H1000,TODAY(),Tasks!I2:I1000,"&lt;&gt;Completed")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9" customWidth="1" min="3" max="3"/>
    <col width="17" customWidth="1" min="4" max="4"/>
    <col width="16" customWidth="1" min="5" max="5"/>
    <col width="24" customWidth="1" min="6" max="6"/>
    <col width="11" customWidth="1" min="7" max="7"/>
    <col width="11" customWidth="1" min="8" max="8"/>
    <col width="18" customWidth="1" min="9" max="9"/>
    <col width="16" customWidth="1" min="10" max="10"/>
    <col width="14" customWidth="1" min="11" max="11"/>
    <col width="34" customWidth="1" min="12" max="12"/>
    <col width="26" customWidth="1" min="13" max="13"/>
  </cols>
  <sheetData>
    <row r="1">
      <c r="A1" s="3" t="inlineStr">
        <is>
          <t>Client ID</t>
        </is>
      </c>
      <c r="B1" s="3" t="inlineStr">
        <is>
          <t>Company</t>
        </is>
      </c>
      <c r="C1" s="3" t="inlineStr">
        <is>
          <t>Industry</t>
        </is>
      </c>
      <c r="D1" s="3" t="inlineStr">
        <is>
          <t>Contact Person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City</t>
        </is>
      </c>
      <c r="H1" s="3" t="inlineStr">
        <is>
          <t>Status</t>
        </is>
      </c>
      <c r="I1" s="3" t="inlineStr">
        <is>
          <t>Monthly Retainer</t>
        </is>
      </c>
      <c r="J1" s="3" t="inlineStr">
        <is>
          <t>Contract Start</t>
        </is>
      </c>
      <c r="K1" s="3" t="inlineStr">
        <is>
          <t>Contract End</t>
        </is>
      </c>
      <c r="L1" s="3" t="inlineStr">
        <is>
          <t>Services</t>
        </is>
      </c>
      <c r="M1" s="3" t="inlineStr">
        <is>
          <t>Notes</t>
        </is>
      </c>
    </row>
    <row r="2">
      <c r="A2" t="n">
        <v>1</v>
      </c>
      <c r="B2" t="inlineStr">
        <is>
          <t>ABC Dental Clinic</t>
        </is>
      </c>
      <c r="C2" t="inlineStr">
        <is>
          <t>Healthcare</t>
        </is>
      </c>
      <c r="D2" t="inlineStr">
        <is>
          <t>Dr. Amit Sharma</t>
        </is>
      </c>
      <c r="E2" t="inlineStr">
        <is>
          <t>+91-9876500011</t>
        </is>
      </c>
      <c r="F2" t="inlineStr">
        <is>
          <t>amit@abcdental.in</t>
        </is>
      </c>
      <c r="G2" t="inlineStr">
        <is>
          <t>Delhi</t>
        </is>
      </c>
      <c r="H2" t="inlineStr">
        <is>
          <t>Active</t>
        </is>
      </c>
      <c r="I2" t="n">
        <v>35000</v>
      </c>
      <c r="J2" t="inlineStr">
        <is>
          <t>2026-01-01</t>
        </is>
      </c>
      <c r="K2" t="inlineStr">
        <is>
          <t>2026-12-31</t>
        </is>
      </c>
      <c r="L2" t="inlineStr">
        <is>
          <t>SEO, Google Ads, Meta Ads</t>
        </is>
      </c>
      <c r="M2" t="inlineStr">
        <is>
          <t>High-value client</t>
        </is>
      </c>
    </row>
    <row r="3">
      <c r="A3" t="n">
        <v>2</v>
      </c>
      <c r="B3" t="inlineStr">
        <is>
          <t>Urban Fitness Studio</t>
        </is>
      </c>
      <c r="C3" t="inlineStr">
        <is>
          <t>Fitness</t>
        </is>
      </c>
      <c r="D3" t="inlineStr">
        <is>
          <t>Rahul Verma</t>
        </is>
      </c>
      <c r="E3" t="inlineStr">
        <is>
          <t>+91-9876500012</t>
        </is>
      </c>
      <c r="F3" t="inlineStr">
        <is>
          <t>rahul@urbanfitness.in</t>
        </is>
      </c>
      <c r="G3" t="inlineStr">
        <is>
          <t>Gurugram</t>
        </is>
      </c>
      <c r="H3" t="inlineStr">
        <is>
          <t>Active</t>
        </is>
      </c>
      <c r="I3" t="n">
        <v>28000</v>
      </c>
      <c r="J3" t="inlineStr">
        <is>
          <t>2026-03-01</t>
        </is>
      </c>
      <c r="K3" t="inlineStr">
        <is>
          <t>2027-02-28</t>
        </is>
      </c>
      <c r="L3" t="inlineStr">
        <is>
          <t>Meta Ads, Social Media, Video/Reels</t>
        </is>
      </c>
      <c r="M3" t="inlineStr">
        <is>
          <t>Strong Instagram growth</t>
        </is>
      </c>
    </row>
    <row r="4">
      <c r="A4" t="n">
        <v>3</v>
      </c>
      <c r="B4" t="inlineStr">
        <is>
          <t>Shree Home Decor</t>
        </is>
      </c>
      <c r="C4" t="inlineStr">
        <is>
          <t>Home &amp; Interior</t>
        </is>
      </c>
      <c r="D4" t="inlineStr">
        <is>
          <t>Neha Gupta</t>
        </is>
      </c>
      <c r="E4" t="inlineStr">
        <is>
          <t>+91-9876500013</t>
        </is>
      </c>
      <c r="F4" t="inlineStr">
        <is>
          <t>neha@shreehomedecor.in</t>
        </is>
      </c>
      <c r="G4" t="inlineStr">
        <is>
          <t>Noida</t>
        </is>
      </c>
      <c r="H4" t="inlineStr">
        <is>
          <t>Active</t>
        </is>
      </c>
      <c r="I4" t="n">
        <v>22000</v>
      </c>
      <c r="J4" t="inlineStr">
        <is>
          <t>2026-02-15</t>
        </is>
      </c>
      <c r="K4" t="inlineStr">
        <is>
          <t>2027-02-14</t>
        </is>
      </c>
      <c r="L4" t="inlineStr">
        <is>
          <t>Google Ads, SEO, Content Writing</t>
        </is>
      </c>
      <c r="M4" t="inlineStr">
        <is>
          <t>Lead generation focus</t>
        </is>
      </c>
    </row>
    <row r="5">
      <c r="A5" t="n">
        <v>4</v>
      </c>
      <c r="B5" t="inlineStr">
        <is>
          <t>TechNova Solutions</t>
        </is>
      </c>
      <c r="C5" t="inlineStr">
        <is>
          <t>IT Services</t>
        </is>
      </c>
      <c r="D5" t="inlineStr">
        <is>
          <t>Vikas Jain</t>
        </is>
      </c>
      <c r="E5" t="inlineStr">
        <is>
          <t>+91-9876500014</t>
        </is>
      </c>
      <c r="F5" t="inlineStr">
        <is>
          <t>vikas@technova.in</t>
        </is>
      </c>
      <c r="G5" t="inlineStr">
        <is>
          <t>Delhi</t>
        </is>
      </c>
      <c r="H5" t="inlineStr">
        <is>
          <t>Paused</t>
        </is>
      </c>
      <c r="I5" t="n">
        <v>18000</v>
      </c>
      <c r="J5" t="inlineStr">
        <is>
          <t>2026-01-15</t>
        </is>
      </c>
      <c r="K5" t="inlineStr">
        <is>
          <t>2026-07-14</t>
        </is>
      </c>
      <c r="L5" t="inlineStr">
        <is>
          <t>SEO, LinkedIn, Content Writing</t>
        </is>
      </c>
      <c r="M5" t="inlineStr">
        <is>
          <t>Budget review pending</t>
        </is>
      </c>
    </row>
    <row r="6">
      <c r="A6" t="n">
        <v>5</v>
      </c>
      <c r="B6" t="inlineStr">
        <is>
          <t>FreshBite Restaurant</t>
        </is>
      </c>
      <c r="C6" t="inlineStr">
        <is>
          <t>Food &amp; Restaurant</t>
        </is>
      </c>
      <c r="D6" t="inlineStr">
        <is>
          <t>Pooja Mehta</t>
        </is>
      </c>
      <c r="E6" t="inlineStr">
        <is>
          <t>+91-9876500015</t>
        </is>
      </c>
      <c r="F6" t="inlineStr">
        <is>
          <t>pooja@freshbite.in</t>
        </is>
      </c>
      <c r="G6" t="inlineStr">
        <is>
          <t>Gurugram</t>
        </is>
      </c>
      <c r="H6" t="inlineStr">
        <is>
          <t>Active</t>
        </is>
      </c>
      <c r="I6" t="n">
        <v>25000</v>
      </c>
      <c r="J6" t="inlineStr">
        <is>
          <t>2026-05-01</t>
        </is>
      </c>
      <c r="K6" t="inlineStr">
        <is>
          <t>2027-04-30</t>
        </is>
      </c>
      <c r="L6" t="inlineStr">
        <is>
          <t>Meta Ads, WhatsApp Marketing, Social Media</t>
        </is>
      </c>
      <c r="M6" t="inlineStr">
        <is>
          <t>High WhatsApp conversion</t>
        </is>
      </c>
    </row>
    <row r="7">
      <c r="A7" t="n">
        <v>6</v>
      </c>
      <c r="B7" t="inlineStr">
        <is>
          <t>Bright Kids Academy</t>
        </is>
      </c>
      <c r="C7" t="inlineStr">
        <is>
          <t>Education</t>
        </is>
      </c>
      <c r="D7" t="inlineStr">
        <is>
          <t>Sanjay Kumar</t>
        </is>
      </c>
      <c r="E7" t="inlineStr">
        <is>
          <t>+91-9876500016</t>
        </is>
      </c>
      <c r="F7" t="inlineStr">
        <is>
          <t>sanjay@brightkids.in</t>
        </is>
      </c>
      <c r="G7" t="inlineStr">
        <is>
          <t>Faridabad</t>
        </is>
      </c>
      <c r="H7" t="inlineStr">
        <is>
          <t>Lead</t>
        </is>
      </c>
      <c r="I7" t="n">
        <v>15000</v>
      </c>
      <c r="J7" t="inlineStr">
        <is>
          <t>2026-09-01</t>
        </is>
      </c>
      <c r="K7" t="inlineStr">
        <is>
          <t>2027-08-31</t>
        </is>
      </c>
      <c r="L7" t="inlineStr">
        <is>
          <t>Meta Ads, Local SEO</t>
        </is>
      </c>
      <c r="M7" t="inlineStr">
        <is>
          <t>Proposal sent</t>
        </is>
      </c>
    </row>
    <row r="8">
      <c r="A8" t="n">
        <v>7</v>
      </c>
      <c r="B8" t="inlineStr">
        <is>
          <t>Royal Auto Care</t>
        </is>
      </c>
      <c r="C8" t="inlineStr">
        <is>
          <t>Automotive</t>
        </is>
      </c>
      <c r="D8" t="inlineStr">
        <is>
          <t>Mohit Singh</t>
        </is>
      </c>
      <c r="E8" t="inlineStr">
        <is>
          <t>+91-9876500017</t>
        </is>
      </c>
      <c r="F8" t="inlineStr">
        <is>
          <t>mohit@royalauto.in</t>
        </is>
      </c>
      <c r="G8" t="inlineStr">
        <is>
          <t>Delhi</t>
        </is>
      </c>
      <c r="H8" t="inlineStr">
        <is>
          <t>Completed</t>
        </is>
      </c>
      <c r="I8" t="n">
        <v>20000</v>
      </c>
      <c r="J8" t="inlineStr">
        <is>
          <t>2025-08-01</t>
        </is>
      </c>
      <c r="K8" t="inlineStr">
        <is>
          <t>2026-07-31</t>
        </is>
      </c>
      <c r="L8" t="inlineStr">
        <is>
          <t>Google Ads, Local SEO</t>
        </is>
      </c>
      <c r="M8" t="inlineStr">
        <is>
          <t>Potential renewal</t>
        </is>
      </c>
    </row>
    <row r="9">
      <c r="A9" t="n">
        <v>8</v>
      </c>
      <c r="B9" t="inlineStr">
        <is>
          <t>GreenLeaf Interiors</t>
        </is>
      </c>
      <c r="C9" t="inlineStr">
        <is>
          <t>Interior Design</t>
        </is>
      </c>
      <c r="D9" t="inlineStr">
        <is>
          <t>Kavita Rao</t>
        </is>
      </c>
      <c r="E9" t="inlineStr">
        <is>
          <t>+91-9876500018</t>
        </is>
      </c>
      <c r="F9" t="inlineStr">
        <is>
          <t>kavita@greenleaf.in</t>
        </is>
      </c>
      <c r="G9" t="inlineStr">
        <is>
          <t>Noida</t>
        </is>
      </c>
      <c r="H9" t="inlineStr">
        <is>
          <t>Active</t>
        </is>
      </c>
      <c r="I9" t="n">
        <v>30000</v>
      </c>
      <c r="J9" t="inlineStr">
        <is>
          <t>2026-04-01</t>
        </is>
      </c>
      <c r="K9" t="inlineStr">
        <is>
          <t>2027-03-31</t>
        </is>
      </c>
      <c r="L9" t="inlineStr">
        <is>
          <t>Instagram, Website, SEO</t>
        </is>
      </c>
      <c r="M9" t="inlineStr">
        <is>
          <t>Needs more reels</t>
        </is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2" customWidth="1" min="4" max="4"/>
    <col width="20" customWidth="1" min="5" max="5"/>
    <col width="16" customWidth="1" min="6" max="6"/>
    <col width="8" customWidth="1" min="7" max="7"/>
    <col width="16" customWidth="1" min="8" max="8"/>
    <col width="15" customWidth="1" min="9" max="9"/>
    <col width="11" customWidth="1" min="10" max="10"/>
    <col width="11" customWidth="1" min="11" max="11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Department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Status</t>
        </is>
      </c>
      <c r="H1" s="3" t="inlineStr">
        <is>
          <t>Leads Assigned</t>
        </is>
      </c>
      <c r="I1" s="3" t="inlineStr">
        <is>
          <t>Sales Revenue</t>
        </is>
      </c>
      <c r="J1" s="3" t="inlineStr">
        <is>
          <t>Campaigns</t>
        </is>
      </c>
      <c r="K1" s="3" t="inlineStr">
        <is>
          <t>Deals Won</t>
        </is>
      </c>
    </row>
    <row r="2">
      <c r="A2" t="n">
        <v>1</v>
      </c>
      <c r="B2" t="inlineStr">
        <is>
          <t>Rahul Mehta</t>
        </is>
      </c>
      <c r="C2" t="inlineStr">
        <is>
          <t>Sales Manager</t>
        </is>
      </c>
      <c r="D2" t="inlineStr">
        <is>
          <t>Sales</t>
        </is>
      </c>
      <c r="E2" t="inlineStr">
        <is>
          <t>rahul@agency.demo</t>
        </is>
      </c>
      <c r="F2" t="inlineStr">
        <is>
          <t>+91-9811100011</t>
        </is>
      </c>
      <c r="G2" t="inlineStr">
        <is>
          <t>Active</t>
        </is>
      </c>
      <c r="H2" t="n">
        <v>12</v>
      </c>
      <c r="I2" t="n">
        <v>520000</v>
      </c>
      <c r="J2" t="n">
        <v>18</v>
      </c>
      <c r="K2" t="n">
        <v>7</v>
      </c>
    </row>
    <row r="3">
      <c r="A3" t="n">
        <v>2</v>
      </c>
      <c r="B3" t="inlineStr">
        <is>
          <t>Priya Sharma</t>
        </is>
      </c>
      <c r="C3" t="inlineStr">
        <is>
          <t>Sales Executive</t>
        </is>
      </c>
      <c r="D3" t="inlineStr">
        <is>
          <t>Sales</t>
        </is>
      </c>
      <c r="E3" t="inlineStr">
        <is>
          <t>priya@agency.demo</t>
        </is>
      </c>
      <c r="F3" t="inlineStr">
        <is>
          <t>+91-9811100012</t>
        </is>
      </c>
      <c r="G3" t="inlineStr">
        <is>
          <t>Active</t>
        </is>
      </c>
      <c r="H3" t="n">
        <v>18</v>
      </c>
      <c r="I3" t="n">
        <v>440000</v>
      </c>
      <c r="J3" t="n">
        <v>15</v>
      </c>
      <c r="K3" t="n">
        <v>9</v>
      </c>
    </row>
    <row r="4">
      <c r="A4" t="n">
        <v>3</v>
      </c>
      <c r="B4" t="inlineStr">
        <is>
          <t>Amit Kumar</t>
        </is>
      </c>
      <c r="C4" t="inlineStr">
        <is>
          <t>Telecaller</t>
        </is>
      </c>
      <c r="D4" t="inlineStr">
        <is>
          <t>Sales</t>
        </is>
      </c>
      <c r="E4" t="inlineStr">
        <is>
          <t>amit@agency.demo</t>
        </is>
      </c>
      <c r="F4" t="inlineStr">
        <is>
          <t>+91-9811100013</t>
        </is>
      </c>
      <c r="G4" t="inlineStr">
        <is>
          <t>Active</t>
        </is>
      </c>
      <c r="H4" t="n">
        <v>25</v>
      </c>
      <c r="I4" t="n">
        <v>310000</v>
      </c>
      <c r="J4" t="n">
        <v>12</v>
      </c>
      <c r="K4" t="n">
        <v>6</v>
      </c>
    </row>
    <row r="5">
      <c r="A5" t="n">
        <v>4</v>
      </c>
      <c r="B5" t="inlineStr">
        <is>
          <t>Neha Kapoor</t>
        </is>
      </c>
      <c r="C5" t="inlineStr">
        <is>
          <t>Marketing Manager</t>
        </is>
      </c>
      <c r="D5" t="inlineStr">
        <is>
          <t>Marketing</t>
        </is>
      </c>
      <c r="E5" t="inlineStr">
        <is>
          <t>neha@agency.demo</t>
        </is>
      </c>
      <c r="F5" t="inlineStr">
        <is>
          <t>+91-9811100014</t>
        </is>
      </c>
      <c r="G5" t="inlineStr">
        <is>
          <t>Active</t>
        </is>
      </c>
      <c r="H5" t="n">
        <v>8</v>
      </c>
      <c r="I5" t="n">
        <v>0</v>
      </c>
      <c r="J5" t="n">
        <v>10</v>
      </c>
      <c r="K5" t="n">
        <v>5</v>
      </c>
    </row>
    <row r="6">
      <c r="A6" t="n">
        <v>5</v>
      </c>
      <c r="B6" t="inlineStr">
        <is>
          <t>Rohan Singh</t>
        </is>
      </c>
      <c r="C6" t="inlineStr">
        <is>
          <t>Ads Manager</t>
        </is>
      </c>
      <c r="D6" t="inlineStr">
        <is>
          <t>Marketing</t>
        </is>
      </c>
      <c r="E6" t="inlineStr">
        <is>
          <t>rohan@agency.demo</t>
        </is>
      </c>
      <c r="F6" t="inlineStr">
        <is>
          <t>+91-9811100015</t>
        </is>
      </c>
      <c r="G6" t="inlineStr">
        <is>
          <t>Active</t>
        </is>
      </c>
      <c r="H6" t="n">
        <v>10</v>
      </c>
      <c r="I6" t="n">
        <v>0</v>
      </c>
      <c r="J6" t="n">
        <v>14</v>
      </c>
      <c r="K6" t="n">
        <v>8</v>
      </c>
    </row>
    <row r="7">
      <c r="A7" t="n">
        <v>6</v>
      </c>
      <c r="B7" t="inlineStr">
        <is>
          <t>Anjali Verma</t>
        </is>
      </c>
      <c r="C7" t="inlineStr">
        <is>
          <t>SEO Manager</t>
        </is>
      </c>
      <c r="D7" t="inlineStr">
        <is>
          <t>Marketing</t>
        </is>
      </c>
      <c r="E7" t="inlineStr">
        <is>
          <t>anjali@agency.demo</t>
        </is>
      </c>
      <c r="F7" t="inlineStr">
        <is>
          <t>+91-9811100016</t>
        </is>
      </c>
      <c r="G7" t="inlineStr">
        <is>
          <t>Active</t>
        </is>
      </c>
      <c r="H7" t="n">
        <v>9</v>
      </c>
      <c r="I7" t="n">
        <v>0</v>
      </c>
      <c r="J7" t="n">
        <v>11</v>
      </c>
      <c r="K7" t="n">
        <v>6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14" customWidth="1" min="4" max="4"/>
    <col width="7" customWidth="1" min="5" max="5"/>
    <col width="32" customWidth="1" min="6" max="6"/>
    <col width="18" customWidth="1" min="7" max="7"/>
  </cols>
  <sheetData>
    <row r="1">
      <c r="A1" s="3" t="inlineStr">
        <is>
          <t>Service ID</t>
        </is>
      </c>
      <c r="B1" s="3" t="inlineStr">
        <is>
          <t>Service Name</t>
        </is>
      </c>
      <c r="C1" s="3" t="inlineStr">
        <is>
          <t>Description</t>
        </is>
      </c>
      <c r="D1" s="3" t="inlineStr">
        <is>
          <t>Billing Type</t>
        </is>
      </c>
      <c r="E1" s="3" t="inlineStr">
        <is>
          <t>Price</t>
        </is>
      </c>
      <c r="F1" s="3" t="inlineStr">
        <is>
          <t>KPIs</t>
        </is>
      </c>
      <c r="G1" s="3" t="inlineStr">
        <is>
          <t>Owner Role</t>
        </is>
      </c>
    </row>
    <row r="2">
      <c r="A2" t="n">
        <v>1</v>
      </c>
      <c r="B2" t="inlineStr">
        <is>
          <t>SEO</t>
        </is>
      </c>
      <c r="C2" t="inlineStr">
        <is>
          <t>Search Engine Optimization</t>
        </is>
      </c>
      <c r="D2" t="inlineStr">
        <is>
          <t>Monthly</t>
        </is>
      </c>
      <c r="E2" t="n">
        <v>18000</v>
      </c>
      <c r="F2" t="inlineStr">
        <is>
          <t>Keywords, traffic, backlinks</t>
        </is>
      </c>
      <c r="G2" t="inlineStr">
        <is>
          <t>SEO Manager</t>
        </is>
      </c>
    </row>
    <row r="3">
      <c r="A3" t="n">
        <v>2</v>
      </c>
      <c r="B3" t="inlineStr">
        <is>
          <t>Google Ads</t>
        </is>
      </c>
      <c r="C3" t="inlineStr">
        <is>
          <t>Google Search &amp; Display Ads</t>
        </is>
      </c>
      <c r="D3" t="inlineStr">
        <is>
          <t>Monthly</t>
        </is>
      </c>
      <c r="E3" t="n">
        <v>25000</v>
      </c>
      <c r="F3" t="inlineStr">
        <is>
          <t>Leads, CPC, CPL, ROAS</t>
        </is>
      </c>
      <c r="G3" t="inlineStr">
        <is>
          <t>Ads Manager</t>
        </is>
      </c>
    </row>
    <row r="4">
      <c r="A4" t="n">
        <v>3</v>
      </c>
      <c r="B4" t="inlineStr">
        <is>
          <t>Meta Ads</t>
        </is>
      </c>
      <c r="C4" t="inlineStr">
        <is>
          <t>Facebook &amp; Instagram Ads</t>
        </is>
      </c>
      <c r="D4" t="inlineStr">
        <is>
          <t>Monthly</t>
        </is>
      </c>
      <c r="E4" t="n">
        <v>22000</v>
      </c>
      <c r="F4" t="inlineStr">
        <is>
          <t>Reach, leads, CPL, ROAS</t>
        </is>
      </c>
      <c r="G4" t="inlineStr">
        <is>
          <t>Ads Manager</t>
        </is>
      </c>
    </row>
    <row r="5">
      <c r="A5" t="n">
        <v>4</v>
      </c>
      <c r="B5" t="inlineStr">
        <is>
          <t>Social Media Management</t>
        </is>
      </c>
      <c r="C5" t="inlineStr">
        <is>
          <t>Social content &amp; community</t>
        </is>
      </c>
      <c r="D5" t="inlineStr">
        <is>
          <t>Monthly</t>
        </is>
      </c>
      <c r="E5" t="n">
        <v>15000</v>
      </c>
      <c r="F5" t="inlineStr">
        <is>
          <t>Posts, engagement, followers</t>
        </is>
      </c>
      <c r="G5" t="inlineStr">
        <is>
          <t>Social Manager</t>
        </is>
      </c>
    </row>
    <row r="6">
      <c r="A6" t="n">
        <v>5</v>
      </c>
      <c r="B6" t="inlineStr">
        <is>
          <t>Website Development</t>
        </is>
      </c>
      <c r="C6" t="inlineStr">
        <is>
          <t>Business website development</t>
        </is>
      </c>
      <c r="D6" t="inlineStr">
        <is>
          <t>Project</t>
        </is>
      </c>
      <c r="E6" t="n">
        <v>50000</v>
      </c>
      <c r="F6" t="inlineStr">
        <is>
          <t>Pages, speed, conversion</t>
        </is>
      </c>
      <c r="G6" t="inlineStr">
        <is>
          <t>Developer</t>
        </is>
      </c>
    </row>
    <row r="7">
      <c r="A7" t="n">
        <v>6</v>
      </c>
      <c r="B7" t="inlineStr">
        <is>
          <t>Content Writing</t>
        </is>
      </c>
      <c r="C7" t="inlineStr">
        <is>
          <t>Blogs and website content</t>
        </is>
      </c>
      <c r="D7" t="inlineStr">
        <is>
          <t>Monthly</t>
        </is>
      </c>
      <c r="E7" t="n">
        <v>12000</v>
      </c>
      <c r="F7" t="inlineStr">
        <is>
          <t>Articles, words, traffic</t>
        </is>
      </c>
      <c r="G7" t="inlineStr">
        <is>
          <t>Content Writer</t>
        </is>
      </c>
    </row>
    <row r="8">
      <c r="A8" t="n">
        <v>7</v>
      </c>
      <c r="B8" t="inlineStr">
        <is>
          <t>Graphic Design</t>
        </is>
      </c>
      <c r="C8" t="inlineStr">
        <is>
          <t>Social creatives and branding</t>
        </is>
      </c>
      <c r="D8" t="inlineStr">
        <is>
          <t>Monthly</t>
        </is>
      </c>
      <c r="E8" t="n">
        <v>10000</v>
      </c>
      <c r="F8" t="inlineStr">
        <is>
          <t>Creatives, revisions</t>
        </is>
      </c>
      <c r="G8" t="inlineStr">
        <is>
          <t>Designer</t>
        </is>
      </c>
    </row>
    <row r="9">
      <c r="A9" t="n">
        <v>8</v>
      </c>
      <c r="B9" t="inlineStr">
        <is>
          <t>Video/Reels</t>
        </is>
      </c>
      <c r="C9" t="inlineStr">
        <is>
          <t>Short-form video production</t>
        </is>
      </c>
      <c r="D9" t="inlineStr">
        <is>
          <t>Monthly</t>
        </is>
      </c>
      <c r="E9" t="n">
        <v>18000</v>
      </c>
      <c r="F9" t="inlineStr">
        <is>
          <t>Reels, views, engagement</t>
        </is>
      </c>
      <c r="G9" t="inlineStr">
        <is>
          <t>Video Editor</t>
        </is>
      </c>
    </row>
    <row r="10">
      <c r="A10" t="n">
        <v>9</v>
      </c>
      <c r="B10" t="inlineStr">
        <is>
          <t>Email Marketing</t>
        </is>
      </c>
      <c r="C10" t="inlineStr">
        <is>
          <t>Email campaigns</t>
        </is>
      </c>
      <c r="D10" t="inlineStr">
        <is>
          <t>Monthly</t>
        </is>
      </c>
      <c r="E10" t="n">
        <v>12000</v>
      </c>
      <c r="F10" t="inlineStr">
        <is>
          <t>Open rate, CTR, conversions</t>
        </is>
      </c>
      <c r="G10" t="inlineStr">
        <is>
          <t>Email Specialist</t>
        </is>
      </c>
    </row>
    <row r="11">
      <c r="A11" t="n">
        <v>10</v>
      </c>
      <c r="B11" t="inlineStr">
        <is>
          <t>WhatsApp Marketing</t>
        </is>
      </c>
      <c r="C11" t="inlineStr">
        <is>
          <t>WhatsApp campaigns</t>
        </is>
      </c>
      <c r="D11" t="inlineStr">
        <is>
          <t>Monthly</t>
        </is>
      </c>
      <c r="E11" t="n">
        <v>14000</v>
      </c>
      <c r="F11" t="inlineStr">
        <is>
          <t>Messages, replies, conversions</t>
        </is>
      </c>
      <c r="G11" t="inlineStr">
        <is>
          <t>CRM Manager</t>
        </is>
      </c>
    </row>
    <row r="12">
      <c r="A12" t="n">
        <v>11</v>
      </c>
      <c r="B12" t="inlineStr">
        <is>
          <t>Local SEO</t>
        </is>
      </c>
      <c r="C12" t="inlineStr">
        <is>
          <t>Google Business Profile</t>
        </is>
      </c>
      <c r="D12" t="inlineStr">
        <is>
          <t>Monthly</t>
        </is>
      </c>
      <c r="E12" t="n">
        <v>10000</v>
      </c>
      <c r="F12" t="inlineStr">
        <is>
          <t>Maps ranking, calls</t>
        </is>
      </c>
      <c r="G12" t="inlineStr">
        <is>
          <t>SEO Manager</t>
        </is>
      </c>
    </row>
    <row r="13">
      <c r="A13" t="n">
        <v>12</v>
      </c>
      <c r="B13" t="inlineStr">
        <is>
          <t>Influencer Marketing</t>
        </is>
      </c>
      <c r="C13" t="inlineStr">
        <is>
          <t>Influencer campaigns</t>
        </is>
      </c>
      <c r="D13" t="inlineStr">
        <is>
          <t>Project</t>
        </is>
      </c>
      <c r="E13" t="n">
        <v>30000</v>
      </c>
      <c r="F13" t="inlineStr">
        <is>
          <t>Reach, engagement, conversions</t>
        </is>
      </c>
      <c r="G13" t="inlineStr">
        <is>
          <t>Campaign Manager</t>
        </is>
      </c>
    </row>
  </sheetData>
  <autoFilter ref="A1:G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13" customWidth="1" min="4" max="4"/>
    <col width="16" customWidth="1" min="5" max="5"/>
    <col width="16" customWidth="1" min="6" max="6"/>
    <col width="12" customWidth="1" min="7" max="7"/>
    <col width="15" customWidth="1" min="8" max="8"/>
    <col width="14" customWidth="1" min="9" max="9"/>
    <col width="14" customWidth="1" min="10" max="10"/>
    <col width="16" customWidth="1" min="11" max="11"/>
    <col width="17" customWidth="1" min="12" max="12"/>
    <col width="11" customWidth="1" min="13" max="13"/>
    <col width="11" customWidth="1" min="14" max="14"/>
  </cols>
  <sheetData>
    <row r="1">
      <c r="A1" s="3" t="inlineStr">
        <is>
          <t>Lead ID</t>
        </is>
      </c>
      <c r="B1" s="3" t="inlineStr">
        <is>
          <t>Lead Name</t>
        </is>
      </c>
      <c r="C1" s="3" t="inlineStr">
        <is>
          <t>Company</t>
        </is>
      </c>
      <c r="D1" s="3" t="inlineStr">
        <is>
          <t>Industry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Source</t>
        </is>
      </c>
      <c r="H1" s="3" t="inlineStr">
        <is>
          <t>Stage</t>
        </is>
      </c>
      <c r="I1" s="3" t="inlineStr">
        <is>
          <t>Assigned To</t>
        </is>
      </c>
      <c r="J1" s="3" t="inlineStr">
        <is>
          <t>Created Date</t>
        </is>
      </c>
      <c r="K1" s="3" t="inlineStr">
        <is>
          <t>Next Follow-up</t>
        </is>
      </c>
      <c r="L1" s="3" t="inlineStr">
        <is>
          <t>Potential Value</t>
        </is>
      </c>
      <c r="M1" s="3" t="inlineStr">
        <is>
          <t>Converted</t>
        </is>
      </c>
      <c r="N1" s="3" t="inlineStr">
        <is>
          <t>Notes</t>
        </is>
      </c>
    </row>
    <row r="2">
      <c r="A2" t="n">
        <v>1</v>
      </c>
      <c r="B2" t="inlineStr">
        <is>
          <t>Aarav Sharma</t>
        </is>
      </c>
      <c r="C2" t="inlineStr">
        <is>
          <t>Company 01</t>
        </is>
      </c>
      <c r="D2" t="inlineStr">
        <is>
          <t>Healthcare</t>
        </is>
      </c>
      <c r="E2" t="inlineStr">
        <is>
          <t>+91-9881924865</t>
        </is>
      </c>
      <c r="F2" t="inlineStr">
        <is>
          <t>lead1@demo.in</t>
        </is>
      </c>
      <c r="G2" t="inlineStr">
        <is>
          <t>LinkedIn</t>
        </is>
      </c>
      <c r="H2" t="inlineStr">
        <is>
          <t>Won</t>
        </is>
      </c>
      <c r="I2" t="inlineStr">
        <is>
          <t>Rahul Mehta</t>
        </is>
      </c>
      <c r="J2" s="4" t="n">
        <v>46228</v>
      </c>
      <c r="K2" s="4" t="n">
        <v>46229</v>
      </c>
      <c r="L2" t="n">
        <v>100319</v>
      </c>
      <c r="M2" t="inlineStr">
        <is>
          <t>Yes</t>
        </is>
      </c>
      <c r="N2" t="inlineStr">
        <is>
          <t>Demo lead</t>
        </is>
      </c>
    </row>
    <row r="3">
      <c r="A3" t="n">
        <v>2</v>
      </c>
      <c r="B3" t="inlineStr">
        <is>
          <t>Simran Gupta</t>
        </is>
      </c>
      <c r="C3" t="inlineStr">
        <is>
          <t>Company 02</t>
        </is>
      </c>
      <c r="D3" t="inlineStr">
        <is>
          <t>Healthcare</t>
        </is>
      </c>
      <c r="E3" t="inlineStr">
        <is>
          <t>+91-9868202938</t>
        </is>
      </c>
      <c r="F3" t="inlineStr">
        <is>
          <t>lead2@demo.in</t>
        </is>
      </c>
      <c r="G3" t="inlineStr">
        <is>
          <t>LinkedIn</t>
        </is>
      </c>
      <c r="H3" t="inlineStr">
        <is>
          <t>MQL</t>
        </is>
      </c>
      <c r="I3" t="inlineStr">
        <is>
          <t>Rahul Mehta</t>
        </is>
      </c>
      <c r="J3" s="4" t="n">
        <v>46214</v>
      </c>
      <c r="K3" s="4" t="n">
        <v>46218</v>
      </c>
      <c r="L3" t="n">
        <v>43140</v>
      </c>
      <c r="M3" t="inlineStr">
        <is>
          <t>No</t>
        </is>
      </c>
      <c r="N3" t="inlineStr">
        <is>
          <t>Demo lead</t>
        </is>
      </c>
    </row>
    <row r="4">
      <c r="A4" t="n">
        <v>3</v>
      </c>
      <c r="B4" t="inlineStr">
        <is>
          <t>Vivek Kumar</t>
        </is>
      </c>
      <c r="C4" t="inlineStr">
        <is>
          <t>Company 03</t>
        </is>
      </c>
      <c r="D4" t="inlineStr">
        <is>
          <t>Real Estate</t>
        </is>
      </c>
      <c r="E4" t="inlineStr">
        <is>
          <t>+91-9885893910</t>
        </is>
      </c>
      <c r="F4" t="inlineStr">
        <is>
          <t>lead3@demo.in</t>
        </is>
      </c>
      <c r="G4" t="inlineStr">
        <is>
          <t>Instagram</t>
        </is>
      </c>
      <c r="H4" t="inlineStr">
        <is>
          <t>Contacted</t>
        </is>
      </c>
      <c r="I4" t="inlineStr">
        <is>
          <t>Rahul Mehta</t>
        </is>
      </c>
      <c r="J4" s="4" t="n">
        <v>46208</v>
      </c>
      <c r="K4" s="4" t="n">
        <v>46209</v>
      </c>
      <c r="L4" t="n">
        <v>70642</v>
      </c>
      <c r="M4" t="inlineStr">
        <is>
          <t>No</t>
        </is>
      </c>
      <c r="N4" t="inlineStr">
        <is>
          <t>Demo lead</t>
        </is>
      </c>
    </row>
    <row r="5">
      <c r="A5" t="n">
        <v>4</v>
      </c>
      <c r="B5" t="inlineStr">
        <is>
          <t>Pooja Singh</t>
        </is>
      </c>
      <c r="C5" t="inlineStr">
        <is>
          <t>Company 04</t>
        </is>
      </c>
      <c r="D5" t="inlineStr">
        <is>
          <t>Restaurant</t>
        </is>
      </c>
      <c r="E5" t="inlineStr">
        <is>
          <t>+91-9863241552</t>
        </is>
      </c>
      <c r="F5" t="inlineStr">
        <is>
          <t>lead4@demo.in</t>
        </is>
      </c>
      <c r="G5" t="inlineStr">
        <is>
          <t>Website</t>
        </is>
      </c>
      <c r="H5" t="inlineStr">
        <is>
          <t>SQL</t>
        </is>
      </c>
      <c r="I5" t="inlineStr">
        <is>
          <t>Amit Kumar</t>
        </is>
      </c>
      <c r="J5" s="4" t="n">
        <v>46204</v>
      </c>
      <c r="K5" s="4" t="n">
        <v>46205</v>
      </c>
      <c r="L5" t="n">
        <v>23108</v>
      </c>
      <c r="M5" t="inlineStr">
        <is>
          <t>No</t>
        </is>
      </c>
      <c r="N5" t="inlineStr">
        <is>
          <t>Demo lead</t>
        </is>
      </c>
    </row>
    <row r="6">
      <c r="A6" t="n">
        <v>5</v>
      </c>
      <c r="B6" t="inlineStr">
        <is>
          <t>Ravi Verma</t>
        </is>
      </c>
      <c r="C6" t="inlineStr">
        <is>
          <t>Company 05</t>
        </is>
      </c>
      <c r="D6" t="inlineStr">
        <is>
          <t>Education</t>
        </is>
      </c>
      <c r="E6" t="inlineStr">
        <is>
          <t>+91-9882569631</t>
        </is>
      </c>
      <c r="F6" t="inlineStr">
        <is>
          <t>lead5@demo.in</t>
        </is>
      </c>
      <c r="G6" t="inlineStr">
        <is>
          <t>Website</t>
        </is>
      </c>
      <c r="H6" t="inlineStr">
        <is>
          <t>New</t>
        </is>
      </c>
      <c r="I6" t="inlineStr">
        <is>
          <t>Priya Sharma</t>
        </is>
      </c>
      <c r="J6" s="4" t="n">
        <v>46261</v>
      </c>
      <c r="K6" s="4" t="n">
        <v>46262</v>
      </c>
      <c r="L6" t="n">
        <v>52959</v>
      </c>
      <c r="M6" t="inlineStr">
        <is>
          <t>No</t>
        </is>
      </c>
      <c r="N6" t="inlineStr">
        <is>
          <t>Demo lead</t>
        </is>
      </c>
    </row>
    <row r="7">
      <c r="A7" t="n">
        <v>6</v>
      </c>
      <c r="B7" t="inlineStr">
        <is>
          <t>Nisha Jain</t>
        </is>
      </c>
      <c r="C7" t="inlineStr">
        <is>
          <t>Company 06</t>
        </is>
      </c>
      <c r="D7" t="inlineStr">
        <is>
          <t>Restaurant</t>
        </is>
      </c>
      <c r="E7" t="inlineStr">
        <is>
          <t>+91-9895753514</t>
        </is>
      </c>
      <c r="F7" t="inlineStr">
        <is>
          <t>lead6@demo.in</t>
        </is>
      </c>
      <c r="G7" t="inlineStr">
        <is>
          <t>WhatsApp</t>
        </is>
      </c>
      <c r="H7" t="inlineStr">
        <is>
          <t>MQL</t>
        </is>
      </c>
      <c r="I7" t="inlineStr">
        <is>
          <t>Amit Kumar</t>
        </is>
      </c>
      <c r="J7" s="4" t="n">
        <v>46255</v>
      </c>
      <c r="K7" s="4" t="n">
        <v>46257</v>
      </c>
      <c r="L7" t="n">
        <v>28507</v>
      </c>
      <c r="M7" t="inlineStr">
        <is>
          <t>No</t>
        </is>
      </c>
      <c r="N7" t="inlineStr">
        <is>
          <t>Demo lead</t>
        </is>
      </c>
    </row>
    <row r="8">
      <c r="A8" t="n">
        <v>7</v>
      </c>
      <c r="B8" t="inlineStr">
        <is>
          <t>Karan Mehta</t>
        </is>
      </c>
      <c r="C8" t="inlineStr">
        <is>
          <t>Company 07</t>
        </is>
      </c>
      <c r="D8" t="inlineStr">
        <is>
          <t>Restaurant</t>
        </is>
      </c>
      <c r="E8" t="inlineStr">
        <is>
          <t>+91-9837643310</t>
        </is>
      </c>
      <c r="F8" t="inlineStr">
        <is>
          <t>lead7@demo.in</t>
        </is>
      </c>
      <c r="G8" t="inlineStr">
        <is>
          <t>LinkedIn</t>
        </is>
      </c>
      <c r="H8" t="inlineStr">
        <is>
          <t>New</t>
        </is>
      </c>
      <c r="I8" t="inlineStr">
        <is>
          <t>Rahul Mehta</t>
        </is>
      </c>
      <c r="J8" s="4" t="n">
        <v>46270</v>
      </c>
      <c r="K8" s="4" t="n">
        <v>46274</v>
      </c>
      <c r="L8" t="n">
        <v>88972</v>
      </c>
      <c r="M8" t="inlineStr">
        <is>
          <t>No</t>
        </is>
      </c>
      <c r="N8" t="inlineStr">
        <is>
          <t>Demo lead</t>
        </is>
      </c>
    </row>
    <row r="9">
      <c r="A9" t="n">
        <v>8</v>
      </c>
      <c r="B9" t="inlineStr">
        <is>
          <t>Sonia Kapoor</t>
        </is>
      </c>
      <c r="C9" t="inlineStr">
        <is>
          <t>Company 08</t>
        </is>
      </c>
      <c r="D9" t="inlineStr">
        <is>
          <t>Retail</t>
        </is>
      </c>
      <c r="E9" t="inlineStr">
        <is>
          <t>+91-9850234045</t>
        </is>
      </c>
      <c r="F9" t="inlineStr">
        <is>
          <t>lead8@demo.in</t>
        </is>
      </c>
      <c r="G9" t="inlineStr">
        <is>
          <t>Referral</t>
        </is>
      </c>
      <c r="H9" t="inlineStr">
        <is>
          <t>Proposal Sent</t>
        </is>
      </c>
      <c r="I9" t="inlineStr">
        <is>
          <t>Priya Sharma</t>
        </is>
      </c>
      <c r="J9" s="4" t="n">
        <v>46219</v>
      </c>
      <c r="K9" s="4" t="n">
        <v>46221</v>
      </c>
      <c r="L9" t="n">
        <v>91750</v>
      </c>
      <c r="M9" t="inlineStr">
        <is>
          <t>No</t>
        </is>
      </c>
      <c r="N9" t="inlineStr">
        <is>
          <t>Demo lead</t>
        </is>
      </c>
    </row>
    <row r="10">
      <c r="A10" t="n">
        <v>9</v>
      </c>
      <c r="B10" t="inlineStr">
        <is>
          <t>Manish Rao</t>
        </is>
      </c>
      <c r="C10" t="inlineStr">
        <is>
          <t>Company 09</t>
        </is>
      </c>
      <c r="D10" t="inlineStr">
        <is>
          <t>Retail</t>
        </is>
      </c>
      <c r="E10" t="inlineStr">
        <is>
          <t>+91-9880490681</t>
        </is>
      </c>
      <c r="F10" t="inlineStr">
        <is>
          <t>lead9@demo.in</t>
        </is>
      </c>
      <c r="G10" t="inlineStr">
        <is>
          <t>Google Ads</t>
        </is>
      </c>
      <c r="H10" t="inlineStr">
        <is>
          <t>Proposal Sent</t>
        </is>
      </c>
      <c r="I10" t="inlineStr">
        <is>
          <t>Amit Kumar</t>
        </is>
      </c>
      <c r="J10" s="4" t="n">
        <v>46247</v>
      </c>
      <c r="K10" s="4" t="n">
        <v>46251</v>
      </c>
      <c r="L10" t="n">
        <v>25728</v>
      </c>
      <c r="M10" t="inlineStr">
        <is>
          <t>No</t>
        </is>
      </c>
      <c r="N10" t="inlineStr">
        <is>
          <t>Demo lead</t>
        </is>
      </c>
    </row>
    <row r="11">
      <c r="A11" t="n">
        <v>10</v>
      </c>
      <c r="B11" t="inlineStr">
        <is>
          <t>Priya Singh</t>
        </is>
      </c>
      <c r="C11" t="inlineStr">
        <is>
          <t>Company 10</t>
        </is>
      </c>
      <c r="D11" t="inlineStr">
        <is>
          <t>Healthcare</t>
        </is>
      </c>
      <c r="E11" t="inlineStr">
        <is>
          <t>+91-9878710461</t>
        </is>
      </c>
      <c r="F11" t="inlineStr">
        <is>
          <t>lead10@demo.in</t>
        </is>
      </c>
      <c r="G11" t="inlineStr">
        <is>
          <t>LinkedIn</t>
        </is>
      </c>
      <c r="H11" t="inlineStr">
        <is>
          <t>Proposal Sent</t>
        </is>
      </c>
      <c r="I11" t="inlineStr">
        <is>
          <t>Rahul Mehta</t>
        </is>
      </c>
      <c r="J11" s="4" t="n">
        <v>46242</v>
      </c>
      <c r="K11" s="4" t="n">
        <v>46246</v>
      </c>
      <c r="L11" t="n">
        <v>94817</v>
      </c>
      <c r="M11" t="inlineStr">
        <is>
          <t>No</t>
        </is>
      </c>
      <c r="N11" t="inlineStr">
        <is>
          <t>Demo lead</t>
        </is>
      </c>
    </row>
    <row r="12">
      <c r="A12" t="n">
        <v>11</v>
      </c>
      <c r="B12" t="inlineStr">
        <is>
          <t>Aarav Sharma</t>
        </is>
      </c>
      <c r="C12" t="inlineStr">
        <is>
          <t>Company 11</t>
        </is>
      </c>
      <c r="D12" t="inlineStr">
        <is>
          <t>Healthcare</t>
        </is>
      </c>
      <c r="E12" t="inlineStr">
        <is>
          <t>+91-9899686414</t>
        </is>
      </c>
      <c r="F12" t="inlineStr">
        <is>
          <t>lead11@demo.in</t>
        </is>
      </c>
      <c r="G12" t="inlineStr">
        <is>
          <t>Google Ads</t>
        </is>
      </c>
      <c r="H12" t="inlineStr">
        <is>
          <t>Proposal Sent</t>
        </is>
      </c>
      <c r="I12" t="inlineStr">
        <is>
          <t>Priya Sharma</t>
        </is>
      </c>
      <c r="J12" s="4" t="n">
        <v>46259</v>
      </c>
      <c r="K12" s="4" t="n">
        <v>46260</v>
      </c>
      <c r="L12" t="n">
        <v>79089</v>
      </c>
      <c r="M12" t="inlineStr">
        <is>
          <t>No</t>
        </is>
      </c>
      <c r="N12" t="inlineStr">
        <is>
          <t>Demo lead</t>
        </is>
      </c>
    </row>
    <row r="13">
      <c r="A13" t="n">
        <v>12</v>
      </c>
      <c r="B13" t="inlineStr">
        <is>
          <t>Simran Gupta</t>
        </is>
      </c>
      <c r="C13" t="inlineStr">
        <is>
          <t>Company 12</t>
        </is>
      </c>
      <c r="D13" t="inlineStr">
        <is>
          <t>Restaurant</t>
        </is>
      </c>
      <c r="E13" t="inlineStr">
        <is>
          <t>+91-9871230843</t>
        </is>
      </c>
      <c r="F13" t="inlineStr">
        <is>
          <t>lead12@demo.in</t>
        </is>
      </c>
      <c r="G13" t="inlineStr">
        <is>
          <t>LinkedIn</t>
        </is>
      </c>
      <c r="H13" t="inlineStr">
        <is>
          <t>Interested</t>
        </is>
      </c>
      <c r="I13" t="inlineStr">
        <is>
          <t>Priya Sharma</t>
        </is>
      </c>
      <c r="J13" s="4" t="n">
        <v>46234</v>
      </c>
      <c r="K13" s="4" t="n">
        <v>46235</v>
      </c>
      <c r="L13" t="n">
        <v>92905</v>
      </c>
      <c r="M13" t="inlineStr">
        <is>
          <t>No</t>
        </is>
      </c>
      <c r="N13" t="inlineStr">
        <is>
          <t>Demo lead</t>
        </is>
      </c>
    </row>
    <row r="14">
      <c r="A14" t="n">
        <v>13</v>
      </c>
      <c r="B14" t="inlineStr">
        <is>
          <t>Vivek Kumar</t>
        </is>
      </c>
      <c r="C14" t="inlineStr">
        <is>
          <t>Company 13</t>
        </is>
      </c>
      <c r="D14" t="inlineStr">
        <is>
          <t>Healthcare</t>
        </is>
      </c>
      <c r="E14" t="inlineStr">
        <is>
          <t>+91-9818142912</t>
        </is>
      </c>
      <c r="F14" t="inlineStr">
        <is>
          <t>lead13@demo.in</t>
        </is>
      </c>
      <c r="G14" t="inlineStr">
        <is>
          <t>Instagram</t>
        </is>
      </c>
      <c r="H14" t="inlineStr">
        <is>
          <t>Won</t>
        </is>
      </c>
      <c r="I14" t="inlineStr">
        <is>
          <t>Amit Kumar</t>
        </is>
      </c>
      <c r="J14" s="4" t="n">
        <v>46218</v>
      </c>
      <c r="K14" s="4" t="n">
        <v>46224</v>
      </c>
      <c r="L14" t="n">
        <v>106362</v>
      </c>
      <c r="M14" t="inlineStr">
        <is>
          <t>Yes</t>
        </is>
      </c>
      <c r="N14" t="inlineStr">
        <is>
          <t>Demo lead</t>
        </is>
      </c>
    </row>
    <row r="15">
      <c r="A15" t="n">
        <v>14</v>
      </c>
      <c r="B15" t="inlineStr">
        <is>
          <t>Pooja Singh</t>
        </is>
      </c>
      <c r="C15" t="inlineStr">
        <is>
          <t>Company 14</t>
        </is>
      </c>
      <c r="D15" t="inlineStr">
        <is>
          <t>IT</t>
        </is>
      </c>
      <c r="E15" t="inlineStr">
        <is>
          <t>+91-9899745048</t>
        </is>
      </c>
      <c r="F15" t="inlineStr">
        <is>
          <t>lead14@demo.in</t>
        </is>
      </c>
      <c r="G15" t="inlineStr">
        <is>
          <t>WhatsApp</t>
        </is>
      </c>
      <c r="H15" t="inlineStr">
        <is>
          <t>SQL</t>
        </is>
      </c>
      <c r="I15" t="inlineStr">
        <is>
          <t>Amit Kumar</t>
        </is>
      </c>
      <c r="J15" s="4" t="n">
        <v>46221</v>
      </c>
      <c r="K15" s="4" t="n">
        <v>46224</v>
      </c>
      <c r="L15" t="n">
        <v>52302</v>
      </c>
      <c r="M15" t="inlineStr">
        <is>
          <t>No</t>
        </is>
      </c>
      <c r="N15" t="inlineStr">
        <is>
          <t>Demo lead</t>
        </is>
      </c>
    </row>
    <row r="16">
      <c r="A16" t="n">
        <v>15</v>
      </c>
      <c r="B16" t="inlineStr">
        <is>
          <t>Ravi Verma</t>
        </is>
      </c>
      <c r="C16" t="inlineStr">
        <is>
          <t>Company 15</t>
        </is>
      </c>
      <c r="D16" t="inlineStr">
        <is>
          <t>Healthcare</t>
        </is>
      </c>
      <c r="E16" t="inlineStr">
        <is>
          <t>+91-9876262352</t>
        </is>
      </c>
      <c r="F16" t="inlineStr">
        <is>
          <t>lead15@demo.in</t>
        </is>
      </c>
      <c r="G16" t="inlineStr">
        <is>
          <t>Facebook</t>
        </is>
      </c>
      <c r="H16" t="inlineStr">
        <is>
          <t>Won</t>
        </is>
      </c>
      <c r="I16" t="inlineStr">
        <is>
          <t>Amit Kumar</t>
        </is>
      </c>
      <c r="J16" s="4" t="n">
        <v>46233</v>
      </c>
      <c r="K16" s="4" t="n">
        <v>46234</v>
      </c>
      <c r="L16" t="n">
        <v>37026</v>
      </c>
      <c r="M16" t="inlineStr">
        <is>
          <t>Yes</t>
        </is>
      </c>
      <c r="N16" t="inlineStr">
        <is>
          <t>Demo lead</t>
        </is>
      </c>
    </row>
    <row r="17">
      <c r="A17" t="n">
        <v>16</v>
      </c>
      <c r="B17" t="inlineStr">
        <is>
          <t>Nisha Jain</t>
        </is>
      </c>
      <c r="C17" t="inlineStr">
        <is>
          <t>Company 16</t>
        </is>
      </c>
      <c r="D17" t="inlineStr">
        <is>
          <t>IT</t>
        </is>
      </c>
      <c r="E17" t="inlineStr">
        <is>
          <t>+91-9862472380</t>
        </is>
      </c>
      <c r="F17" t="inlineStr">
        <is>
          <t>lead16@demo.in</t>
        </is>
      </c>
      <c r="G17" t="inlineStr">
        <is>
          <t>Website</t>
        </is>
      </c>
      <c r="H17" t="inlineStr">
        <is>
          <t>Proposal Sent</t>
        </is>
      </c>
      <c r="I17" t="inlineStr">
        <is>
          <t>Rahul Mehta</t>
        </is>
      </c>
      <c r="J17" s="4" t="n">
        <v>46262</v>
      </c>
      <c r="K17" s="4" t="n">
        <v>46269</v>
      </c>
      <c r="L17" t="n">
        <v>111778</v>
      </c>
      <c r="M17" t="inlineStr">
        <is>
          <t>No</t>
        </is>
      </c>
      <c r="N17" t="inlineStr">
        <is>
          <t>Demo lead</t>
        </is>
      </c>
    </row>
    <row r="18">
      <c r="A18" t="n">
        <v>17</v>
      </c>
      <c r="B18" t="inlineStr">
        <is>
          <t>Karan Mehta</t>
        </is>
      </c>
      <c r="C18" t="inlineStr">
        <is>
          <t>Company 17</t>
        </is>
      </c>
      <c r="D18" t="inlineStr">
        <is>
          <t>Retail</t>
        </is>
      </c>
      <c r="E18" t="inlineStr">
        <is>
          <t>+91-9828377915</t>
        </is>
      </c>
      <c r="F18" t="inlineStr">
        <is>
          <t>lead17@demo.in</t>
        </is>
      </c>
      <c r="G18" t="inlineStr">
        <is>
          <t>CSV Import</t>
        </is>
      </c>
      <c r="H18" t="inlineStr">
        <is>
          <t>New</t>
        </is>
      </c>
      <c r="I18" t="inlineStr">
        <is>
          <t>Amit Kumar</t>
        </is>
      </c>
      <c r="J18" s="4" t="n">
        <v>46221</v>
      </c>
      <c r="K18" s="4" t="n">
        <v>46228</v>
      </c>
      <c r="L18" t="n">
        <v>67644</v>
      </c>
      <c r="M18" t="inlineStr">
        <is>
          <t>No</t>
        </is>
      </c>
      <c r="N18" t="inlineStr">
        <is>
          <t>Demo lead</t>
        </is>
      </c>
    </row>
    <row r="19">
      <c r="A19" t="n">
        <v>18</v>
      </c>
      <c r="B19" t="inlineStr">
        <is>
          <t>Sonia Kapoor</t>
        </is>
      </c>
      <c r="C19" t="inlineStr">
        <is>
          <t>Company 18</t>
        </is>
      </c>
      <c r="D19" t="inlineStr">
        <is>
          <t>Retail</t>
        </is>
      </c>
      <c r="E19" t="inlineStr">
        <is>
          <t>+91-9861061966</t>
        </is>
      </c>
      <c r="F19" t="inlineStr">
        <is>
          <t>lead18@demo.in</t>
        </is>
      </c>
      <c r="G19" t="inlineStr">
        <is>
          <t>Referral</t>
        </is>
      </c>
      <c r="H19" t="inlineStr">
        <is>
          <t>Won</t>
        </is>
      </c>
      <c r="I19" t="inlineStr">
        <is>
          <t>Priya Sharma</t>
        </is>
      </c>
      <c r="J19" s="4" t="n">
        <v>46243</v>
      </c>
      <c r="K19" s="4" t="n">
        <v>46245</v>
      </c>
      <c r="L19" t="n">
        <v>107588</v>
      </c>
      <c r="M19" t="inlineStr">
        <is>
          <t>Yes</t>
        </is>
      </c>
      <c r="N19" t="inlineStr">
        <is>
          <t>Demo lead</t>
        </is>
      </c>
    </row>
    <row r="20">
      <c r="A20" t="n">
        <v>19</v>
      </c>
      <c r="B20" t="inlineStr">
        <is>
          <t>Manish Rao</t>
        </is>
      </c>
      <c r="C20" t="inlineStr">
        <is>
          <t>Company 19</t>
        </is>
      </c>
      <c r="D20" t="inlineStr">
        <is>
          <t>Education</t>
        </is>
      </c>
      <c r="E20" t="inlineStr">
        <is>
          <t>+91-9811619076</t>
        </is>
      </c>
      <c r="F20" t="inlineStr">
        <is>
          <t>lead19@demo.in</t>
        </is>
      </c>
      <c r="G20" t="inlineStr">
        <is>
          <t>Google Ads</t>
        </is>
      </c>
      <c r="H20" t="inlineStr">
        <is>
          <t>New</t>
        </is>
      </c>
      <c r="I20" t="inlineStr">
        <is>
          <t>Amit Kumar</t>
        </is>
      </c>
      <c r="J20" s="4" t="n">
        <v>46259</v>
      </c>
      <c r="K20" s="4" t="n">
        <v>46263</v>
      </c>
      <c r="L20" t="n">
        <v>45403</v>
      </c>
      <c r="M20" t="inlineStr">
        <is>
          <t>No</t>
        </is>
      </c>
      <c r="N20" t="inlineStr">
        <is>
          <t>Demo lead</t>
        </is>
      </c>
    </row>
    <row r="21">
      <c r="A21" t="n">
        <v>20</v>
      </c>
      <c r="B21" t="inlineStr">
        <is>
          <t>Priya Singh</t>
        </is>
      </c>
      <c r="C21" t="inlineStr">
        <is>
          <t>Company 20</t>
        </is>
      </c>
      <c r="D21" t="inlineStr">
        <is>
          <t>Restaurant</t>
        </is>
      </c>
      <c r="E21" t="inlineStr">
        <is>
          <t>+91-9859560375</t>
        </is>
      </c>
      <c r="F21" t="inlineStr">
        <is>
          <t>lead20@demo.in</t>
        </is>
      </c>
      <c r="G21" t="inlineStr">
        <is>
          <t>Google Ads</t>
        </is>
      </c>
      <c r="H21" t="inlineStr">
        <is>
          <t>Contacted</t>
        </is>
      </c>
      <c r="I21" t="inlineStr">
        <is>
          <t>Priya Sharma</t>
        </is>
      </c>
      <c r="J21" s="4" t="n">
        <v>46278</v>
      </c>
      <c r="K21" s="4" t="n">
        <v>46283</v>
      </c>
      <c r="L21" t="n">
        <v>34094</v>
      </c>
      <c r="M21" t="inlineStr">
        <is>
          <t>No</t>
        </is>
      </c>
      <c r="N21" t="inlineStr">
        <is>
          <t>Demo lead</t>
        </is>
      </c>
    </row>
    <row r="22">
      <c r="A22" t="n">
        <v>21</v>
      </c>
      <c r="B22" t="inlineStr">
        <is>
          <t>Aarav Sharma</t>
        </is>
      </c>
      <c r="C22" t="inlineStr">
        <is>
          <t>Company 21</t>
        </is>
      </c>
      <c r="D22" t="inlineStr">
        <is>
          <t>Fitness</t>
        </is>
      </c>
      <c r="E22" t="inlineStr">
        <is>
          <t>+91-9817246803</t>
        </is>
      </c>
      <c r="F22" t="inlineStr">
        <is>
          <t>lead21@demo.in</t>
        </is>
      </c>
      <c r="G22" t="inlineStr">
        <is>
          <t>LinkedIn</t>
        </is>
      </c>
      <c r="H22" t="inlineStr">
        <is>
          <t>Won</t>
        </is>
      </c>
      <c r="I22" t="inlineStr">
        <is>
          <t>Amit Kumar</t>
        </is>
      </c>
      <c r="J22" s="4" t="n">
        <v>46213</v>
      </c>
      <c r="K22" s="4" t="n">
        <v>46217</v>
      </c>
      <c r="L22" t="n">
        <v>95949</v>
      </c>
      <c r="M22" t="inlineStr">
        <is>
          <t>Yes</t>
        </is>
      </c>
      <c r="N22" t="inlineStr">
        <is>
          <t>Demo lead</t>
        </is>
      </c>
    </row>
    <row r="23">
      <c r="A23" t="n">
        <v>22</v>
      </c>
      <c r="B23" t="inlineStr">
        <is>
          <t>Simran Gupta</t>
        </is>
      </c>
      <c r="C23" t="inlineStr">
        <is>
          <t>Company 22</t>
        </is>
      </c>
      <c r="D23" t="inlineStr">
        <is>
          <t>Fitness</t>
        </is>
      </c>
      <c r="E23" t="inlineStr">
        <is>
          <t>+91-9863746500</t>
        </is>
      </c>
      <c r="F23" t="inlineStr">
        <is>
          <t>lead22@demo.in</t>
        </is>
      </c>
      <c r="G23" t="inlineStr">
        <is>
          <t>Referral</t>
        </is>
      </c>
      <c r="H23" t="inlineStr">
        <is>
          <t>Qualified</t>
        </is>
      </c>
      <c r="I23" t="inlineStr">
        <is>
          <t>Priya Sharma</t>
        </is>
      </c>
      <c r="J23" s="4" t="n">
        <v>46228</v>
      </c>
      <c r="K23" s="4" t="n">
        <v>46229</v>
      </c>
      <c r="L23" t="n">
        <v>28570</v>
      </c>
      <c r="M23" t="inlineStr">
        <is>
          <t>No</t>
        </is>
      </c>
      <c r="N23" t="inlineStr">
        <is>
          <t>Demo lead</t>
        </is>
      </c>
    </row>
    <row r="24">
      <c r="A24" t="n">
        <v>23</v>
      </c>
      <c r="B24" t="inlineStr">
        <is>
          <t>Vivek Kumar</t>
        </is>
      </c>
      <c r="C24" t="inlineStr">
        <is>
          <t>Company 23</t>
        </is>
      </c>
      <c r="D24" t="inlineStr">
        <is>
          <t>Healthcare</t>
        </is>
      </c>
      <c r="E24" t="inlineStr">
        <is>
          <t>+91-9855641228</t>
        </is>
      </c>
      <c r="F24" t="inlineStr">
        <is>
          <t>lead23@demo.in</t>
        </is>
      </c>
      <c r="G24" t="inlineStr">
        <is>
          <t>Website</t>
        </is>
      </c>
      <c r="H24" t="inlineStr">
        <is>
          <t>New</t>
        </is>
      </c>
      <c r="I24" t="inlineStr">
        <is>
          <t>Rahul Mehta</t>
        </is>
      </c>
      <c r="J24" s="4" t="n">
        <v>46252</v>
      </c>
      <c r="K24" s="4" t="n">
        <v>46257</v>
      </c>
      <c r="L24" t="n">
        <v>72753</v>
      </c>
      <c r="M24" t="inlineStr">
        <is>
          <t>No</t>
        </is>
      </c>
      <c r="N24" t="inlineStr">
        <is>
          <t>Demo lead</t>
        </is>
      </c>
    </row>
    <row r="25">
      <c r="A25" t="n">
        <v>24</v>
      </c>
      <c r="B25" t="inlineStr">
        <is>
          <t>Pooja Singh</t>
        </is>
      </c>
      <c r="C25" t="inlineStr">
        <is>
          <t>Company 24</t>
        </is>
      </c>
      <c r="D25" t="inlineStr">
        <is>
          <t>Healthcare</t>
        </is>
      </c>
      <c r="E25" t="inlineStr">
        <is>
          <t>+91-9858802897</t>
        </is>
      </c>
      <c r="F25" t="inlineStr">
        <is>
          <t>lead24@demo.in</t>
        </is>
      </c>
      <c r="G25" t="inlineStr">
        <is>
          <t>Facebook</t>
        </is>
      </c>
      <c r="H25" t="inlineStr">
        <is>
          <t>New</t>
        </is>
      </c>
      <c r="I25" t="inlineStr">
        <is>
          <t>Amit Kumar</t>
        </is>
      </c>
      <c r="J25" s="4" t="n">
        <v>46206</v>
      </c>
      <c r="K25" s="4" t="n">
        <v>46211</v>
      </c>
      <c r="L25" t="n">
        <v>34826</v>
      </c>
      <c r="M25" t="inlineStr">
        <is>
          <t>No</t>
        </is>
      </c>
      <c r="N25" t="inlineStr">
        <is>
          <t>Demo lead</t>
        </is>
      </c>
    </row>
    <row r="26">
      <c r="A26" t="n">
        <v>25</v>
      </c>
      <c r="B26" t="inlineStr">
        <is>
          <t>Ravi Verma</t>
        </is>
      </c>
      <c r="C26" t="inlineStr">
        <is>
          <t>Company 25</t>
        </is>
      </c>
      <c r="D26" t="inlineStr">
        <is>
          <t>Education</t>
        </is>
      </c>
      <c r="E26" t="inlineStr">
        <is>
          <t>+91-9895149012</t>
        </is>
      </c>
      <c r="F26" t="inlineStr">
        <is>
          <t>lead25@demo.in</t>
        </is>
      </c>
      <c r="G26" t="inlineStr">
        <is>
          <t>Facebook</t>
        </is>
      </c>
      <c r="H26" t="inlineStr">
        <is>
          <t>New</t>
        </is>
      </c>
      <c r="I26" t="inlineStr">
        <is>
          <t>Priya Sharma</t>
        </is>
      </c>
      <c r="J26" s="4" t="n">
        <v>46252</v>
      </c>
      <c r="K26" s="4" t="n">
        <v>46255</v>
      </c>
      <c r="L26" t="n">
        <v>95487</v>
      </c>
      <c r="M26" t="inlineStr">
        <is>
          <t>No</t>
        </is>
      </c>
      <c r="N26" t="inlineStr">
        <is>
          <t>Demo lead</t>
        </is>
      </c>
    </row>
    <row r="27">
      <c r="A27" t="n">
        <v>26</v>
      </c>
      <c r="B27" t="inlineStr">
        <is>
          <t>Nisha Jain</t>
        </is>
      </c>
      <c r="C27" t="inlineStr">
        <is>
          <t>Company 26</t>
        </is>
      </c>
      <c r="D27" t="inlineStr">
        <is>
          <t>Real Estate</t>
        </is>
      </c>
      <c r="E27" t="inlineStr">
        <is>
          <t>+91-9875507385</t>
        </is>
      </c>
      <c r="F27" t="inlineStr">
        <is>
          <t>lead26@demo.in</t>
        </is>
      </c>
      <c r="G27" t="inlineStr">
        <is>
          <t>LinkedIn</t>
        </is>
      </c>
      <c r="H27" t="inlineStr">
        <is>
          <t>MQL</t>
        </is>
      </c>
      <c r="I27" t="inlineStr">
        <is>
          <t>Rahul Mehta</t>
        </is>
      </c>
      <c r="J27" s="4" t="n">
        <v>46218</v>
      </c>
      <c r="K27" s="4" t="n">
        <v>46222</v>
      </c>
      <c r="L27" t="n">
        <v>31101</v>
      </c>
      <c r="M27" t="inlineStr">
        <is>
          <t>No</t>
        </is>
      </c>
      <c r="N27" t="inlineStr">
        <is>
          <t>Demo lead</t>
        </is>
      </c>
    </row>
    <row r="28">
      <c r="A28" t="n">
        <v>27</v>
      </c>
      <c r="B28" t="inlineStr">
        <is>
          <t>Karan Mehta</t>
        </is>
      </c>
      <c r="C28" t="inlineStr">
        <is>
          <t>Company 27</t>
        </is>
      </c>
      <c r="D28" t="inlineStr">
        <is>
          <t>Fitness</t>
        </is>
      </c>
      <c r="E28" t="inlineStr">
        <is>
          <t>+91-9855987803</t>
        </is>
      </c>
      <c r="F28" t="inlineStr">
        <is>
          <t>lead27@demo.in</t>
        </is>
      </c>
      <c r="G28" t="inlineStr">
        <is>
          <t>CSV Import</t>
        </is>
      </c>
      <c r="H28" t="inlineStr">
        <is>
          <t>Qualified</t>
        </is>
      </c>
      <c r="I28" t="inlineStr">
        <is>
          <t>Rahul Mehta</t>
        </is>
      </c>
      <c r="J28" s="4" t="n">
        <v>46268</v>
      </c>
      <c r="K28" s="4" t="n">
        <v>46274</v>
      </c>
      <c r="L28" t="n">
        <v>33889</v>
      </c>
      <c r="M28" t="inlineStr">
        <is>
          <t>No</t>
        </is>
      </c>
      <c r="N28" t="inlineStr">
        <is>
          <t>Demo lead</t>
        </is>
      </c>
    </row>
    <row r="29">
      <c r="A29" t="n">
        <v>28</v>
      </c>
      <c r="B29" t="inlineStr">
        <is>
          <t>Sonia Kapoor</t>
        </is>
      </c>
      <c r="C29" t="inlineStr">
        <is>
          <t>Company 28</t>
        </is>
      </c>
      <c r="D29" t="inlineStr">
        <is>
          <t>Education</t>
        </is>
      </c>
      <c r="E29" t="inlineStr">
        <is>
          <t>+91-9880901507</t>
        </is>
      </c>
      <c r="F29" t="inlineStr">
        <is>
          <t>lead28@demo.in</t>
        </is>
      </c>
      <c r="G29" t="inlineStr">
        <is>
          <t>WhatsApp</t>
        </is>
      </c>
      <c r="H29" t="inlineStr">
        <is>
          <t>Qualified</t>
        </is>
      </c>
      <c r="I29" t="inlineStr">
        <is>
          <t>Rahul Mehta</t>
        </is>
      </c>
      <c r="J29" s="4" t="n">
        <v>46258</v>
      </c>
      <c r="K29" s="4" t="n">
        <v>46261</v>
      </c>
      <c r="L29" t="n">
        <v>82676</v>
      </c>
      <c r="M29" t="inlineStr">
        <is>
          <t>No</t>
        </is>
      </c>
      <c r="N29" t="inlineStr">
        <is>
          <t>Demo lead</t>
        </is>
      </c>
    </row>
    <row r="30">
      <c r="A30" t="n">
        <v>29</v>
      </c>
      <c r="B30" t="inlineStr">
        <is>
          <t>Manish Rao</t>
        </is>
      </c>
      <c r="C30" t="inlineStr">
        <is>
          <t>Company 29</t>
        </is>
      </c>
      <c r="D30" t="inlineStr">
        <is>
          <t>Retail</t>
        </is>
      </c>
      <c r="E30" t="inlineStr">
        <is>
          <t>+91-9896290869</t>
        </is>
      </c>
      <c r="F30" t="inlineStr">
        <is>
          <t>lead29@demo.in</t>
        </is>
      </c>
      <c r="G30" t="inlineStr">
        <is>
          <t>Google Ads</t>
        </is>
      </c>
      <c r="H30" t="inlineStr">
        <is>
          <t>Proposal Sent</t>
        </is>
      </c>
      <c r="I30" t="inlineStr">
        <is>
          <t>Amit Kumar</t>
        </is>
      </c>
      <c r="J30" s="4" t="n">
        <v>46275</v>
      </c>
      <c r="K30" s="4" t="n">
        <v>46282</v>
      </c>
      <c r="L30" t="n">
        <v>114371</v>
      </c>
      <c r="M30" t="inlineStr">
        <is>
          <t>No</t>
        </is>
      </c>
      <c r="N30" t="inlineStr">
        <is>
          <t>Demo lead</t>
        </is>
      </c>
    </row>
    <row r="31">
      <c r="A31" t="n">
        <v>30</v>
      </c>
      <c r="B31" t="inlineStr">
        <is>
          <t>Priya Singh</t>
        </is>
      </c>
      <c r="C31" t="inlineStr">
        <is>
          <t>Company 30</t>
        </is>
      </c>
      <c r="D31" t="inlineStr">
        <is>
          <t>Education</t>
        </is>
      </c>
      <c r="E31" t="inlineStr">
        <is>
          <t>+91-9857740731</t>
        </is>
      </c>
      <c r="F31" t="inlineStr">
        <is>
          <t>lead30@demo.in</t>
        </is>
      </c>
      <c r="G31" t="inlineStr">
        <is>
          <t>Instagram</t>
        </is>
      </c>
      <c r="H31" t="inlineStr">
        <is>
          <t>Proposal Sent</t>
        </is>
      </c>
      <c r="I31" t="inlineStr">
        <is>
          <t>Priya Sharma</t>
        </is>
      </c>
      <c r="J31" s="4" t="n">
        <v>46245</v>
      </c>
      <c r="K31" s="4" t="n">
        <v>46252</v>
      </c>
      <c r="L31" t="n">
        <v>82947</v>
      </c>
      <c r="M31" t="inlineStr">
        <is>
          <t>No</t>
        </is>
      </c>
      <c r="N31" t="inlineStr">
        <is>
          <t>Demo lead</t>
        </is>
      </c>
    </row>
    <row r="32">
      <c r="A32" t="n">
        <v>31</v>
      </c>
      <c r="B32" t="inlineStr">
        <is>
          <t>Aarav Sharma</t>
        </is>
      </c>
      <c r="C32" t="inlineStr">
        <is>
          <t>Company 31</t>
        </is>
      </c>
      <c r="D32" t="inlineStr">
        <is>
          <t>Education</t>
        </is>
      </c>
      <c r="E32" t="inlineStr">
        <is>
          <t>+91-9892306098</t>
        </is>
      </c>
      <c r="F32" t="inlineStr">
        <is>
          <t>lead31@demo.in</t>
        </is>
      </c>
      <c r="G32" t="inlineStr">
        <is>
          <t>Website</t>
        </is>
      </c>
      <c r="H32" t="inlineStr">
        <is>
          <t>MQL</t>
        </is>
      </c>
      <c r="I32" t="inlineStr">
        <is>
          <t>Amit Kumar</t>
        </is>
      </c>
      <c r="J32" s="4" t="n">
        <v>46214</v>
      </c>
      <c r="K32" s="4" t="n">
        <v>46221</v>
      </c>
      <c r="L32" t="n">
        <v>58209</v>
      </c>
      <c r="M32" t="inlineStr">
        <is>
          <t>No</t>
        </is>
      </c>
      <c r="N32" t="inlineStr">
        <is>
          <t>Demo lead</t>
        </is>
      </c>
    </row>
    <row r="33">
      <c r="A33" t="n">
        <v>32</v>
      </c>
      <c r="B33" t="inlineStr">
        <is>
          <t>Simran Gupta</t>
        </is>
      </c>
      <c r="C33" t="inlineStr">
        <is>
          <t>Company 32</t>
        </is>
      </c>
      <c r="D33" t="inlineStr">
        <is>
          <t>Education</t>
        </is>
      </c>
      <c r="E33" t="inlineStr">
        <is>
          <t>+91-9879476293</t>
        </is>
      </c>
      <c r="F33" t="inlineStr">
        <is>
          <t>lead32@demo.in</t>
        </is>
      </c>
      <c r="G33" t="inlineStr">
        <is>
          <t>Website</t>
        </is>
      </c>
      <c r="H33" t="inlineStr">
        <is>
          <t>Negotiation</t>
        </is>
      </c>
      <c r="I33" t="inlineStr">
        <is>
          <t>Rahul Mehta</t>
        </is>
      </c>
      <c r="J33" s="4" t="n">
        <v>46227</v>
      </c>
      <c r="K33" s="4" t="n">
        <v>46231</v>
      </c>
      <c r="L33" t="n">
        <v>111976</v>
      </c>
      <c r="M33" t="inlineStr">
        <is>
          <t>No</t>
        </is>
      </c>
      <c r="N33" t="inlineStr">
        <is>
          <t>Demo lead</t>
        </is>
      </c>
    </row>
    <row r="34">
      <c r="A34" t="n">
        <v>33</v>
      </c>
      <c r="B34" t="inlineStr">
        <is>
          <t>Vivek Kumar</t>
        </is>
      </c>
      <c r="C34" t="inlineStr">
        <is>
          <t>Company 33</t>
        </is>
      </c>
      <c r="D34" t="inlineStr">
        <is>
          <t>IT</t>
        </is>
      </c>
      <c r="E34" t="inlineStr">
        <is>
          <t>+91-9844785794</t>
        </is>
      </c>
      <c r="F34" t="inlineStr">
        <is>
          <t>lead33@demo.in</t>
        </is>
      </c>
      <c r="G34" t="inlineStr">
        <is>
          <t>LinkedIn</t>
        </is>
      </c>
      <c r="H34" t="inlineStr">
        <is>
          <t>Proposal Sent</t>
        </is>
      </c>
      <c r="I34" t="inlineStr">
        <is>
          <t>Priya Sharma</t>
        </is>
      </c>
      <c r="J34" s="4" t="n">
        <v>46275</v>
      </c>
      <c r="K34" s="4" t="n">
        <v>46277</v>
      </c>
      <c r="L34" t="n">
        <v>118561</v>
      </c>
      <c r="M34" t="inlineStr">
        <is>
          <t>No</t>
        </is>
      </c>
      <c r="N34" t="inlineStr">
        <is>
          <t>Demo lead</t>
        </is>
      </c>
    </row>
    <row r="35">
      <c r="A35" t="n">
        <v>34</v>
      </c>
      <c r="B35" t="inlineStr">
        <is>
          <t>Pooja Singh</t>
        </is>
      </c>
      <c r="C35" t="inlineStr">
        <is>
          <t>Company 34</t>
        </is>
      </c>
      <c r="D35" t="inlineStr">
        <is>
          <t>Education</t>
        </is>
      </c>
      <c r="E35" t="inlineStr">
        <is>
          <t>+91-9823711300</t>
        </is>
      </c>
      <c r="F35" t="inlineStr">
        <is>
          <t>lead34@demo.in</t>
        </is>
      </c>
      <c r="G35" t="inlineStr">
        <is>
          <t>LinkedIn</t>
        </is>
      </c>
      <c r="H35" t="inlineStr">
        <is>
          <t>Qualified</t>
        </is>
      </c>
      <c r="I35" t="inlineStr">
        <is>
          <t>Rahul Mehta</t>
        </is>
      </c>
      <c r="J35" s="4" t="n">
        <v>46234</v>
      </c>
      <c r="K35" s="4" t="n">
        <v>46236</v>
      </c>
      <c r="L35" t="n">
        <v>62793</v>
      </c>
      <c r="M35" t="inlineStr">
        <is>
          <t>No</t>
        </is>
      </c>
      <c r="N35" t="inlineStr">
        <is>
          <t>Demo lead</t>
        </is>
      </c>
    </row>
    <row r="36">
      <c r="A36" t="n">
        <v>35</v>
      </c>
      <c r="B36" t="inlineStr">
        <is>
          <t>Ravi Verma</t>
        </is>
      </c>
      <c r="C36" t="inlineStr">
        <is>
          <t>Company 35</t>
        </is>
      </c>
      <c r="D36" t="inlineStr">
        <is>
          <t>Restaurant</t>
        </is>
      </c>
      <c r="E36" t="inlineStr">
        <is>
          <t>+91-9810256129</t>
        </is>
      </c>
      <c r="F36" t="inlineStr">
        <is>
          <t>lead35@demo.in</t>
        </is>
      </c>
      <c r="G36" t="inlineStr">
        <is>
          <t>CSV Import</t>
        </is>
      </c>
      <c r="H36" t="inlineStr">
        <is>
          <t>Contacted</t>
        </is>
      </c>
      <c r="I36" t="inlineStr">
        <is>
          <t>Amit Kumar</t>
        </is>
      </c>
      <c r="J36" s="4" t="n">
        <v>46252</v>
      </c>
      <c r="K36" s="4" t="n">
        <v>46256</v>
      </c>
      <c r="L36" t="n">
        <v>78262</v>
      </c>
      <c r="M36" t="inlineStr">
        <is>
          <t>No</t>
        </is>
      </c>
      <c r="N36" t="inlineStr">
        <is>
          <t>Demo lead</t>
        </is>
      </c>
    </row>
    <row r="37">
      <c r="A37" t="n">
        <v>36</v>
      </c>
      <c r="B37" t="inlineStr">
        <is>
          <t>Nisha Jain</t>
        </is>
      </c>
      <c r="C37" t="inlineStr">
        <is>
          <t>Company 36</t>
        </is>
      </c>
      <c r="D37" t="inlineStr">
        <is>
          <t>IT</t>
        </is>
      </c>
      <c r="E37" t="inlineStr">
        <is>
          <t>+91-9836752197</t>
        </is>
      </c>
      <c r="F37" t="inlineStr">
        <is>
          <t>lead36@demo.in</t>
        </is>
      </c>
      <c r="G37" t="inlineStr">
        <is>
          <t>LinkedIn</t>
        </is>
      </c>
      <c r="H37" t="inlineStr">
        <is>
          <t>Negotiation</t>
        </is>
      </c>
      <c r="I37" t="inlineStr">
        <is>
          <t>Rahul Mehta</t>
        </is>
      </c>
      <c r="J37" s="4" t="n">
        <v>46268</v>
      </c>
      <c r="K37" s="4" t="n">
        <v>46272</v>
      </c>
      <c r="L37" t="n">
        <v>101584</v>
      </c>
      <c r="M37" t="inlineStr">
        <is>
          <t>No</t>
        </is>
      </c>
      <c r="N37" t="inlineStr">
        <is>
          <t>Demo lead</t>
        </is>
      </c>
    </row>
    <row r="38">
      <c r="A38" t="n">
        <v>37</v>
      </c>
      <c r="B38" t="inlineStr">
        <is>
          <t>Karan Mehta</t>
        </is>
      </c>
      <c r="C38" t="inlineStr">
        <is>
          <t>Company 37</t>
        </is>
      </c>
      <c r="D38" t="inlineStr">
        <is>
          <t>IT</t>
        </is>
      </c>
      <c r="E38" t="inlineStr">
        <is>
          <t>+91-9872164355</t>
        </is>
      </c>
      <c r="F38" t="inlineStr">
        <is>
          <t>lead37@demo.in</t>
        </is>
      </c>
      <c r="G38" t="inlineStr">
        <is>
          <t>Google Ads</t>
        </is>
      </c>
      <c r="H38" t="inlineStr">
        <is>
          <t>Qualified</t>
        </is>
      </c>
      <c r="I38" t="inlineStr">
        <is>
          <t>Amit Kumar</t>
        </is>
      </c>
      <c r="J38" s="4" t="n">
        <v>46236</v>
      </c>
      <c r="K38" s="4" t="n">
        <v>46240</v>
      </c>
      <c r="L38" t="n">
        <v>26370</v>
      </c>
      <c r="M38" t="inlineStr">
        <is>
          <t>No</t>
        </is>
      </c>
      <c r="N38" t="inlineStr">
        <is>
          <t>Demo lead</t>
        </is>
      </c>
    </row>
    <row r="39">
      <c r="A39" t="n">
        <v>38</v>
      </c>
      <c r="B39" t="inlineStr">
        <is>
          <t>Sonia Kapoor</t>
        </is>
      </c>
      <c r="C39" t="inlineStr">
        <is>
          <t>Company 38</t>
        </is>
      </c>
      <c r="D39" t="inlineStr">
        <is>
          <t>Education</t>
        </is>
      </c>
      <c r="E39" t="inlineStr">
        <is>
          <t>+91-9889297484</t>
        </is>
      </c>
      <c r="F39" t="inlineStr">
        <is>
          <t>lead38@demo.in</t>
        </is>
      </c>
      <c r="G39" t="inlineStr">
        <is>
          <t>Instagram</t>
        </is>
      </c>
      <c r="H39" t="inlineStr">
        <is>
          <t>Proposal Sent</t>
        </is>
      </c>
      <c r="I39" t="inlineStr">
        <is>
          <t>Rahul Mehta</t>
        </is>
      </c>
      <c r="J39" s="4" t="n">
        <v>46257</v>
      </c>
      <c r="K39" s="4" t="n">
        <v>46261</v>
      </c>
      <c r="L39" t="n">
        <v>31651</v>
      </c>
      <c r="M39" t="inlineStr">
        <is>
          <t>No</t>
        </is>
      </c>
      <c r="N39" t="inlineStr">
        <is>
          <t>Demo lead</t>
        </is>
      </c>
    </row>
    <row r="40">
      <c r="A40" t="n">
        <v>39</v>
      </c>
      <c r="B40" t="inlineStr">
        <is>
          <t>Manish Rao</t>
        </is>
      </c>
      <c r="C40" t="inlineStr">
        <is>
          <t>Company 39</t>
        </is>
      </c>
      <c r="D40" t="inlineStr">
        <is>
          <t>Education</t>
        </is>
      </c>
      <c r="E40" t="inlineStr">
        <is>
          <t>+91-9883639904</t>
        </is>
      </c>
      <c r="F40" t="inlineStr">
        <is>
          <t>lead39@demo.in</t>
        </is>
      </c>
      <c r="G40" t="inlineStr">
        <is>
          <t>Google Ads</t>
        </is>
      </c>
      <c r="H40" t="inlineStr">
        <is>
          <t>SQL</t>
        </is>
      </c>
      <c r="I40" t="inlineStr">
        <is>
          <t>Priya Sharma</t>
        </is>
      </c>
      <c r="J40" s="4" t="n">
        <v>46218</v>
      </c>
      <c r="K40" s="4" t="n">
        <v>46223</v>
      </c>
      <c r="L40" t="n">
        <v>101149</v>
      </c>
      <c r="M40" t="inlineStr">
        <is>
          <t>No</t>
        </is>
      </c>
      <c r="N40" t="inlineStr">
        <is>
          <t>Demo lead</t>
        </is>
      </c>
    </row>
    <row r="41">
      <c r="A41" t="n">
        <v>40</v>
      </c>
      <c r="B41" t="inlineStr">
        <is>
          <t>Priya Singh</t>
        </is>
      </c>
      <c r="C41" t="inlineStr">
        <is>
          <t>Company 40</t>
        </is>
      </c>
      <c r="D41" t="inlineStr">
        <is>
          <t>Education</t>
        </is>
      </c>
      <c r="E41" t="inlineStr">
        <is>
          <t>+91-9868224916</t>
        </is>
      </c>
      <c r="F41" t="inlineStr">
        <is>
          <t>lead40@demo.in</t>
        </is>
      </c>
      <c r="G41" t="inlineStr">
        <is>
          <t>Google Ads</t>
        </is>
      </c>
      <c r="H41" t="inlineStr">
        <is>
          <t>New</t>
        </is>
      </c>
      <c r="I41" t="inlineStr">
        <is>
          <t>Amit Kumar</t>
        </is>
      </c>
      <c r="J41" s="4" t="n">
        <v>46265</v>
      </c>
      <c r="K41" s="4" t="n">
        <v>46272</v>
      </c>
      <c r="L41" t="n">
        <v>84020</v>
      </c>
      <c r="M41" t="inlineStr">
        <is>
          <t>No</t>
        </is>
      </c>
      <c r="N41" t="inlineStr">
        <is>
          <t>Demo lead</t>
        </is>
      </c>
    </row>
  </sheetData>
  <autoFilter ref="A1:N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31" customWidth="1" min="4" max="4"/>
    <col width="12" customWidth="1" min="5" max="5"/>
    <col width="8" customWidth="1" min="6" max="6"/>
    <col width="8" customWidth="1" min="7" max="7"/>
    <col width="14" customWidth="1" min="8" max="8"/>
    <col width="13" customWidth="1" min="9" max="9"/>
    <col width="8" customWidth="1" min="10" max="10"/>
    <col width="8" customWidth="1" min="11" max="11"/>
    <col width="21" customWidth="1" min="12" max="12"/>
    <col width="20" customWidth="1" min="13" max="13"/>
    <col width="20" customWidth="1" min="14" max="14"/>
    <col width="7" customWidth="1" min="15" max="15"/>
    <col width="20" customWidth="1" min="16" max="16"/>
    <col width="13" customWidth="1" min="17" max="17"/>
    <col width="9" customWidth="1" min="18" max="18"/>
    <col width="20" customWidth="1" min="19" max="19"/>
  </cols>
  <sheetData>
    <row r="1">
      <c r="A1" s="3" t="inlineStr">
        <is>
          <t>Campaign ID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Campaign Name</t>
        </is>
      </c>
      <c r="E1" s="3" t="inlineStr">
        <is>
          <t>Channel</t>
        </is>
      </c>
      <c r="F1" s="3" t="inlineStr">
        <is>
          <t>Status</t>
        </is>
      </c>
      <c r="G1" s="3" t="inlineStr">
        <is>
          <t>Budget</t>
        </is>
      </c>
      <c r="H1" s="3" t="inlineStr">
        <is>
          <t>Actual Spend</t>
        </is>
      </c>
      <c r="I1" s="3" t="inlineStr">
        <is>
          <t>Impressions</t>
        </is>
      </c>
      <c r="J1" s="3" t="inlineStr">
        <is>
          <t>Reach</t>
        </is>
      </c>
      <c r="K1" s="3" t="inlineStr">
        <is>
          <t>Clicks</t>
        </is>
      </c>
      <c r="L1" s="3" t="inlineStr">
        <is>
          <t>CTR %</t>
        </is>
      </c>
      <c r="M1" s="3" t="inlineStr">
        <is>
          <t>CPC</t>
        </is>
      </c>
      <c r="N1" s="3" t="inlineStr">
        <is>
          <t>CPM</t>
        </is>
      </c>
      <c r="O1" s="3" t="inlineStr">
        <is>
          <t>Leads</t>
        </is>
      </c>
      <c r="P1" s="3" t="inlineStr">
        <is>
          <t>CPL</t>
        </is>
      </c>
      <c r="Q1" s="3" t="inlineStr">
        <is>
          <t>Conversions</t>
        </is>
      </c>
      <c r="R1" s="3" t="inlineStr">
        <is>
          <t>Revenue</t>
        </is>
      </c>
      <c r="S1" s="3" t="inlineStr">
        <is>
          <t>ROAS</t>
        </is>
      </c>
    </row>
    <row r="2">
      <c r="A2" t="n">
        <v>1</v>
      </c>
      <c r="B2" t="n">
        <v>1</v>
      </c>
      <c r="C2" t="inlineStr">
        <is>
          <t>ABC Dental Clinic</t>
        </is>
      </c>
      <c r="D2" t="inlineStr">
        <is>
          <t>ABC Dental Google Leads</t>
        </is>
      </c>
      <c r="E2" t="inlineStr">
        <is>
          <t>Google Ads</t>
        </is>
      </c>
      <c r="F2" t="inlineStr">
        <is>
          <t>Active</t>
        </is>
      </c>
      <c r="G2" t="n">
        <v>60000</v>
      </c>
      <c r="H2" t="n">
        <v>42000</v>
      </c>
      <c r="I2" t="n">
        <v>185000</v>
      </c>
      <c r="J2" t="n">
        <v>101750</v>
      </c>
      <c r="K2" t="n">
        <v>820</v>
      </c>
      <c r="L2" t="n">
        <v>0.4432432432432433</v>
      </c>
      <c r="M2" t="n">
        <v>51.21951219512195</v>
      </c>
      <c r="N2" t="n">
        <v>227.027027027027</v>
      </c>
      <c r="O2" t="n">
        <v>52</v>
      </c>
      <c r="P2" t="n">
        <v>807.6923076923077</v>
      </c>
      <c r="Q2" t="n">
        <v>18</v>
      </c>
      <c r="R2" t="n">
        <v>92000</v>
      </c>
      <c r="S2" t="n">
        <v>2.190476190476191</v>
      </c>
    </row>
    <row r="3">
      <c r="A3" t="n">
        <v>2</v>
      </c>
      <c r="B3" t="n">
        <v>1</v>
      </c>
      <c r="C3" t="inlineStr">
        <is>
          <t>ABC Dental Clinic</t>
        </is>
      </c>
      <c r="D3" t="inlineStr">
        <is>
          <t>ABC Dental Meta Retargeting</t>
        </is>
      </c>
      <c r="E3" t="inlineStr">
        <is>
          <t>Meta Ads</t>
        </is>
      </c>
      <c r="F3" t="inlineStr">
        <is>
          <t>Active</t>
        </is>
      </c>
      <c r="G3" t="n">
        <v>30000</v>
      </c>
      <c r="H3" t="n">
        <v>21000</v>
      </c>
      <c r="I3" t="n">
        <v>120000</v>
      </c>
      <c r="J3" t="n">
        <v>66000</v>
      </c>
      <c r="K3" t="n">
        <v>540</v>
      </c>
      <c r="L3" t="n">
        <v>0.45</v>
      </c>
      <c r="M3" t="n">
        <v>38.88888888888889</v>
      </c>
      <c r="N3" t="n">
        <v>175</v>
      </c>
      <c r="O3" t="n">
        <v>34</v>
      </c>
      <c r="P3" t="n">
        <v>617.6470588235294</v>
      </c>
      <c r="Q3" t="n">
        <v>12</v>
      </c>
      <c r="R3" t="n">
        <v>58000</v>
      </c>
      <c r="S3" t="n">
        <v>2.761904761904762</v>
      </c>
    </row>
    <row r="4">
      <c r="A4" t="n">
        <v>3</v>
      </c>
      <c r="B4" t="n">
        <v>2</v>
      </c>
      <c r="C4" t="inlineStr">
        <is>
          <t>Urban Fitness Studio</t>
        </is>
      </c>
      <c r="D4" t="inlineStr">
        <is>
          <t>Urban Fitness Instagram Leads</t>
        </is>
      </c>
      <c r="E4" t="inlineStr">
        <is>
          <t>Meta Ads</t>
        </is>
      </c>
      <c r="F4" t="inlineStr">
        <is>
          <t>Active</t>
        </is>
      </c>
      <c r="G4" t="n">
        <v>50000</v>
      </c>
      <c r="H4" t="n">
        <v>38000</v>
      </c>
      <c r="I4" t="n">
        <v>320000</v>
      </c>
      <c r="J4" t="n">
        <v>176000</v>
      </c>
      <c r="K4" t="n">
        <v>670</v>
      </c>
      <c r="L4" t="n">
        <v>0.209375</v>
      </c>
      <c r="M4" t="n">
        <v>56.71641791044776</v>
      </c>
      <c r="N4" t="n">
        <v>118.75</v>
      </c>
      <c r="O4" t="n">
        <v>96</v>
      </c>
      <c r="P4" t="n">
        <v>395.8333333333333</v>
      </c>
      <c r="Q4" t="n">
        <v>5</v>
      </c>
      <c r="R4" t="n">
        <v>180000</v>
      </c>
      <c r="S4" t="n">
        <v>4.736842105263158</v>
      </c>
    </row>
    <row r="5">
      <c r="A5" t="n">
        <v>4</v>
      </c>
      <c r="B5" t="n">
        <v>3</v>
      </c>
      <c r="C5" t="inlineStr">
        <is>
          <t>Shree Home Decor</t>
        </is>
      </c>
      <c r="D5" t="inlineStr">
        <is>
          <t>Shree Home Decor Search</t>
        </is>
      </c>
      <c r="E5" t="inlineStr">
        <is>
          <t>Google Ads</t>
        </is>
      </c>
      <c r="F5" t="inlineStr">
        <is>
          <t>Active</t>
        </is>
      </c>
      <c r="G5" t="n">
        <v>45000</v>
      </c>
      <c r="H5" t="n">
        <v>35000</v>
      </c>
      <c r="I5" t="n">
        <v>210000</v>
      </c>
      <c r="J5" t="n">
        <v>115500</v>
      </c>
      <c r="K5" t="n">
        <v>560</v>
      </c>
      <c r="L5" t="n">
        <v>0.2666666666666667</v>
      </c>
      <c r="M5" t="n">
        <v>62.5</v>
      </c>
      <c r="N5" t="n">
        <v>166.6666666666667</v>
      </c>
      <c r="O5" t="n">
        <v>41</v>
      </c>
      <c r="P5" t="n">
        <v>853.6585365853658</v>
      </c>
      <c r="Q5" t="n">
        <v>5</v>
      </c>
      <c r="R5" t="n">
        <v>110000</v>
      </c>
      <c r="S5" t="n">
        <v>3.142857142857143</v>
      </c>
    </row>
    <row r="6">
      <c r="A6" t="n">
        <v>5</v>
      </c>
      <c r="B6" t="n">
        <v>5</v>
      </c>
      <c r="C6" t="inlineStr">
        <is>
          <t>FreshBite Restaurant</t>
        </is>
      </c>
      <c r="D6" t="inlineStr">
        <is>
          <t>FreshBite WhatsApp Leads</t>
        </is>
      </c>
      <c r="E6" t="inlineStr">
        <is>
          <t>Meta Ads</t>
        </is>
      </c>
      <c r="F6" t="inlineStr">
        <is>
          <t>Active</t>
        </is>
      </c>
      <c r="G6" t="n">
        <v>30000</v>
      </c>
      <c r="H6" t="n">
        <v>24500</v>
      </c>
      <c r="I6" t="n">
        <v>145000</v>
      </c>
      <c r="J6" t="n">
        <v>79750</v>
      </c>
      <c r="K6" t="n">
        <v>710</v>
      </c>
      <c r="L6" t="n">
        <v>0.4896551724137931</v>
      </c>
      <c r="M6" t="n">
        <v>34.50704225352113</v>
      </c>
      <c r="N6" t="n">
        <v>168.9655172413793</v>
      </c>
      <c r="O6" t="n">
        <v>58</v>
      </c>
      <c r="P6" t="n">
        <v>422.4137931034483</v>
      </c>
      <c r="Q6" t="n">
        <v>11</v>
      </c>
      <c r="R6" t="n">
        <v>95000</v>
      </c>
      <c r="S6" t="n">
        <v>3.877551020408163</v>
      </c>
    </row>
    <row r="7">
      <c r="A7" t="n">
        <v>6</v>
      </c>
      <c r="B7" t="n">
        <v>8</v>
      </c>
      <c r="C7" t="inlineStr">
        <is>
          <t>GreenLeaf Interiors</t>
        </is>
      </c>
      <c r="D7" t="inlineStr">
        <is>
          <t>GreenLeaf Reels Awareness</t>
        </is>
      </c>
      <c r="E7" t="inlineStr">
        <is>
          <t>Meta Ads</t>
        </is>
      </c>
      <c r="F7" t="inlineStr">
        <is>
          <t>Active</t>
        </is>
      </c>
      <c r="G7" t="n">
        <v>25000</v>
      </c>
      <c r="H7" t="n">
        <v>18000</v>
      </c>
      <c r="I7" t="n">
        <v>490000</v>
      </c>
      <c r="J7" t="n">
        <v>269500</v>
      </c>
      <c r="K7" t="n">
        <v>1250</v>
      </c>
      <c r="L7" t="n">
        <v>0.2551020408163265</v>
      </c>
      <c r="M7" t="n">
        <v>14.4</v>
      </c>
      <c r="N7" t="n">
        <v>36.73469387755102</v>
      </c>
      <c r="O7" t="n">
        <v>74</v>
      </c>
      <c r="P7" t="n">
        <v>243.2432432432433</v>
      </c>
      <c r="Q7" t="n">
        <v>8</v>
      </c>
      <c r="R7" t="n">
        <v>16000</v>
      </c>
      <c r="S7" t="n">
        <v>0.8888888888888888</v>
      </c>
    </row>
    <row r="8">
      <c r="A8" t="n">
        <v>7</v>
      </c>
      <c r="B8" t="n">
        <v>4</v>
      </c>
      <c r="C8" t="inlineStr">
        <is>
          <t>TechNova Solutions</t>
        </is>
      </c>
      <c r="D8" t="inlineStr">
        <is>
          <t>TechNova SEO</t>
        </is>
      </c>
      <c r="E8" t="inlineStr">
        <is>
          <t>SEO</t>
        </is>
      </c>
      <c r="F8" t="inlineStr">
        <is>
          <t>Paused</t>
        </is>
      </c>
      <c r="G8" t="n">
        <v>20000</v>
      </c>
      <c r="H8" t="n">
        <v>12000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18</v>
      </c>
      <c r="P8" t="n">
        <v>666.6666666666666</v>
      </c>
      <c r="Q8" t="n">
        <v>2</v>
      </c>
      <c r="R8" t="n">
        <v>8000</v>
      </c>
      <c r="S8" t="n">
        <v>0.6666666666666666</v>
      </c>
    </row>
    <row r="9">
      <c r="A9" t="n">
        <v>8</v>
      </c>
      <c r="B9" t="n">
        <v>7</v>
      </c>
      <c r="C9" t="inlineStr">
        <is>
          <t>Royal Auto Care</t>
        </is>
      </c>
      <c r="D9" t="inlineStr">
        <is>
          <t>Royal Auto Local Leads</t>
        </is>
      </c>
      <c r="E9" t="inlineStr">
        <is>
          <t>Google Ads</t>
        </is>
      </c>
      <c r="F9" t="inlineStr">
        <is>
          <t>Active</t>
        </is>
      </c>
      <c r="G9" t="n">
        <v>30000</v>
      </c>
      <c r="H9" t="n">
        <v>29000</v>
      </c>
      <c r="I9" t="n">
        <v>90000</v>
      </c>
      <c r="J9" t="n">
        <v>49500</v>
      </c>
      <c r="K9" t="n">
        <v>390</v>
      </c>
      <c r="L9" t="n">
        <v>0.4333333333333333</v>
      </c>
      <c r="M9" t="n">
        <v>74.35897435897436</v>
      </c>
      <c r="N9" t="n">
        <v>322.2222222222222</v>
      </c>
      <c r="O9" t="n">
        <v>24</v>
      </c>
      <c r="P9" t="n">
        <v>1208.333333333333</v>
      </c>
      <c r="Q9" t="n">
        <v>6</v>
      </c>
      <c r="R9" t="n">
        <v>52000</v>
      </c>
      <c r="S9" t="n">
        <v>1.793103448275862</v>
      </c>
    </row>
  </sheetData>
  <autoFilter ref="A1:S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2" customWidth="1" min="4" max="4"/>
    <col width="21" customWidth="1" min="5" max="5"/>
    <col width="12" customWidth="1" min="6" max="6"/>
    <col width="15" customWidth="1" min="7" max="7"/>
    <col width="16" customWidth="1" min="8" max="8"/>
    <col width="15" customWidth="1" min="9" max="9"/>
    <col width="14" customWidth="1" min="10" max="10"/>
    <col width="21" customWidth="1" min="11" max="11"/>
  </cols>
  <sheetData>
    <row r="1">
      <c r="A1" s="3" t="inlineStr">
        <is>
          <t>Deal ID</t>
        </is>
      </c>
      <c r="B1" s="3" t="inlineStr">
        <is>
          <t>Lead ID</t>
        </is>
      </c>
      <c r="C1" s="3" t="inlineStr">
        <is>
          <t>Lead Name</t>
        </is>
      </c>
      <c r="D1" s="3" t="inlineStr">
        <is>
          <t>Company</t>
        </is>
      </c>
      <c r="E1" s="3" t="inlineStr">
        <is>
          <t>Service</t>
        </is>
      </c>
      <c r="F1" s="3" t="inlineStr">
        <is>
          <t>Deal Value</t>
        </is>
      </c>
      <c r="G1" s="3" t="inlineStr">
        <is>
          <t>Probability %</t>
        </is>
      </c>
      <c r="H1" s="3" t="inlineStr">
        <is>
          <t>Weighted Value</t>
        </is>
      </c>
      <c r="I1" s="3" t="inlineStr">
        <is>
          <t>Stage</t>
        </is>
      </c>
      <c r="J1" s="3" t="inlineStr">
        <is>
          <t>Sales Owner</t>
        </is>
      </c>
      <c r="K1" s="3" t="inlineStr">
        <is>
          <t>Expected Close Date</t>
        </is>
      </c>
    </row>
    <row r="2">
      <c r="A2" t="n">
        <v>1</v>
      </c>
      <c r="B2" t="n">
        <v>1</v>
      </c>
      <c r="C2" t="inlineStr">
        <is>
          <t>Aarav Sharma</t>
        </is>
      </c>
      <c r="D2" t="inlineStr">
        <is>
          <t>Company 01</t>
        </is>
      </c>
      <c r="E2" t="inlineStr">
        <is>
          <t>Google Ads</t>
        </is>
      </c>
      <c r="F2" t="n">
        <v>100319</v>
      </c>
      <c r="G2" t="n">
        <v>65</v>
      </c>
      <c r="H2" t="n">
        <v>65207</v>
      </c>
      <c r="I2" t="inlineStr">
        <is>
          <t>Proposal Sent</t>
        </is>
      </c>
      <c r="J2" t="inlineStr">
        <is>
          <t>Rahul Mehta</t>
        </is>
      </c>
      <c r="K2" s="4" t="n">
        <v>46296</v>
      </c>
    </row>
    <row r="3">
      <c r="A3" t="n">
        <v>2</v>
      </c>
      <c r="B3" t="n">
        <v>2</v>
      </c>
      <c r="C3" t="inlineStr">
        <is>
          <t>Simran Gupta</t>
        </is>
      </c>
      <c r="D3" t="inlineStr">
        <is>
          <t>Company 02</t>
        </is>
      </c>
      <c r="E3" t="inlineStr">
        <is>
          <t>Meta Ads</t>
        </is>
      </c>
      <c r="F3" t="n">
        <v>43140</v>
      </c>
      <c r="G3" t="n">
        <v>65</v>
      </c>
      <c r="H3" t="n">
        <v>28041</v>
      </c>
      <c r="I3" t="inlineStr">
        <is>
          <t>Proposal Sent</t>
        </is>
      </c>
      <c r="J3" t="inlineStr">
        <is>
          <t>Rahul Mehta</t>
        </is>
      </c>
      <c r="K3" s="4" t="n">
        <v>46317</v>
      </c>
    </row>
    <row r="4">
      <c r="A4" t="n">
        <v>3</v>
      </c>
      <c r="B4" t="n">
        <v>3</v>
      </c>
      <c r="C4" t="inlineStr">
        <is>
          <t>Vivek Kumar</t>
        </is>
      </c>
      <c r="D4" t="inlineStr">
        <is>
          <t>Company 03</t>
        </is>
      </c>
      <c r="E4" t="inlineStr">
        <is>
          <t>Meta Ads</t>
        </is>
      </c>
      <c r="F4" t="n">
        <v>70642</v>
      </c>
      <c r="G4" t="n">
        <v>80</v>
      </c>
      <c r="H4" t="n">
        <v>56514</v>
      </c>
      <c r="I4" t="inlineStr">
        <is>
          <t>Negotiation</t>
        </is>
      </c>
      <c r="J4" t="inlineStr">
        <is>
          <t>Priya Sharma</t>
        </is>
      </c>
      <c r="K4" s="4" t="n">
        <v>46288</v>
      </c>
    </row>
    <row r="5">
      <c r="A5" t="n">
        <v>4</v>
      </c>
      <c r="B5" t="n">
        <v>4</v>
      </c>
      <c r="C5" t="inlineStr">
        <is>
          <t>Pooja Singh</t>
        </is>
      </c>
      <c r="D5" t="inlineStr">
        <is>
          <t>Company 04</t>
        </is>
      </c>
      <c r="E5" t="inlineStr">
        <is>
          <t>Meta Ads</t>
        </is>
      </c>
      <c r="F5" t="n">
        <v>23108</v>
      </c>
      <c r="G5" t="n">
        <v>40</v>
      </c>
      <c r="H5" t="n">
        <v>9243</v>
      </c>
      <c r="I5" t="inlineStr">
        <is>
          <t>Qualified</t>
        </is>
      </c>
      <c r="J5" t="inlineStr">
        <is>
          <t>Priya Sharma</t>
        </is>
      </c>
      <c r="K5" s="4" t="n">
        <v>46322</v>
      </c>
    </row>
    <row r="6">
      <c r="A6" t="n">
        <v>5</v>
      </c>
      <c r="B6" t="n">
        <v>5</v>
      </c>
      <c r="C6" t="inlineStr">
        <is>
          <t>Ravi Verma</t>
        </is>
      </c>
      <c r="D6" t="inlineStr">
        <is>
          <t>Company 05</t>
        </is>
      </c>
      <c r="E6" t="inlineStr">
        <is>
          <t>Website Development</t>
        </is>
      </c>
      <c r="F6" t="n">
        <v>52959</v>
      </c>
      <c r="G6" t="n">
        <v>0</v>
      </c>
      <c r="H6" t="n">
        <v>0</v>
      </c>
      <c r="I6" t="inlineStr">
        <is>
          <t>Lost</t>
        </is>
      </c>
      <c r="J6" t="inlineStr">
        <is>
          <t>Priya Sharma</t>
        </is>
      </c>
      <c r="K6" s="4" t="n">
        <v>46312</v>
      </c>
    </row>
    <row r="7">
      <c r="A7" t="n">
        <v>6</v>
      </c>
      <c r="B7" t="n">
        <v>6</v>
      </c>
      <c r="C7" t="inlineStr">
        <is>
          <t>Nisha Jain</t>
        </is>
      </c>
      <c r="D7" t="inlineStr">
        <is>
          <t>Company 06</t>
        </is>
      </c>
      <c r="E7" t="inlineStr">
        <is>
          <t>Website Development</t>
        </is>
      </c>
      <c r="F7" t="n">
        <v>28507</v>
      </c>
      <c r="G7" t="n">
        <v>65</v>
      </c>
      <c r="H7" t="n">
        <v>18530</v>
      </c>
      <c r="I7" t="inlineStr">
        <is>
          <t>Proposal Sent</t>
        </is>
      </c>
      <c r="J7" t="inlineStr">
        <is>
          <t>Rahul Mehta</t>
        </is>
      </c>
      <c r="K7" s="4" t="n">
        <v>46313</v>
      </c>
    </row>
    <row r="8">
      <c r="A8" t="n">
        <v>7</v>
      </c>
      <c r="B8" t="n">
        <v>7</v>
      </c>
      <c r="C8" t="inlineStr">
        <is>
          <t>Karan Mehta</t>
        </is>
      </c>
      <c r="D8" t="inlineStr">
        <is>
          <t>Company 07</t>
        </is>
      </c>
      <c r="E8" t="inlineStr">
        <is>
          <t>SEO</t>
        </is>
      </c>
      <c r="F8" t="n">
        <v>88972</v>
      </c>
      <c r="G8" t="n">
        <v>0</v>
      </c>
      <c r="H8" t="n">
        <v>0</v>
      </c>
      <c r="I8" t="inlineStr">
        <is>
          <t>Lost</t>
        </is>
      </c>
      <c r="J8" t="inlineStr">
        <is>
          <t>Priya Sharma</t>
        </is>
      </c>
      <c r="K8" s="4" t="n">
        <v>46291</v>
      </c>
    </row>
    <row r="9">
      <c r="A9" t="n">
        <v>8</v>
      </c>
      <c r="B9" t="n">
        <v>8</v>
      </c>
      <c r="C9" t="inlineStr">
        <is>
          <t>Sonia Kapoor</t>
        </is>
      </c>
      <c r="D9" t="inlineStr">
        <is>
          <t>Company 08</t>
        </is>
      </c>
      <c r="E9" t="inlineStr">
        <is>
          <t>SEO</t>
        </is>
      </c>
      <c r="F9" t="n">
        <v>91750</v>
      </c>
      <c r="G9" t="n">
        <v>0</v>
      </c>
      <c r="H9" t="n">
        <v>0</v>
      </c>
      <c r="I9" t="inlineStr">
        <is>
          <t>Lost</t>
        </is>
      </c>
      <c r="J9" t="inlineStr">
        <is>
          <t>Rahul Mehta</t>
        </is>
      </c>
      <c r="K9" s="4" t="n">
        <v>46291</v>
      </c>
    </row>
    <row r="10">
      <c r="A10" t="n">
        <v>9</v>
      </c>
      <c r="B10" t="n">
        <v>9</v>
      </c>
      <c r="C10" t="inlineStr">
        <is>
          <t>Manish Rao</t>
        </is>
      </c>
      <c r="D10" t="inlineStr">
        <is>
          <t>Company 09</t>
        </is>
      </c>
      <c r="E10" t="inlineStr">
        <is>
          <t>Social Media</t>
        </is>
      </c>
      <c r="F10" t="n">
        <v>25728</v>
      </c>
      <c r="G10" t="n">
        <v>65</v>
      </c>
      <c r="H10" t="n">
        <v>16723</v>
      </c>
      <c r="I10" t="inlineStr">
        <is>
          <t>Proposal Sent</t>
        </is>
      </c>
      <c r="J10" t="inlineStr">
        <is>
          <t>Rahul Mehta</t>
        </is>
      </c>
      <c r="K10" s="4" t="n">
        <v>46315</v>
      </c>
    </row>
    <row r="11">
      <c r="A11" t="n">
        <v>10</v>
      </c>
      <c r="B11" t="n">
        <v>10</v>
      </c>
      <c r="C11" t="inlineStr">
        <is>
          <t>Priya Singh</t>
        </is>
      </c>
      <c r="D11" t="inlineStr">
        <is>
          <t>Company 10</t>
        </is>
      </c>
      <c r="E11" t="inlineStr">
        <is>
          <t>Meta Ads</t>
        </is>
      </c>
      <c r="F11" t="n">
        <v>94817</v>
      </c>
      <c r="G11" t="n">
        <v>40</v>
      </c>
      <c r="H11" t="n">
        <v>37927</v>
      </c>
      <c r="I11" t="inlineStr">
        <is>
          <t>Qualified</t>
        </is>
      </c>
      <c r="J11" t="inlineStr">
        <is>
          <t>Priya Sharma</t>
        </is>
      </c>
      <c r="K11" s="4" t="n">
        <v>46286</v>
      </c>
    </row>
    <row r="12">
      <c r="A12" t="n">
        <v>11</v>
      </c>
      <c r="B12" t="n">
        <v>11</v>
      </c>
      <c r="C12" t="inlineStr">
        <is>
          <t>Aarav Sharma</t>
        </is>
      </c>
      <c r="D12" t="inlineStr">
        <is>
          <t>Company 11</t>
        </is>
      </c>
      <c r="E12" t="inlineStr">
        <is>
          <t>SEO</t>
        </is>
      </c>
      <c r="F12" t="n">
        <v>79089</v>
      </c>
      <c r="G12" t="n">
        <v>0</v>
      </c>
      <c r="H12" t="n">
        <v>0</v>
      </c>
      <c r="I12" t="inlineStr">
        <is>
          <t>Lost</t>
        </is>
      </c>
      <c r="J12" t="inlineStr">
        <is>
          <t>Rahul Mehta</t>
        </is>
      </c>
      <c r="K12" s="4" t="n">
        <v>46292</v>
      </c>
    </row>
    <row r="13">
      <c r="A13" t="n">
        <v>12</v>
      </c>
      <c r="B13" t="n">
        <v>12</v>
      </c>
      <c r="C13" t="inlineStr">
        <is>
          <t>Simran Gupta</t>
        </is>
      </c>
      <c r="D13" t="inlineStr">
        <is>
          <t>Company 12</t>
        </is>
      </c>
      <c r="E13" t="inlineStr">
        <is>
          <t>SEO</t>
        </is>
      </c>
      <c r="F13" t="n">
        <v>92905</v>
      </c>
      <c r="G13" t="n">
        <v>80</v>
      </c>
      <c r="H13" t="n">
        <v>74324</v>
      </c>
      <c r="I13" t="inlineStr">
        <is>
          <t>Negotiation</t>
        </is>
      </c>
      <c r="J13" t="inlineStr">
        <is>
          <t>Rahul Mehta</t>
        </is>
      </c>
      <c r="K13" s="4" t="n">
        <v>46312</v>
      </c>
    </row>
    <row r="14">
      <c r="A14" t="n">
        <v>13</v>
      </c>
      <c r="B14" t="n">
        <v>13</v>
      </c>
      <c r="C14" t="inlineStr">
        <is>
          <t>Vivek Kumar</t>
        </is>
      </c>
      <c r="D14" t="inlineStr">
        <is>
          <t>Company 13</t>
        </is>
      </c>
      <c r="E14" t="inlineStr">
        <is>
          <t>Website Development</t>
        </is>
      </c>
      <c r="F14" t="n">
        <v>106362</v>
      </c>
      <c r="G14" t="n">
        <v>100</v>
      </c>
      <c r="H14" t="n">
        <v>106362</v>
      </c>
      <c r="I14" t="inlineStr">
        <is>
          <t>Won</t>
        </is>
      </c>
      <c r="J14" t="inlineStr">
        <is>
          <t>Rahul Mehta</t>
        </is>
      </c>
      <c r="K14" s="4" t="n">
        <v>46284</v>
      </c>
    </row>
    <row r="15">
      <c r="A15" t="n">
        <v>14</v>
      </c>
      <c r="B15" t="n">
        <v>14</v>
      </c>
      <c r="C15" t="inlineStr">
        <is>
          <t>Pooja Singh</t>
        </is>
      </c>
      <c r="D15" t="inlineStr">
        <is>
          <t>Company 14</t>
        </is>
      </c>
      <c r="E15" t="inlineStr">
        <is>
          <t>Meta Ads</t>
        </is>
      </c>
      <c r="F15" t="n">
        <v>52302</v>
      </c>
      <c r="G15" t="n">
        <v>100</v>
      </c>
      <c r="H15" t="n">
        <v>52302</v>
      </c>
      <c r="I15" t="inlineStr">
        <is>
          <t>Won</t>
        </is>
      </c>
      <c r="J15" t="inlineStr">
        <is>
          <t>Rahul Mehta</t>
        </is>
      </c>
      <c r="K15" s="4" t="n">
        <v>46324</v>
      </c>
    </row>
    <row r="16">
      <c r="A16" t="n">
        <v>15</v>
      </c>
      <c r="B16" t="n">
        <v>15</v>
      </c>
      <c r="C16" t="inlineStr">
        <is>
          <t>Ravi Verma</t>
        </is>
      </c>
      <c r="D16" t="inlineStr">
        <is>
          <t>Company 15</t>
        </is>
      </c>
      <c r="E16" t="inlineStr">
        <is>
          <t>Social Media</t>
        </is>
      </c>
      <c r="F16" t="n">
        <v>37026</v>
      </c>
      <c r="G16" t="n">
        <v>80</v>
      </c>
      <c r="H16" t="n">
        <v>29621</v>
      </c>
      <c r="I16" t="inlineStr">
        <is>
          <t>Negotiation</t>
        </is>
      </c>
      <c r="J16" t="inlineStr">
        <is>
          <t>Priya Sharma</t>
        </is>
      </c>
      <c r="K16" s="4" t="n">
        <v>46312</v>
      </c>
    </row>
    <row r="17">
      <c r="A17" t="n">
        <v>16</v>
      </c>
      <c r="B17" t="n">
        <v>16</v>
      </c>
      <c r="C17" t="inlineStr">
        <is>
          <t>Nisha Jain</t>
        </is>
      </c>
      <c r="D17" t="inlineStr">
        <is>
          <t>Company 16</t>
        </is>
      </c>
      <c r="E17" t="inlineStr">
        <is>
          <t>Website Development</t>
        </is>
      </c>
      <c r="F17" t="n">
        <v>111778</v>
      </c>
      <c r="G17" t="n">
        <v>65</v>
      </c>
      <c r="H17" t="n">
        <v>72656</v>
      </c>
      <c r="I17" t="inlineStr">
        <is>
          <t>Proposal Sent</t>
        </is>
      </c>
      <c r="J17" t="inlineStr">
        <is>
          <t>Priya Sharma</t>
        </is>
      </c>
      <c r="K17" s="4" t="n">
        <v>46315</v>
      </c>
    </row>
    <row r="18">
      <c r="A18" t="n">
        <v>17</v>
      </c>
      <c r="B18" t="n">
        <v>17</v>
      </c>
      <c r="C18" t="inlineStr">
        <is>
          <t>Karan Mehta</t>
        </is>
      </c>
      <c r="D18" t="inlineStr">
        <is>
          <t>Company 17</t>
        </is>
      </c>
      <c r="E18" t="inlineStr">
        <is>
          <t>Social Media</t>
        </is>
      </c>
      <c r="F18" t="n">
        <v>67644</v>
      </c>
      <c r="G18" t="n">
        <v>65</v>
      </c>
      <c r="H18" t="n">
        <v>43969</v>
      </c>
      <c r="I18" t="inlineStr">
        <is>
          <t>Proposal Sent</t>
        </is>
      </c>
      <c r="J18" t="inlineStr">
        <is>
          <t>Rahul Mehta</t>
        </is>
      </c>
      <c r="K18" s="4" t="n">
        <v>46306</v>
      </c>
    </row>
    <row r="19">
      <c r="A19" t="n">
        <v>18</v>
      </c>
      <c r="B19" t="n">
        <v>18</v>
      </c>
      <c r="C19" t="inlineStr">
        <is>
          <t>Sonia Kapoor</t>
        </is>
      </c>
      <c r="D19" t="inlineStr">
        <is>
          <t>Company 18</t>
        </is>
      </c>
      <c r="E19" t="inlineStr">
        <is>
          <t>Social Media</t>
        </is>
      </c>
      <c r="F19" t="n">
        <v>107588</v>
      </c>
      <c r="G19" t="n">
        <v>40</v>
      </c>
      <c r="H19" t="n">
        <v>43035</v>
      </c>
      <c r="I19" t="inlineStr">
        <is>
          <t>Qualified</t>
        </is>
      </c>
      <c r="J19" t="inlineStr">
        <is>
          <t>Priya Sharma</t>
        </is>
      </c>
      <c r="K19" s="4" t="n">
        <v>46300</v>
      </c>
    </row>
    <row r="20">
      <c r="A20" t="n">
        <v>19</v>
      </c>
      <c r="B20" t="n">
        <v>19</v>
      </c>
      <c r="C20" t="inlineStr">
        <is>
          <t>Manish Rao</t>
        </is>
      </c>
      <c r="D20" t="inlineStr">
        <is>
          <t>Company 19</t>
        </is>
      </c>
      <c r="E20" t="inlineStr">
        <is>
          <t>Google Ads</t>
        </is>
      </c>
      <c r="F20" t="n">
        <v>45403</v>
      </c>
      <c r="G20" t="n">
        <v>40</v>
      </c>
      <c r="H20" t="n">
        <v>18161</v>
      </c>
      <c r="I20" t="inlineStr">
        <is>
          <t>Qualified</t>
        </is>
      </c>
      <c r="J20" t="inlineStr">
        <is>
          <t>Priya Sharma</t>
        </is>
      </c>
      <c r="K20" s="4" t="n">
        <v>46284</v>
      </c>
    </row>
    <row r="21">
      <c r="A21" t="n">
        <v>20</v>
      </c>
      <c r="B21" t="n">
        <v>20</v>
      </c>
      <c r="C21" t="inlineStr">
        <is>
          <t>Priya Singh</t>
        </is>
      </c>
      <c r="D21" t="inlineStr">
        <is>
          <t>Company 20</t>
        </is>
      </c>
      <c r="E21" t="inlineStr">
        <is>
          <t>Meta Ads</t>
        </is>
      </c>
      <c r="F21" t="n">
        <v>34094</v>
      </c>
      <c r="G21" t="n">
        <v>65</v>
      </c>
      <c r="H21" t="n">
        <v>22161</v>
      </c>
      <c r="I21" t="inlineStr">
        <is>
          <t>Proposal Sent</t>
        </is>
      </c>
      <c r="J21" t="inlineStr">
        <is>
          <t>Rahul Mehta</t>
        </is>
      </c>
      <c r="K21" s="4" t="n">
        <v>46289</v>
      </c>
    </row>
    <row r="22">
      <c r="A22" t="n">
        <v>21</v>
      </c>
      <c r="B22" t="n">
        <v>21</v>
      </c>
      <c r="C22" t="inlineStr">
        <is>
          <t>Aarav Sharma</t>
        </is>
      </c>
      <c r="D22" t="inlineStr">
        <is>
          <t>Company 21</t>
        </is>
      </c>
      <c r="E22" t="inlineStr">
        <is>
          <t>Google Ads</t>
        </is>
      </c>
      <c r="F22" t="n">
        <v>95949</v>
      </c>
      <c r="G22" t="n">
        <v>80</v>
      </c>
      <c r="H22" t="n">
        <v>76759</v>
      </c>
      <c r="I22" t="inlineStr">
        <is>
          <t>Negotiation</t>
        </is>
      </c>
      <c r="J22" t="inlineStr">
        <is>
          <t>Priya Sharma</t>
        </is>
      </c>
      <c r="K22" s="4" t="n">
        <v>46288</v>
      </c>
    </row>
    <row r="23">
      <c r="A23" t="n">
        <v>22</v>
      </c>
      <c r="B23" t="n">
        <v>22</v>
      </c>
      <c r="C23" t="inlineStr">
        <is>
          <t>Simran Gupta</t>
        </is>
      </c>
      <c r="D23" t="inlineStr">
        <is>
          <t>Company 22</t>
        </is>
      </c>
      <c r="E23" t="inlineStr">
        <is>
          <t>Google Ads</t>
        </is>
      </c>
      <c r="F23" t="n">
        <v>28570</v>
      </c>
      <c r="G23" t="n">
        <v>100</v>
      </c>
      <c r="H23" t="n">
        <v>28570</v>
      </c>
      <c r="I23" t="inlineStr">
        <is>
          <t>Won</t>
        </is>
      </c>
      <c r="J23" t="inlineStr">
        <is>
          <t>Rahul Mehta</t>
        </is>
      </c>
      <c r="K23" s="4" t="n">
        <v>46305</v>
      </c>
    </row>
    <row r="24">
      <c r="A24" t="n">
        <v>23</v>
      </c>
      <c r="B24" t="n">
        <v>23</v>
      </c>
      <c r="C24" t="inlineStr">
        <is>
          <t>Vivek Kumar</t>
        </is>
      </c>
      <c r="D24" t="inlineStr">
        <is>
          <t>Company 23</t>
        </is>
      </c>
      <c r="E24" t="inlineStr">
        <is>
          <t>Google Ads</t>
        </is>
      </c>
      <c r="F24" t="n">
        <v>72753</v>
      </c>
      <c r="G24" t="n">
        <v>100</v>
      </c>
      <c r="H24" t="n">
        <v>72753</v>
      </c>
      <c r="I24" t="inlineStr">
        <is>
          <t>Won</t>
        </is>
      </c>
      <c r="J24" t="inlineStr">
        <is>
          <t>Rahul Mehta</t>
        </is>
      </c>
      <c r="K24" s="4" t="n">
        <v>46290</v>
      </c>
    </row>
    <row r="25">
      <c r="A25" t="n">
        <v>24</v>
      </c>
      <c r="B25" t="n">
        <v>24</v>
      </c>
      <c r="C25" t="inlineStr">
        <is>
          <t>Pooja Singh</t>
        </is>
      </c>
      <c r="D25" t="inlineStr">
        <is>
          <t>Company 24</t>
        </is>
      </c>
      <c r="E25" t="inlineStr">
        <is>
          <t>Website Development</t>
        </is>
      </c>
      <c r="F25" t="n">
        <v>34826</v>
      </c>
      <c r="G25" t="n">
        <v>100</v>
      </c>
      <c r="H25" t="n">
        <v>34826</v>
      </c>
      <c r="I25" t="inlineStr">
        <is>
          <t>Won</t>
        </is>
      </c>
      <c r="J25" t="inlineStr">
        <is>
          <t>Priya Sharma</t>
        </is>
      </c>
      <c r="K25" s="4" t="n">
        <v>46301</v>
      </c>
    </row>
    <row r="26">
      <c r="A26" t="n">
        <v>25</v>
      </c>
      <c r="B26" t="n">
        <v>25</v>
      </c>
      <c r="C26" t="inlineStr">
        <is>
          <t>Ravi Verma</t>
        </is>
      </c>
      <c r="D26" t="inlineStr">
        <is>
          <t>Company 25</t>
        </is>
      </c>
      <c r="E26" t="inlineStr">
        <is>
          <t>Google Ads</t>
        </is>
      </c>
      <c r="F26" t="n">
        <v>95487</v>
      </c>
      <c r="G26" t="n">
        <v>100</v>
      </c>
      <c r="H26" t="n">
        <v>95487</v>
      </c>
      <c r="I26" t="inlineStr">
        <is>
          <t>Won</t>
        </is>
      </c>
      <c r="J26" t="inlineStr">
        <is>
          <t>Priya Sharma</t>
        </is>
      </c>
      <c r="K26" s="4" t="n">
        <v>46300</v>
      </c>
    </row>
  </sheetData>
  <autoFilter ref="A1:K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4" customWidth="1" min="4" max="4"/>
    <col width="16" customWidth="1" min="5" max="5"/>
    <col width="10" customWidth="1" min="6" max="6"/>
    <col width="11" customWidth="1" min="7" max="7"/>
    <col width="26" customWidth="1" min="8" max="8"/>
  </cols>
  <sheetData>
    <row r="1">
      <c r="A1" s="3" t="inlineStr">
        <is>
          <t>Follow-up ID</t>
        </is>
      </c>
      <c r="B1" s="3" t="inlineStr">
        <is>
          <t>Lead ID</t>
        </is>
      </c>
      <c r="C1" s="3" t="inlineStr">
        <is>
          <t>Lead Name</t>
        </is>
      </c>
      <c r="D1" s="3" t="inlineStr">
        <is>
          <t>Assigned To</t>
        </is>
      </c>
      <c r="E1" s="3" t="inlineStr">
        <is>
          <t>Follow-up Date</t>
        </is>
      </c>
      <c r="F1" s="3" t="inlineStr">
        <is>
          <t>Type</t>
        </is>
      </c>
      <c r="G1" s="3" t="inlineStr">
        <is>
          <t>Status</t>
        </is>
      </c>
      <c r="H1" s="3" t="inlineStr">
        <is>
          <t>Notes</t>
        </is>
      </c>
    </row>
    <row r="2">
      <c r="A2" t="n">
        <v>1</v>
      </c>
      <c r="B2" t="n">
        <v>1</v>
      </c>
      <c r="C2" t="inlineStr">
        <is>
          <t>Aarav Sharma</t>
        </is>
      </c>
      <c r="D2" t="inlineStr">
        <is>
          <t>Rahul Mehta</t>
        </is>
      </c>
      <c r="E2" s="4" t="n">
        <v>46278</v>
      </c>
      <c r="F2" t="inlineStr">
        <is>
          <t>Email</t>
        </is>
      </c>
      <c r="G2" t="inlineStr">
        <is>
          <t>Pending</t>
        </is>
      </c>
      <c r="H2" t="inlineStr">
        <is>
          <t>Schedule demo</t>
        </is>
      </c>
    </row>
    <row r="3">
      <c r="A3" t="n">
        <v>2</v>
      </c>
      <c r="B3" t="n">
        <v>2</v>
      </c>
      <c r="C3" t="inlineStr">
        <is>
          <t>Simran Gupta</t>
        </is>
      </c>
      <c r="D3" t="inlineStr">
        <is>
          <t>Rahul Mehta</t>
        </is>
      </c>
      <c r="E3" s="4" t="n">
        <v>46293</v>
      </c>
      <c r="F3" t="inlineStr">
        <is>
          <t>Meeting</t>
        </is>
      </c>
      <c r="G3" t="inlineStr">
        <is>
          <t>Completed</t>
        </is>
      </c>
      <c r="H3" t="inlineStr">
        <is>
          <t>Interested in proposal</t>
        </is>
      </c>
    </row>
    <row r="4">
      <c r="A4" t="n">
        <v>3</v>
      </c>
      <c r="B4" t="n">
        <v>3</v>
      </c>
      <c r="C4" t="inlineStr">
        <is>
          <t>Vivek Kumar</t>
        </is>
      </c>
      <c r="D4" t="inlineStr">
        <is>
          <t>Rahul Mehta</t>
        </is>
      </c>
      <c r="E4" s="4" t="n">
        <v>46288</v>
      </c>
      <c r="F4" t="inlineStr">
        <is>
          <t>Email</t>
        </is>
      </c>
      <c r="G4" t="inlineStr">
        <is>
          <t>Overdue</t>
        </is>
      </c>
      <c r="H4" t="inlineStr">
        <is>
          <t>Schedule demo</t>
        </is>
      </c>
    </row>
    <row r="5">
      <c r="A5" t="n">
        <v>4</v>
      </c>
      <c r="B5" t="n">
        <v>4</v>
      </c>
      <c r="C5" t="inlineStr">
        <is>
          <t>Pooja Singh</t>
        </is>
      </c>
      <c r="D5" t="inlineStr">
        <is>
          <t>Amit Kumar</t>
        </is>
      </c>
      <c r="E5" s="4" t="n">
        <v>46292</v>
      </c>
      <c r="F5" t="inlineStr">
        <is>
          <t>Call</t>
        </is>
      </c>
      <c r="G5" t="inlineStr">
        <is>
          <t>Pending</t>
        </is>
      </c>
      <c r="H5" t="inlineStr">
        <is>
          <t>Need pricing</t>
        </is>
      </c>
    </row>
    <row r="6">
      <c r="A6" t="n">
        <v>5</v>
      </c>
      <c r="B6" t="n">
        <v>5</v>
      </c>
      <c r="C6" t="inlineStr">
        <is>
          <t>Ravi Verma</t>
        </is>
      </c>
      <c r="D6" t="inlineStr">
        <is>
          <t>Priya Sharma</t>
        </is>
      </c>
      <c r="E6" s="4" t="n">
        <v>46279</v>
      </c>
      <c r="F6" t="inlineStr">
        <is>
          <t>Call</t>
        </is>
      </c>
      <c r="G6" t="inlineStr">
        <is>
          <t>Completed</t>
        </is>
      </c>
      <c r="H6" t="inlineStr">
        <is>
          <t>Schedule demo</t>
        </is>
      </c>
    </row>
    <row r="7">
      <c r="A7" t="n">
        <v>6</v>
      </c>
      <c r="B7" t="n">
        <v>6</v>
      </c>
      <c r="C7" t="inlineStr">
        <is>
          <t>Nisha Jain</t>
        </is>
      </c>
      <c r="D7" t="inlineStr">
        <is>
          <t>Amit Kumar</t>
        </is>
      </c>
      <c r="E7" s="4" t="n">
        <v>46277</v>
      </c>
      <c r="F7" t="inlineStr">
        <is>
          <t>WhatsApp</t>
        </is>
      </c>
      <c r="G7" t="inlineStr">
        <is>
          <t>Completed</t>
        </is>
      </c>
      <c r="H7" t="inlineStr">
        <is>
          <t>Need pricing</t>
        </is>
      </c>
    </row>
    <row r="8">
      <c r="A8" t="n">
        <v>7</v>
      </c>
      <c r="B8" t="n">
        <v>7</v>
      </c>
      <c r="C8" t="inlineStr">
        <is>
          <t>Karan Mehta</t>
        </is>
      </c>
      <c r="D8" t="inlineStr">
        <is>
          <t>Rahul Mehta</t>
        </is>
      </c>
      <c r="E8" s="4" t="n">
        <v>46289</v>
      </c>
      <c r="F8" t="inlineStr">
        <is>
          <t>Email</t>
        </is>
      </c>
      <c r="G8" t="inlineStr">
        <is>
          <t>Completed</t>
        </is>
      </c>
      <c r="H8" t="inlineStr">
        <is>
          <t>Need pricing</t>
        </is>
      </c>
    </row>
    <row r="9">
      <c r="A9" t="n">
        <v>8</v>
      </c>
      <c r="B9" t="n">
        <v>8</v>
      </c>
      <c r="C9" t="inlineStr">
        <is>
          <t>Sonia Kapoor</t>
        </is>
      </c>
      <c r="D9" t="inlineStr">
        <is>
          <t>Priya Sharma</t>
        </is>
      </c>
      <c r="E9" s="4" t="n">
        <v>46293</v>
      </c>
      <c r="F9" t="inlineStr">
        <is>
          <t>Demo</t>
        </is>
      </c>
      <c r="G9" t="inlineStr">
        <is>
          <t>Overdue</t>
        </is>
      </c>
      <c r="H9" t="inlineStr">
        <is>
          <t>Decision maker follow-up</t>
        </is>
      </c>
    </row>
    <row r="10">
      <c r="A10" t="n">
        <v>9</v>
      </c>
      <c r="B10" t="n">
        <v>9</v>
      </c>
      <c r="C10" t="inlineStr">
        <is>
          <t>Manish Rao</t>
        </is>
      </c>
      <c r="D10" t="inlineStr">
        <is>
          <t>Amit Kumar</t>
        </is>
      </c>
      <c r="E10" s="4" t="n">
        <v>46286</v>
      </c>
      <c r="F10" t="inlineStr">
        <is>
          <t>Call</t>
        </is>
      </c>
      <c r="G10" t="inlineStr">
        <is>
          <t>Completed</t>
        </is>
      </c>
      <c r="H10" t="inlineStr">
        <is>
          <t>Interested in proposal</t>
        </is>
      </c>
    </row>
    <row r="11">
      <c r="A11" t="n">
        <v>10</v>
      </c>
      <c r="B11" t="n">
        <v>10</v>
      </c>
      <c r="C11" t="inlineStr">
        <is>
          <t>Priya Singh</t>
        </is>
      </c>
      <c r="D11" t="inlineStr">
        <is>
          <t>Rahul Mehta</t>
        </is>
      </c>
      <c r="E11" s="4" t="n">
        <v>46281</v>
      </c>
      <c r="F11" t="inlineStr">
        <is>
          <t>Meeting</t>
        </is>
      </c>
      <c r="G11" t="inlineStr">
        <is>
          <t>Pending</t>
        </is>
      </c>
      <c r="H11" t="inlineStr">
        <is>
          <t>Schedule demo</t>
        </is>
      </c>
    </row>
    <row r="12">
      <c r="A12" t="n">
        <v>11</v>
      </c>
      <c r="B12" t="n">
        <v>11</v>
      </c>
      <c r="C12" t="inlineStr">
        <is>
          <t>Aarav Sharma</t>
        </is>
      </c>
      <c r="D12" t="inlineStr">
        <is>
          <t>Priya Sharma</t>
        </is>
      </c>
      <c r="E12" s="4" t="n">
        <v>46276</v>
      </c>
      <c r="F12" t="inlineStr">
        <is>
          <t>Call</t>
        </is>
      </c>
      <c r="G12" t="inlineStr">
        <is>
          <t>Completed</t>
        </is>
      </c>
      <c r="H12" t="inlineStr">
        <is>
          <t>Interested in proposal</t>
        </is>
      </c>
    </row>
    <row r="13">
      <c r="A13" t="n">
        <v>12</v>
      </c>
      <c r="B13" t="n">
        <v>12</v>
      </c>
      <c r="C13" t="inlineStr">
        <is>
          <t>Simran Gupta</t>
        </is>
      </c>
      <c r="D13" t="inlineStr">
        <is>
          <t>Priya Sharma</t>
        </is>
      </c>
      <c r="E13" s="4" t="n">
        <v>46283</v>
      </c>
      <c r="F13" t="inlineStr">
        <is>
          <t>Call</t>
        </is>
      </c>
      <c r="G13" t="inlineStr">
        <is>
          <t>Completed</t>
        </is>
      </c>
      <c r="H13" t="inlineStr">
        <is>
          <t>Interested in proposal</t>
        </is>
      </c>
    </row>
    <row r="14">
      <c r="A14" t="n">
        <v>13</v>
      </c>
      <c r="B14" t="n">
        <v>13</v>
      </c>
      <c r="C14" t="inlineStr">
        <is>
          <t>Vivek Kumar</t>
        </is>
      </c>
      <c r="D14" t="inlineStr">
        <is>
          <t>Amit Kumar</t>
        </is>
      </c>
      <c r="E14" s="4" t="n">
        <v>46290</v>
      </c>
      <c r="F14" t="inlineStr">
        <is>
          <t>Call</t>
        </is>
      </c>
      <c r="G14" t="inlineStr">
        <is>
          <t>Completed</t>
        </is>
      </c>
      <c r="H14" t="inlineStr">
        <is>
          <t>Decision maker follow-up</t>
        </is>
      </c>
    </row>
    <row r="15">
      <c r="A15" t="n">
        <v>14</v>
      </c>
      <c r="B15" t="n">
        <v>14</v>
      </c>
      <c r="C15" t="inlineStr">
        <is>
          <t>Pooja Singh</t>
        </is>
      </c>
      <c r="D15" t="inlineStr">
        <is>
          <t>Amit Kumar</t>
        </is>
      </c>
      <c r="E15" s="4" t="n">
        <v>46284</v>
      </c>
      <c r="F15" t="inlineStr">
        <is>
          <t>Demo</t>
        </is>
      </c>
      <c r="G15" t="inlineStr">
        <is>
          <t>Pending</t>
        </is>
      </c>
      <c r="H15" t="inlineStr">
        <is>
          <t>Interested in proposal</t>
        </is>
      </c>
    </row>
    <row r="16">
      <c r="A16" t="n">
        <v>15</v>
      </c>
      <c r="B16" t="n">
        <v>15</v>
      </c>
      <c r="C16" t="inlineStr">
        <is>
          <t>Ravi Verma</t>
        </is>
      </c>
      <c r="D16" t="inlineStr">
        <is>
          <t>Amit Kumar</t>
        </is>
      </c>
      <c r="E16" s="4" t="n">
        <v>46292</v>
      </c>
      <c r="F16" t="inlineStr">
        <is>
          <t>WhatsApp</t>
        </is>
      </c>
      <c r="G16" t="inlineStr">
        <is>
          <t>Pending</t>
        </is>
      </c>
      <c r="H16" t="inlineStr">
        <is>
          <t>Need pricing</t>
        </is>
      </c>
    </row>
    <row r="17">
      <c r="A17" t="n">
        <v>16</v>
      </c>
      <c r="B17" t="n">
        <v>16</v>
      </c>
      <c r="C17" t="inlineStr">
        <is>
          <t>Nisha Jain</t>
        </is>
      </c>
      <c r="D17" t="inlineStr">
        <is>
          <t>Rahul Mehta</t>
        </is>
      </c>
      <c r="E17" s="4" t="n">
        <v>46284</v>
      </c>
      <c r="F17" t="inlineStr">
        <is>
          <t>Call</t>
        </is>
      </c>
      <c r="G17" t="inlineStr">
        <is>
          <t>Pending</t>
        </is>
      </c>
      <c r="H17" t="inlineStr">
        <is>
          <t>Need pricing</t>
        </is>
      </c>
    </row>
    <row r="18">
      <c r="A18" t="n">
        <v>17</v>
      </c>
      <c r="B18" t="n">
        <v>17</v>
      </c>
      <c r="C18" t="inlineStr">
        <is>
          <t>Karan Mehta</t>
        </is>
      </c>
      <c r="D18" t="inlineStr">
        <is>
          <t>Amit Kumar</t>
        </is>
      </c>
      <c r="E18" s="4" t="n">
        <v>46285</v>
      </c>
      <c r="F18" t="inlineStr">
        <is>
          <t>Email</t>
        </is>
      </c>
      <c r="G18" t="inlineStr">
        <is>
          <t>Overdue</t>
        </is>
      </c>
      <c r="H18" t="inlineStr">
        <is>
          <t>Need pricing</t>
        </is>
      </c>
    </row>
    <row r="19">
      <c r="A19" t="n">
        <v>18</v>
      </c>
      <c r="B19" t="n">
        <v>18</v>
      </c>
      <c r="C19" t="inlineStr">
        <is>
          <t>Sonia Kapoor</t>
        </is>
      </c>
      <c r="D19" t="inlineStr">
        <is>
          <t>Priya Sharma</t>
        </is>
      </c>
      <c r="E19" s="4" t="n">
        <v>46285</v>
      </c>
      <c r="F19" t="inlineStr">
        <is>
          <t>Meeting</t>
        </is>
      </c>
      <c r="G19" t="inlineStr">
        <is>
          <t>Overdue</t>
        </is>
      </c>
      <c r="H19" t="inlineStr">
        <is>
          <t>Need pricing</t>
        </is>
      </c>
    </row>
    <row r="20">
      <c r="A20" t="n">
        <v>19</v>
      </c>
      <c r="B20" t="n">
        <v>19</v>
      </c>
      <c r="C20" t="inlineStr">
        <is>
          <t>Manish Rao</t>
        </is>
      </c>
      <c r="D20" t="inlineStr">
        <is>
          <t>Amit Kumar</t>
        </is>
      </c>
      <c r="E20" s="4" t="n">
        <v>46284</v>
      </c>
      <c r="F20" t="inlineStr">
        <is>
          <t>Email</t>
        </is>
      </c>
      <c r="G20" t="inlineStr">
        <is>
          <t>Pending</t>
        </is>
      </c>
      <c r="H20" t="inlineStr">
        <is>
          <t>Schedule demo</t>
        </is>
      </c>
    </row>
    <row r="21">
      <c r="A21" t="n">
        <v>20</v>
      </c>
      <c r="B21" t="n">
        <v>20</v>
      </c>
      <c r="C21" t="inlineStr">
        <is>
          <t>Priya Singh</t>
        </is>
      </c>
      <c r="D21" t="inlineStr">
        <is>
          <t>Priya Sharma</t>
        </is>
      </c>
      <c r="E21" s="4" t="n">
        <v>46277</v>
      </c>
      <c r="F21" t="inlineStr">
        <is>
          <t>Call</t>
        </is>
      </c>
      <c r="G21" t="inlineStr">
        <is>
          <t>Pending</t>
        </is>
      </c>
      <c r="H21" t="inlineStr">
        <is>
          <t>Need pricing</t>
        </is>
      </c>
    </row>
    <row r="22">
      <c r="A22" t="n">
        <v>21</v>
      </c>
      <c r="B22" t="n">
        <v>21</v>
      </c>
      <c r="C22" t="inlineStr">
        <is>
          <t>Aarav Sharma</t>
        </is>
      </c>
      <c r="D22" t="inlineStr">
        <is>
          <t>Amit Kumar</t>
        </is>
      </c>
      <c r="E22" s="4" t="n">
        <v>46292</v>
      </c>
      <c r="F22" t="inlineStr">
        <is>
          <t>Meeting</t>
        </is>
      </c>
      <c r="G22" t="inlineStr">
        <is>
          <t>Pending</t>
        </is>
      </c>
      <c r="H22" t="inlineStr">
        <is>
          <t>Decision maker follow-up</t>
        </is>
      </c>
    </row>
    <row r="23">
      <c r="A23" t="n">
        <v>22</v>
      </c>
      <c r="B23" t="n">
        <v>22</v>
      </c>
      <c r="C23" t="inlineStr">
        <is>
          <t>Simran Gupta</t>
        </is>
      </c>
      <c r="D23" t="inlineStr">
        <is>
          <t>Priya Sharma</t>
        </is>
      </c>
      <c r="E23" s="4" t="n">
        <v>46279</v>
      </c>
      <c r="F23" t="inlineStr">
        <is>
          <t>Meeting</t>
        </is>
      </c>
      <c r="G23" t="inlineStr">
        <is>
          <t>Overdue</t>
        </is>
      </c>
      <c r="H23" t="inlineStr">
        <is>
          <t>Decision maker follow-up</t>
        </is>
      </c>
    </row>
    <row r="24">
      <c r="A24" t="n">
        <v>23</v>
      </c>
      <c r="B24" t="n">
        <v>23</v>
      </c>
      <c r="C24" t="inlineStr">
        <is>
          <t>Vivek Kumar</t>
        </is>
      </c>
      <c r="D24" t="inlineStr">
        <is>
          <t>Rahul Mehta</t>
        </is>
      </c>
      <c r="E24" s="4" t="n">
        <v>46293</v>
      </c>
      <c r="F24" t="inlineStr">
        <is>
          <t>Meeting</t>
        </is>
      </c>
      <c r="G24" t="inlineStr">
        <is>
          <t>Overdue</t>
        </is>
      </c>
      <c r="H24" t="inlineStr">
        <is>
          <t>Schedule demo</t>
        </is>
      </c>
    </row>
    <row r="25">
      <c r="A25" t="n">
        <v>24</v>
      </c>
      <c r="B25" t="n">
        <v>24</v>
      </c>
      <c r="C25" t="inlineStr">
        <is>
          <t>Pooja Singh</t>
        </is>
      </c>
      <c r="D25" t="inlineStr">
        <is>
          <t>Amit Kumar</t>
        </is>
      </c>
      <c r="E25" s="4" t="n">
        <v>46282</v>
      </c>
      <c r="F25" t="inlineStr">
        <is>
          <t>WhatsApp</t>
        </is>
      </c>
      <c r="G25" t="inlineStr">
        <is>
          <t>Completed</t>
        </is>
      </c>
      <c r="H25" t="inlineStr">
        <is>
          <t>Need pricing</t>
        </is>
      </c>
    </row>
    <row r="26">
      <c r="A26" t="n">
        <v>25</v>
      </c>
      <c r="B26" t="n">
        <v>25</v>
      </c>
      <c r="C26" t="inlineStr">
        <is>
          <t>Ravi Verma</t>
        </is>
      </c>
      <c r="D26" t="inlineStr">
        <is>
          <t>Priya Sharma</t>
        </is>
      </c>
      <c r="E26" s="4" t="n">
        <v>46280</v>
      </c>
      <c r="F26" t="inlineStr">
        <is>
          <t>Meeting</t>
        </is>
      </c>
      <c r="G26" t="inlineStr">
        <is>
          <t>Completed</t>
        </is>
      </c>
      <c r="H26" t="inlineStr">
        <is>
          <t>Interested in proposal</t>
        </is>
      </c>
    </row>
    <row r="27">
      <c r="A27" t="n">
        <v>26</v>
      </c>
      <c r="B27" t="n">
        <v>26</v>
      </c>
      <c r="C27" t="inlineStr">
        <is>
          <t>Nisha Jain</t>
        </is>
      </c>
      <c r="D27" t="inlineStr">
        <is>
          <t>Rahul Mehta</t>
        </is>
      </c>
      <c r="E27" s="4" t="n">
        <v>46280</v>
      </c>
      <c r="F27" t="inlineStr">
        <is>
          <t>Call</t>
        </is>
      </c>
      <c r="G27" t="inlineStr">
        <is>
          <t>Pending</t>
        </is>
      </c>
      <c r="H27" t="inlineStr">
        <is>
          <t>Schedule demo</t>
        </is>
      </c>
    </row>
    <row r="28">
      <c r="A28" t="n">
        <v>27</v>
      </c>
      <c r="B28" t="n">
        <v>27</v>
      </c>
      <c r="C28" t="inlineStr">
        <is>
          <t>Karan Mehta</t>
        </is>
      </c>
      <c r="D28" t="inlineStr">
        <is>
          <t>Rahul Mehta</t>
        </is>
      </c>
      <c r="E28" s="4" t="n">
        <v>46289</v>
      </c>
      <c r="F28" t="inlineStr">
        <is>
          <t>WhatsApp</t>
        </is>
      </c>
      <c r="G28" t="inlineStr">
        <is>
          <t>Pending</t>
        </is>
      </c>
      <c r="H28" t="inlineStr">
        <is>
          <t>Interested in proposal</t>
        </is>
      </c>
    </row>
    <row r="29">
      <c r="A29" t="n">
        <v>28</v>
      </c>
      <c r="B29" t="n">
        <v>28</v>
      </c>
      <c r="C29" t="inlineStr">
        <is>
          <t>Sonia Kapoor</t>
        </is>
      </c>
      <c r="D29" t="inlineStr">
        <is>
          <t>Rahul Mehta</t>
        </is>
      </c>
      <c r="E29" s="4" t="n">
        <v>46288</v>
      </c>
      <c r="F29" t="inlineStr">
        <is>
          <t>Demo</t>
        </is>
      </c>
      <c r="G29" t="inlineStr">
        <is>
          <t>Overdue</t>
        </is>
      </c>
      <c r="H29" t="inlineStr">
        <is>
          <t>Schedule demo</t>
        </is>
      </c>
    </row>
    <row r="30">
      <c r="A30" t="n">
        <v>29</v>
      </c>
      <c r="B30" t="n">
        <v>29</v>
      </c>
      <c r="C30" t="inlineStr">
        <is>
          <t>Manish Rao</t>
        </is>
      </c>
      <c r="D30" t="inlineStr">
        <is>
          <t>Amit Kumar</t>
        </is>
      </c>
      <c r="E30" s="4" t="n">
        <v>46283</v>
      </c>
      <c r="F30" t="inlineStr">
        <is>
          <t>Email</t>
        </is>
      </c>
      <c r="G30" t="inlineStr">
        <is>
          <t>Pending</t>
        </is>
      </c>
      <c r="H30" t="inlineStr">
        <is>
          <t>Decision maker follow-up</t>
        </is>
      </c>
    </row>
    <row r="31">
      <c r="A31" t="n">
        <v>30</v>
      </c>
      <c r="B31" t="n">
        <v>30</v>
      </c>
      <c r="C31" t="inlineStr">
        <is>
          <t>Priya Singh</t>
        </is>
      </c>
      <c r="D31" t="inlineStr">
        <is>
          <t>Priya Sharma</t>
        </is>
      </c>
      <c r="E31" s="4" t="n">
        <v>46281</v>
      </c>
      <c r="F31" t="inlineStr">
        <is>
          <t>WhatsApp</t>
        </is>
      </c>
      <c r="G31" t="inlineStr">
        <is>
          <t>Completed</t>
        </is>
      </c>
      <c r="H31" t="inlineStr">
        <is>
          <t>Decision maker follow-up</t>
        </is>
      </c>
    </row>
  </sheetData>
  <autoFilter ref="A1:H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4" customWidth="1" min="3" max="3"/>
    <col width="12" customWidth="1" min="4" max="4"/>
    <col width="10" customWidth="1" min="5" max="5"/>
    <col width="10" customWidth="1" min="6" max="6"/>
    <col width="13" customWidth="1" min="7" max="7"/>
    <col width="12" customWidth="1" min="8" max="8"/>
    <col width="13" customWidth="1" min="9" max="9"/>
    <col width="10" customWidth="1" min="10" max="10"/>
    <col width="14" customWidth="1" min="11" max="11"/>
  </cols>
  <sheetData>
    <row r="1">
      <c r="A1" s="3" t="inlineStr">
        <is>
          <t>Proposal No</t>
        </is>
      </c>
      <c r="B1" s="3" t="inlineStr">
        <is>
          <t>Lead ID</t>
        </is>
      </c>
      <c r="C1" s="3" t="inlineStr">
        <is>
          <t>Lead Name</t>
        </is>
      </c>
      <c r="D1" s="3" t="inlineStr">
        <is>
          <t>Company</t>
        </is>
      </c>
      <c r="E1" s="3" t="inlineStr">
        <is>
          <t>Subtotal</t>
        </is>
      </c>
      <c r="F1" s="3" t="inlineStr">
        <is>
          <t>GST 18%</t>
        </is>
      </c>
      <c r="G1" s="3" t="inlineStr">
        <is>
          <t>Grand Total</t>
        </is>
      </c>
      <c r="H1" s="3" t="inlineStr">
        <is>
          <t>Sent Date</t>
        </is>
      </c>
      <c r="I1" s="3" t="inlineStr">
        <is>
          <t>Valid Until</t>
        </is>
      </c>
      <c r="J1" s="3" t="inlineStr">
        <is>
          <t>Status</t>
        </is>
      </c>
      <c r="K1" s="3" t="inlineStr">
        <is>
          <t>Sales Owner</t>
        </is>
      </c>
    </row>
    <row r="2">
      <c r="A2" t="inlineStr">
        <is>
          <t>PROP-2026-001</t>
        </is>
      </c>
      <c r="B2" t="n">
        <v>1</v>
      </c>
      <c r="C2" t="inlineStr">
        <is>
          <t>Aarav Sharma</t>
        </is>
      </c>
      <c r="D2" t="inlineStr">
        <is>
          <t>Company 01</t>
        </is>
      </c>
      <c r="E2" t="n">
        <v>100319</v>
      </c>
      <c r="F2" t="n">
        <v>18057.42</v>
      </c>
      <c r="G2" t="n">
        <v>118376.42</v>
      </c>
      <c r="H2" s="4" t="n">
        <v>46279</v>
      </c>
      <c r="I2" s="4" t="n">
        <v>46288</v>
      </c>
      <c r="J2" t="inlineStr">
        <is>
          <t>Viewed</t>
        </is>
      </c>
      <c r="K2" t="inlineStr">
        <is>
          <t>Rahul Mehta</t>
        </is>
      </c>
    </row>
    <row r="3">
      <c r="A3" t="inlineStr">
        <is>
          <t>PROP-2026-002</t>
        </is>
      </c>
      <c r="B3" t="n">
        <v>2</v>
      </c>
      <c r="C3" t="inlineStr">
        <is>
          <t>Simran Gupta</t>
        </is>
      </c>
      <c r="D3" t="inlineStr">
        <is>
          <t>Company 02</t>
        </is>
      </c>
      <c r="E3" t="n">
        <v>43140</v>
      </c>
      <c r="F3" t="n">
        <v>7765.2</v>
      </c>
      <c r="G3" t="n">
        <v>50905.2</v>
      </c>
      <c r="H3" s="4" t="n">
        <v>46249</v>
      </c>
      <c r="I3" s="4" t="n">
        <v>46290</v>
      </c>
      <c r="J3" t="inlineStr">
        <is>
          <t>Rejected</t>
        </is>
      </c>
      <c r="K3" t="inlineStr">
        <is>
          <t>Rahul Mehta</t>
        </is>
      </c>
    </row>
    <row r="4">
      <c r="A4" t="inlineStr">
        <is>
          <t>PROP-2026-003</t>
        </is>
      </c>
      <c r="B4" t="n">
        <v>3</v>
      </c>
      <c r="C4" t="inlineStr">
        <is>
          <t>Vivek Kumar</t>
        </is>
      </c>
      <c r="D4" t="inlineStr">
        <is>
          <t>Company 03</t>
        </is>
      </c>
      <c r="E4" t="n">
        <v>70642</v>
      </c>
      <c r="F4" t="n">
        <v>12715.56</v>
      </c>
      <c r="G4" t="n">
        <v>83357.56</v>
      </c>
      <c r="H4" s="4" t="n">
        <v>46269</v>
      </c>
      <c r="I4" s="4" t="n">
        <v>46287</v>
      </c>
      <c r="J4" t="inlineStr">
        <is>
          <t>Draft</t>
        </is>
      </c>
      <c r="K4" t="inlineStr">
        <is>
          <t>Priya Sharma</t>
        </is>
      </c>
    </row>
    <row r="5">
      <c r="A5" t="inlineStr">
        <is>
          <t>PROP-2026-004</t>
        </is>
      </c>
      <c r="B5" t="n">
        <v>4</v>
      </c>
      <c r="C5" t="inlineStr">
        <is>
          <t>Pooja Singh</t>
        </is>
      </c>
      <c r="D5" t="inlineStr">
        <is>
          <t>Company 04</t>
        </is>
      </c>
      <c r="E5" t="n">
        <v>23108</v>
      </c>
      <c r="F5" t="n">
        <v>4159.44</v>
      </c>
      <c r="G5" t="n">
        <v>27267.44</v>
      </c>
      <c r="H5" s="4" t="n">
        <v>46249</v>
      </c>
      <c r="I5" s="4" t="n">
        <v>46289</v>
      </c>
      <c r="J5" t="inlineStr">
        <is>
          <t>Sent</t>
        </is>
      </c>
      <c r="K5" t="inlineStr">
        <is>
          <t>Priya Sharma</t>
        </is>
      </c>
    </row>
    <row r="6">
      <c r="A6" t="inlineStr">
        <is>
          <t>PROP-2026-005</t>
        </is>
      </c>
      <c r="B6" t="n">
        <v>5</v>
      </c>
      <c r="C6" t="inlineStr">
        <is>
          <t>Ravi Verma</t>
        </is>
      </c>
      <c r="D6" t="inlineStr">
        <is>
          <t>Company 05</t>
        </is>
      </c>
      <c r="E6" t="n">
        <v>52959</v>
      </c>
      <c r="F6" t="n">
        <v>9532.620000000001</v>
      </c>
      <c r="G6" t="n">
        <v>62491.62</v>
      </c>
      <c r="H6" s="4" t="n">
        <v>46268</v>
      </c>
      <c r="I6" s="4" t="n">
        <v>46285</v>
      </c>
      <c r="J6" t="inlineStr">
        <is>
          <t>Draft</t>
        </is>
      </c>
      <c r="K6" t="inlineStr">
        <is>
          <t>Priya Sharma</t>
        </is>
      </c>
    </row>
    <row r="7">
      <c r="A7" t="inlineStr">
        <is>
          <t>PROP-2026-006</t>
        </is>
      </c>
      <c r="B7" t="n">
        <v>6</v>
      </c>
      <c r="C7" t="inlineStr">
        <is>
          <t>Nisha Jain</t>
        </is>
      </c>
      <c r="D7" t="inlineStr">
        <is>
          <t>Company 06</t>
        </is>
      </c>
      <c r="E7" t="n">
        <v>28507</v>
      </c>
      <c r="F7" t="n">
        <v>5131.26</v>
      </c>
      <c r="G7" t="n">
        <v>33638.26</v>
      </c>
      <c r="H7" s="4" t="n">
        <v>46269</v>
      </c>
      <c r="I7" s="4" t="n">
        <v>46292</v>
      </c>
      <c r="J7" t="inlineStr">
        <is>
          <t>Draft</t>
        </is>
      </c>
      <c r="K7" t="inlineStr">
        <is>
          <t>Rahul Mehta</t>
        </is>
      </c>
    </row>
    <row r="8">
      <c r="A8" t="inlineStr">
        <is>
          <t>PROP-2026-007</t>
        </is>
      </c>
      <c r="B8" t="n">
        <v>7</v>
      </c>
      <c r="C8" t="inlineStr">
        <is>
          <t>Karan Mehta</t>
        </is>
      </c>
      <c r="D8" t="inlineStr">
        <is>
          <t>Company 07</t>
        </is>
      </c>
      <c r="E8" t="n">
        <v>88972</v>
      </c>
      <c r="F8" t="n">
        <v>16014.96</v>
      </c>
      <c r="G8" t="n">
        <v>104986.96</v>
      </c>
      <c r="H8" s="4" t="n">
        <v>46264</v>
      </c>
      <c r="I8" s="4" t="n">
        <v>46288</v>
      </c>
      <c r="J8" t="inlineStr">
        <is>
          <t>Rejected</t>
        </is>
      </c>
      <c r="K8" t="inlineStr">
        <is>
          <t>Priya Sharma</t>
        </is>
      </c>
    </row>
    <row r="9">
      <c r="A9" t="inlineStr">
        <is>
          <t>PROP-2026-008</t>
        </is>
      </c>
      <c r="B9" t="n">
        <v>8</v>
      </c>
      <c r="C9" t="inlineStr">
        <is>
          <t>Sonia Kapoor</t>
        </is>
      </c>
      <c r="D9" t="inlineStr">
        <is>
          <t>Company 08</t>
        </is>
      </c>
      <c r="E9" t="n">
        <v>91750</v>
      </c>
      <c r="F9" t="n">
        <v>16515</v>
      </c>
      <c r="G9" t="n">
        <v>108265</v>
      </c>
      <c r="H9" s="4" t="n">
        <v>46259</v>
      </c>
      <c r="I9" s="4" t="n">
        <v>46286</v>
      </c>
      <c r="J9" t="inlineStr">
        <is>
          <t>Sent</t>
        </is>
      </c>
      <c r="K9" t="inlineStr">
        <is>
          <t>Rahul Mehta</t>
        </is>
      </c>
    </row>
    <row r="10">
      <c r="A10" t="inlineStr">
        <is>
          <t>PROP-2026-009</t>
        </is>
      </c>
      <c r="B10" t="n">
        <v>9</v>
      </c>
      <c r="C10" t="inlineStr">
        <is>
          <t>Manish Rao</t>
        </is>
      </c>
      <c r="D10" t="inlineStr">
        <is>
          <t>Company 09</t>
        </is>
      </c>
      <c r="E10" t="n">
        <v>25728</v>
      </c>
      <c r="F10" t="n">
        <v>4631.04</v>
      </c>
      <c r="G10" t="n">
        <v>30359.04</v>
      </c>
      <c r="H10" s="4" t="n">
        <v>46263</v>
      </c>
      <c r="I10" s="4" t="n">
        <v>46280</v>
      </c>
      <c r="J10" t="inlineStr">
        <is>
          <t>Draft</t>
        </is>
      </c>
      <c r="K10" t="inlineStr">
        <is>
          <t>Rahul Mehta</t>
        </is>
      </c>
    </row>
    <row r="11">
      <c r="A11" t="inlineStr">
        <is>
          <t>PROP-2026-010</t>
        </is>
      </c>
      <c r="B11" t="n">
        <v>10</v>
      </c>
      <c r="C11" t="inlineStr">
        <is>
          <t>Priya Singh</t>
        </is>
      </c>
      <c r="D11" t="inlineStr">
        <is>
          <t>Company 10</t>
        </is>
      </c>
      <c r="E11" t="n">
        <v>94817</v>
      </c>
      <c r="F11" t="n">
        <v>17067.06</v>
      </c>
      <c r="G11" t="n">
        <v>111884.06</v>
      </c>
      <c r="H11" s="4" t="n">
        <v>46271</v>
      </c>
      <c r="I11" s="4" t="n">
        <v>46282</v>
      </c>
      <c r="J11" t="inlineStr">
        <is>
          <t>Sent</t>
        </is>
      </c>
      <c r="K11" t="inlineStr">
        <is>
          <t>Priya Sharma</t>
        </is>
      </c>
    </row>
    <row r="12">
      <c r="A12" t="inlineStr">
        <is>
          <t>PROP-2026-011</t>
        </is>
      </c>
      <c r="B12" t="n">
        <v>11</v>
      </c>
      <c r="C12" t="inlineStr">
        <is>
          <t>Aarav Sharma</t>
        </is>
      </c>
      <c r="D12" t="inlineStr">
        <is>
          <t>Company 11</t>
        </is>
      </c>
      <c r="E12" t="n">
        <v>79089</v>
      </c>
      <c r="F12" t="n">
        <v>14236.02</v>
      </c>
      <c r="G12" t="n">
        <v>93325.02</v>
      </c>
      <c r="H12" s="4" t="n">
        <v>46267</v>
      </c>
      <c r="I12" s="4" t="n">
        <v>46298</v>
      </c>
      <c r="J12" t="inlineStr">
        <is>
          <t>Draft</t>
        </is>
      </c>
      <c r="K12" t="inlineStr">
        <is>
          <t>Rahul Mehta</t>
        </is>
      </c>
    </row>
    <row r="13">
      <c r="A13" t="inlineStr">
        <is>
          <t>PROP-2026-012</t>
        </is>
      </c>
      <c r="B13" t="n">
        <v>12</v>
      </c>
      <c r="C13" t="inlineStr">
        <is>
          <t>Simran Gupta</t>
        </is>
      </c>
      <c r="D13" t="inlineStr">
        <is>
          <t>Company 12</t>
        </is>
      </c>
      <c r="E13" t="n">
        <v>92905</v>
      </c>
      <c r="F13" t="n">
        <v>16722.9</v>
      </c>
      <c r="G13" t="n">
        <v>109627.9</v>
      </c>
      <c r="H13" s="4" t="n">
        <v>46267</v>
      </c>
      <c r="I13" s="4" t="n">
        <v>46280</v>
      </c>
      <c r="J13" t="inlineStr">
        <is>
          <t>Viewed</t>
        </is>
      </c>
      <c r="K13" t="inlineStr">
        <is>
          <t>Rahul Mehta</t>
        </is>
      </c>
    </row>
    <row r="14">
      <c r="A14" t="inlineStr">
        <is>
          <t>PROP-2026-013</t>
        </is>
      </c>
      <c r="B14" t="n">
        <v>13</v>
      </c>
      <c r="C14" t="inlineStr">
        <is>
          <t>Vivek Kumar</t>
        </is>
      </c>
      <c r="D14" t="inlineStr">
        <is>
          <t>Company 13</t>
        </is>
      </c>
      <c r="E14" t="n">
        <v>106362</v>
      </c>
      <c r="F14" t="n">
        <v>19145.16</v>
      </c>
      <c r="G14" t="n">
        <v>125507.16</v>
      </c>
      <c r="H14" s="4" t="n">
        <v>46270</v>
      </c>
      <c r="I14" s="4" t="n">
        <v>46287</v>
      </c>
      <c r="J14" t="inlineStr">
        <is>
          <t>Draft</t>
        </is>
      </c>
      <c r="K14" t="inlineStr">
        <is>
          <t>Rahul Mehta</t>
        </is>
      </c>
    </row>
    <row r="15">
      <c r="A15" t="inlineStr">
        <is>
          <t>PROP-2026-014</t>
        </is>
      </c>
      <c r="B15" t="n">
        <v>14</v>
      </c>
      <c r="C15" t="inlineStr">
        <is>
          <t>Pooja Singh</t>
        </is>
      </c>
      <c r="D15" t="inlineStr">
        <is>
          <t>Company 14</t>
        </is>
      </c>
      <c r="E15" t="n">
        <v>52302</v>
      </c>
      <c r="F15" t="n">
        <v>9414.360000000001</v>
      </c>
      <c r="G15" t="n">
        <v>61716.36</v>
      </c>
      <c r="H15" s="4" t="n">
        <v>46261</v>
      </c>
      <c r="I15" s="4" t="n">
        <v>46296</v>
      </c>
      <c r="J15" t="inlineStr">
        <is>
          <t>Sent</t>
        </is>
      </c>
      <c r="K15" t="inlineStr">
        <is>
          <t>Rahul Mehta</t>
        </is>
      </c>
    </row>
    <row r="16">
      <c r="A16" t="inlineStr">
        <is>
          <t>PROP-2026-015</t>
        </is>
      </c>
      <c r="B16" t="n">
        <v>15</v>
      </c>
      <c r="C16" t="inlineStr">
        <is>
          <t>Ravi Verma</t>
        </is>
      </c>
      <c r="D16" t="inlineStr">
        <is>
          <t>Company 15</t>
        </is>
      </c>
      <c r="E16" t="n">
        <v>37026</v>
      </c>
      <c r="F16" t="n">
        <v>6664.68</v>
      </c>
      <c r="G16" t="n">
        <v>43690.68</v>
      </c>
      <c r="H16" s="4" t="n">
        <v>46258</v>
      </c>
      <c r="I16" s="4" t="n">
        <v>46299</v>
      </c>
      <c r="J16" t="inlineStr">
        <is>
          <t>Approved</t>
        </is>
      </c>
      <c r="K16" t="inlineStr">
        <is>
          <t>Priya Sharma</t>
        </is>
      </c>
    </row>
  </sheetData>
  <autoFilter ref="A1:K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11" customWidth="1" min="4" max="4"/>
    <col width="16" customWidth="1" min="5" max="5"/>
    <col width="14" customWidth="1" min="6" max="6"/>
    <col width="34" customWidth="1" min="7" max="7"/>
    <col width="30" customWidth="1" min="8" max="8"/>
    <col width="14" customWidth="1" min="9" max="9"/>
    <col width="17" customWidth="1" min="10" max="10"/>
    <col width="7" customWidth="1" min="11" max="11"/>
    <col width="7" customWidth="1" min="12" max="12"/>
    <col width="10" customWidth="1" min="13" max="13"/>
    <col width="17" customWidth="1" min="14" max="14"/>
  </cols>
  <sheetData>
    <row r="1">
      <c r="A1" s="3" t="inlineStr">
        <is>
          <t>Content ID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Platform</t>
        </is>
      </c>
      <c r="E1" s="3" t="inlineStr">
        <is>
          <t>Scheduled Date</t>
        </is>
      </c>
      <c r="F1" s="3" t="inlineStr">
        <is>
          <t>Content Type</t>
        </is>
      </c>
      <c r="G1" s="3" t="inlineStr">
        <is>
          <t>Caption</t>
        </is>
      </c>
      <c r="H1" s="3" t="inlineStr">
        <is>
          <t>Hashtags</t>
        </is>
      </c>
      <c r="I1" s="3" t="inlineStr">
        <is>
          <t>Media File</t>
        </is>
      </c>
      <c r="J1" s="3" t="inlineStr">
        <is>
          <t>Status</t>
        </is>
      </c>
      <c r="K1" s="3" t="inlineStr">
        <is>
          <t>Reach</t>
        </is>
      </c>
      <c r="L1" s="3" t="inlineStr">
        <is>
          <t>Likes</t>
        </is>
      </c>
      <c r="M1" s="3" t="inlineStr">
        <is>
          <t>Comments</t>
        </is>
      </c>
      <c r="N1" s="3" t="inlineStr">
        <is>
          <t>Client Approved</t>
        </is>
      </c>
    </row>
    <row r="2">
      <c r="A2" t="n">
        <v>1</v>
      </c>
      <c r="B2" t="n">
        <v>6</v>
      </c>
      <c r="C2" t="inlineStr">
        <is>
          <t>Bright Kids Academy</t>
        </is>
      </c>
      <c r="D2" t="inlineStr">
        <is>
          <t>YouTube</t>
        </is>
      </c>
      <c r="E2" s="4" t="n">
        <v>46273</v>
      </c>
      <c r="F2" t="inlineStr">
        <is>
          <t>Story</t>
        </is>
      </c>
      <c r="G2" t="inlineStr">
        <is>
          <t>Growth content for Bright Kids Academy</t>
        </is>
      </c>
      <c r="H2" t="inlineStr">
        <is>
          <t>#growth #marketing #business</t>
        </is>
      </c>
      <c r="I2" t="inlineStr">
        <is>
          <t>media_1.jpg</t>
        </is>
      </c>
      <c r="J2" t="inlineStr">
        <is>
          <t>Review</t>
        </is>
      </c>
      <c r="K2" t="n">
        <v>3369</v>
      </c>
      <c r="L2" t="n">
        <v>2121</v>
      </c>
      <c r="M2" t="n">
        <v>323</v>
      </c>
      <c r="N2" t="inlineStr">
        <is>
          <t>No</t>
        </is>
      </c>
    </row>
    <row r="3">
      <c r="A3" t="n">
        <v>2</v>
      </c>
      <c r="B3" t="n">
        <v>3</v>
      </c>
      <c r="C3" t="inlineStr">
        <is>
          <t>Shree Home Decor</t>
        </is>
      </c>
      <c r="D3" t="inlineStr">
        <is>
          <t>Threads</t>
        </is>
      </c>
      <c r="E3" s="4" t="n">
        <v>46293</v>
      </c>
      <c r="F3" t="inlineStr">
        <is>
          <t>Post</t>
        </is>
      </c>
      <c r="G3" t="inlineStr">
        <is>
          <t>Growth content for Shree Home Decor</t>
        </is>
      </c>
      <c r="H3" t="inlineStr">
        <is>
          <t>#growth #marketing #business</t>
        </is>
      </c>
      <c r="I3" t="inlineStr">
        <is>
          <t>media_2.jpg</t>
        </is>
      </c>
      <c r="J3" t="inlineStr">
        <is>
          <t>Review</t>
        </is>
      </c>
      <c r="K3" t="n">
        <v>6076</v>
      </c>
      <c r="L3" t="n">
        <v>147</v>
      </c>
      <c r="M3" t="n">
        <v>23</v>
      </c>
      <c r="N3" t="inlineStr">
        <is>
          <t>Yes</t>
        </is>
      </c>
    </row>
    <row r="4">
      <c r="A4" t="n">
        <v>3</v>
      </c>
      <c r="B4" t="n">
        <v>6</v>
      </c>
      <c r="C4" t="inlineStr">
        <is>
          <t>Bright Kids Academy</t>
        </is>
      </c>
      <c r="D4" t="inlineStr">
        <is>
          <t>Facebook</t>
        </is>
      </c>
      <c r="E4" s="4" t="n">
        <v>46281</v>
      </c>
      <c r="F4" t="inlineStr">
        <is>
          <t>Video</t>
        </is>
      </c>
      <c r="G4" t="inlineStr">
        <is>
          <t>Growth content for Bright Kids Academy</t>
        </is>
      </c>
      <c r="H4" t="inlineStr">
        <is>
          <t>#growth #marketing #business</t>
        </is>
      </c>
      <c r="I4" t="inlineStr">
        <is>
          <t>media_3.jpg</t>
        </is>
      </c>
      <c r="J4" t="inlineStr">
        <is>
          <t>Draft</t>
        </is>
      </c>
      <c r="K4" t="n">
        <v>41641</v>
      </c>
      <c r="L4" t="n">
        <v>97</v>
      </c>
      <c r="M4" t="n">
        <v>322</v>
      </c>
      <c r="N4" t="inlineStr">
        <is>
          <t>Yes</t>
        </is>
      </c>
    </row>
    <row r="5">
      <c r="A5" t="n">
        <v>4</v>
      </c>
      <c r="B5" t="n">
        <v>8</v>
      </c>
      <c r="C5" t="inlineStr">
        <is>
          <t>GreenLeaf Interiors</t>
        </is>
      </c>
      <c r="D5" t="inlineStr">
        <is>
          <t>LinkedIn</t>
        </is>
      </c>
      <c r="E5" s="4" t="n">
        <v>46269</v>
      </c>
      <c r="F5" t="inlineStr">
        <is>
          <t>Video</t>
        </is>
      </c>
      <c r="G5" t="inlineStr">
        <is>
          <t>Growth content for GreenLeaf Interiors</t>
        </is>
      </c>
      <c r="H5" t="inlineStr">
        <is>
          <t>#growth #marketing #business</t>
        </is>
      </c>
      <c r="I5" t="inlineStr">
        <is>
          <t>media_4.jpg</t>
        </is>
      </c>
      <c r="J5" t="inlineStr">
        <is>
          <t>Draft</t>
        </is>
      </c>
      <c r="K5" t="n">
        <v>49538</v>
      </c>
      <c r="L5" t="n">
        <v>2080</v>
      </c>
      <c r="M5" t="n">
        <v>276</v>
      </c>
      <c r="N5" t="inlineStr">
        <is>
          <t>Yes</t>
        </is>
      </c>
    </row>
    <row r="6">
      <c r="A6" t="n">
        <v>5</v>
      </c>
      <c r="B6" t="n">
        <v>2</v>
      </c>
      <c r="C6" t="inlineStr">
        <is>
          <t>Urban Fitness Studio</t>
        </is>
      </c>
      <c r="D6" t="inlineStr">
        <is>
          <t>YouTube</t>
        </is>
      </c>
      <c r="E6" s="4" t="n">
        <v>46277</v>
      </c>
      <c r="F6" t="inlineStr">
        <is>
          <t>Post</t>
        </is>
      </c>
      <c r="G6" t="inlineStr">
        <is>
          <t>Growth content for Urban Fitness Studio</t>
        </is>
      </c>
      <c r="H6" t="inlineStr">
        <is>
          <t>#growth #marketing #business</t>
        </is>
      </c>
      <c r="I6" t="inlineStr">
        <is>
          <t>media_5.jpg</t>
        </is>
      </c>
      <c r="J6" t="inlineStr">
        <is>
          <t>Client Approval</t>
        </is>
      </c>
      <c r="K6" t="n">
        <v>15886</v>
      </c>
      <c r="L6" t="n">
        <v>860</v>
      </c>
      <c r="M6" t="n">
        <v>120</v>
      </c>
      <c r="N6" t="inlineStr">
        <is>
          <t>No</t>
        </is>
      </c>
    </row>
    <row r="7">
      <c r="A7" t="n">
        <v>6</v>
      </c>
      <c r="B7" t="n">
        <v>8</v>
      </c>
      <c r="C7" t="inlineStr">
        <is>
          <t>GreenLeaf Interiors</t>
        </is>
      </c>
      <c r="D7" t="inlineStr">
        <is>
          <t>YouTube</t>
        </is>
      </c>
      <c r="E7" s="4" t="n">
        <v>46271</v>
      </c>
      <c r="F7" t="inlineStr">
        <is>
          <t>Video</t>
        </is>
      </c>
      <c r="G7" t="inlineStr">
        <is>
          <t>Growth content for GreenLeaf Interiors</t>
        </is>
      </c>
      <c r="H7" t="inlineStr">
        <is>
          <t>#growth #marketing #business</t>
        </is>
      </c>
      <c r="I7" t="inlineStr">
        <is>
          <t>media_6.jpg</t>
        </is>
      </c>
      <c r="J7" t="inlineStr">
        <is>
          <t>Client Approval</t>
        </is>
      </c>
      <c r="K7" t="n">
        <v>3563</v>
      </c>
      <c r="L7" t="n">
        <v>832</v>
      </c>
      <c r="M7" t="n">
        <v>41</v>
      </c>
      <c r="N7" t="inlineStr">
        <is>
          <t>Yes</t>
        </is>
      </c>
    </row>
    <row r="8">
      <c r="A8" t="n">
        <v>7</v>
      </c>
      <c r="B8" t="n">
        <v>6</v>
      </c>
      <c r="C8" t="inlineStr">
        <is>
          <t>Bright Kids Academy</t>
        </is>
      </c>
      <c r="D8" t="inlineStr">
        <is>
          <t>LinkedIn</t>
        </is>
      </c>
      <c r="E8" s="4" t="n">
        <v>46289</v>
      </c>
      <c r="F8" t="inlineStr">
        <is>
          <t>Story</t>
        </is>
      </c>
      <c r="G8" t="inlineStr">
        <is>
          <t>Growth content for Bright Kids Academy</t>
        </is>
      </c>
      <c r="H8" t="inlineStr">
        <is>
          <t>#growth #marketing #business</t>
        </is>
      </c>
      <c r="I8" t="inlineStr">
        <is>
          <t>media_7.jpg</t>
        </is>
      </c>
      <c r="J8" t="inlineStr">
        <is>
          <t>Review</t>
        </is>
      </c>
      <c r="K8" t="n">
        <v>1317</v>
      </c>
      <c r="L8" t="n">
        <v>1995</v>
      </c>
      <c r="M8" t="n">
        <v>33</v>
      </c>
      <c r="N8" t="inlineStr">
        <is>
          <t>No</t>
        </is>
      </c>
    </row>
    <row r="9">
      <c r="A9" t="n">
        <v>8</v>
      </c>
      <c r="B9" t="n">
        <v>5</v>
      </c>
      <c r="C9" t="inlineStr">
        <is>
          <t>FreshBite Restaurant</t>
        </is>
      </c>
      <c r="D9" t="inlineStr">
        <is>
          <t>Facebook</t>
        </is>
      </c>
      <c r="E9" s="4" t="n">
        <v>46291</v>
      </c>
      <c r="F9" t="inlineStr">
        <is>
          <t>Reel</t>
        </is>
      </c>
      <c r="G9" t="inlineStr">
        <is>
          <t>Growth content for FreshBite Restaurant</t>
        </is>
      </c>
      <c r="H9" t="inlineStr">
        <is>
          <t>#growth #marketing #business</t>
        </is>
      </c>
      <c r="I9" t="inlineStr">
        <is>
          <t>media_8.jpg</t>
        </is>
      </c>
      <c r="J9" t="inlineStr">
        <is>
          <t>Published</t>
        </is>
      </c>
      <c r="K9" t="n">
        <v>19561</v>
      </c>
      <c r="L9" t="n">
        <v>2135</v>
      </c>
      <c r="M9" t="n">
        <v>148</v>
      </c>
      <c r="N9" t="inlineStr">
        <is>
          <t>No</t>
        </is>
      </c>
    </row>
    <row r="10">
      <c r="A10" t="n">
        <v>9</v>
      </c>
      <c r="B10" t="n">
        <v>8</v>
      </c>
      <c r="C10" t="inlineStr">
        <is>
          <t>GreenLeaf Interiors</t>
        </is>
      </c>
      <c r="D10" t="inlineStr">
        <is>
          <t>YouTube</t>
        </is>
      </c>
      <c r="E10" s="4" t="n">
        <v>46293</v>
      </c>
      <c r="F10" t="inlineStr">
        <is>
          <t>Post</t>
        </is>
      </c>
      <c r="G10" t="inlineStr">
        <is>
          <t>Growth content for GreenLeaf Interiors</t>
        </is>
      </c>
      <c r="H10" t="inlineStr">
        <is>
          <t>#growth #marketing #business</t>
        </is>
      </c>
      <c r="I10" t="inlineStr">
        <is>
          <t>media_9.jpg</t>
        </is>
      </c>
      <c r="J10" t="inlineStr">
        <is>
          <t>Review</t>
        </is>
      </c>
      <c r="K10" t="n">
        <v>20925</v>
      </c>
      <c r="L10" t="n">
        <v>371</v>
      </c>
      <c r="M10" t="n">
        <v>244</v>
      </c>
      <c r="N10" t="inlineStr">
        <is>
          <t>Yes</t>
        </is>
      </c>
    </row>
    <row r="11">
      <c r="A11" t="n">
        <v>10</v>
      </c>
      <c r="B11" t="n">
        <v>5</v>
      </c>
      <c r="C11" t="inlineStr">
        <is>
          <t>FreshBite Restaurant</t>
        </is>
      </c>
      <c r="D11" t="inlineStr">
        <is>
          <t>YouTube</t>
        </is>
      </c>
      <c r="E11" s="4" t="n">
        <v>46271</v>
      </c>
      <c r="F11" t="inlineStr">
        <is>
          <t>Video</t>
        </is>
      </c>
      <c r="G11" t="inlineStr">
        <is>
          <t>Growth content for FreshBite Restaurant</t>
        </is>
      </c>
      <c r="H11" t="inlineStr">
        <is>
          <t>#growth #marketing #business</t>
        </is>
      </c>
      <c r="I11" t="inlineStr">
        <is>
          <t>media_10.jpg</t>
        </is>
      </c>
      <c r="J11" t="inlineStr">
        <is>
          <t>Client Approval</t>
        </is>
      </c>
      <c r="K11" t="n">
        <v>25852</v>
      </c>
      <c r="L11" t="n">
        <v>879</v>
      </c>
      <c r="M11" t="n">
        <v>109</v>
      </c>
      <c r="N11" t="inlineStr">
        <is>
          <t>Yes</t>
        </is>
      </c>
    </row>
    <row r="12">
      <c r="A12" t="n">
        <v>11</v>
      </c>
      <c r="B12" t="n">
        <v>2</v>
      </c>
      <c r="C12" t="inlineStr">
        <is>
          <t>Urban Fitness Studio</t>
        </is>
      </c>
      <c r="D12" t="inlineStr">
        <is>
          <t>Instagram</t>
        </is>
      </c>
      <c r="E12" s="4" t="n">
        <v>46292</v>
      </c>
      <c r="F12" t="inlineStr">
        <is>
          <t>Story</t>
        </is>
      </c>
      <c r="G12" t="inlineStr">
        <is>
          <t>Growth content for Urban Fitness Studio</t>
        </is>
      </c>
      <c r="H12" t="inlineStr">
        <is>
          <t>#growth #marketing #business</t>
        </is>
      </c>
      <c r="I12" t="inlineStr">
        <is>
          <t>media_11.jpg</t>
        </is>
      </c>
      <c r="J12" t="inlineStr">
        <is>
          <t>Client Approval</t>
        </is>
      </c>
      <c r="K12" t="n">
        <v>9190</v>
      </c>
      <c r="L12" t="n">
        <v>2491</v>
      </c>
      <c r="M12" t="n">
        <v>325</v>
      </c>
      <c r="N12" t="inlineStr">
        <is>
          <t>No</t>
        </is>
      </c>
    </row>
    <row r="13">
      <c r="A13" t="n">
        <v>12</v>
      </c>
      <c r="B13" t="n">
        <v>2</v>
      </c>
      <c r="C13" t="inlineStr">
        <is>
          <t>Urban Fitness Studio</t>
        </is>
      </c>
      <c r="D13" t="inlineStr">
        <is>
          <t>LinkedIn</t>
        </is>
      </c>
      <c r="E13" s="4" t="n">
        <v>46276</v>
      </c>
      <c r="F13" t="inlineStr">
        <is>
          <t>Video</t>
        </is>
      </c>
      <c r="G13" t="inlineStr">
        <is>
          <t>Growth content for Urban Fitness Studio</t>
        </is>
      </c>
      <c r="H13" t="inlineStr">
        <is>
          <t>#growth #marketing #business</t>
        </is>
      </c>
      <c r="I13" t="inlineStr">
        <is>
          <t>media_12.jpg</t>
        </is>
      </c>
      <c r="J13" t="inlineStr">
        <is>
          <t>Published</t>
        </is>
      </c>
      <c r="K13" t="n">
        <v>26326</v>
      </c>
      <c r="L13" t="n">
        <v>121</v>
      </c>
      <c r="M13" t="n">
        <v>83</v>
      </c>
      <c r="N13" t="inlineStr">
        <is>
          <t>Yes</t>
        </is>
      </c>
    </row>
    <row r="14">
      <c r="A14" t="n">
        <v>13</v>
      </c>
      <c r="B14" t="n">
        <v>8</v>
      </c>
      <c r="C14" t="inlineStr">
        <is>
          <t>GreenLeaf Interiors</t>
        </is>
      </c>
      <c r="D14" t="inlineStr">
        <is>
          <t>YouTube</t>
        </is>
      </c>
      <c r="E14" s="4" t="n">
        <v>46281</v>
      </c>
      <c r="F14" t="inlineStr">
        <is>
          <t>Story</t>
        </is>
      </c>
      <c r="G14" t="inlineStr">
        <is>
          <t>Growth content for GreenLeaf Interiors</t>
        </is>
      </c>
      <c r="H14" t="inlineStr">
        <is>
          <t>#growth #marketing #business</t>
        </is>
      </c>
      <c r="I14" t="inlineStr">
        <is>
          <t>media_13.jpg</t>
        </is>
      </c>
      <c r="J14" t="inlineStr">
        <is>
          <t>Review</t>
        </is>
      </c>
      <c r="K14" t="n">
        <v>27774</v>
      </c>
      <c r="L14" t="n">
        <v>1428</v>
      </c>
      <c r="M14" t="n">
        <v>194</v>
      </c>
      <c r="N14" t="inlineStr">
        <is>
          <t>No</t>
        </is>
      </c>
    </row>
    <row r="15">
      <c r="A15" t="n">
        <v>14</v>
      </c>
      <c r="B15" t="n">
        <v>2</v>
      </c>
      <c r="C15" t="inlineStr">
        <is>
          <t>Urban Fitness Studio</t>
        </is>
      </c>
      <c r="D15" t="inlineStr">
        <is>
          <t>LinkedIn</t>
        </is>
      </c>
      <c r="E15" s="4" t="n">
        <v>46269</v>
      </c>
      <c r="F15" t="inlineStr">
        <is>
          <t>Story</t>
        </is>
      </c>
      <c r="G15" t="inlineStr">
        <is>
          <t>Growth content for Urban Fitness Studio</t>
        </is>
      </c>
      <c r="H15" t="inlineStr">
        <is>
          <t>#growth #marketing #business</t>
        </is>
      </c>
      <c r="I15" t="inlineStr">
        <is>
          <t>media_14.jpg</t>
        </is>
      </c>
      <c r="J15" t="inlineStr">
        <is>
          <t>Client Approval</t>
        </is>
      </c>
      <c r="K15" t="n">
        <v>26600</v>
      </c>
      <c r="L15" t="n">
        <v>511</v>
      </c>
      <c r="M15" t="n">
        <v>102</v>
      </c>
      <c r="N15" t="inlineStr">
        <is>
          <t>Yes</t>
        </is>
      </c>
    </row>
    <row r="16">
      <c r="A16" t="n">
        <v>15</v>
      </c>
      <c r="B16" t="n">
        <v>5</v>
      </c>
      <c r="C16" t="inlineStr">
        <is>
          <t>FreshBite Restaurant</t>
        </is>
      </c>
      <c r="D16" t="inlineStr">
        <is>
          <t>LinkedIn</t>
        </is>
      </c>
      <c r="E16" s="4" t="n">
        <v>46280</v>
      </c>
      <c r="F16" t="inlineStr">
        <is>
          <t>Post</t>
        </is>
      </c>
      <c r="G16" t="inlineStr">
        <is>
          <t>Growth content for FreshBite Restaurant</t>
        </is>
      </c>
      <c r="H16" t="inlineStr">
        <is>
          <t>#growth #marketing #business</t>
        </is>
      </c>
      <c r="I16" t="inlineStr">
        <is>
          <t>media_15.jpg</t>
        </is>
      </c>
      <c r="J16" t="inlineStr">
        <is>
          <t>Published</t>
        </is>
      </c>
      <c r="K16" t="n">
        <v>26069</v>
      </c>
      <c r="L16" t="n">
        <v>2433</v>
      </c>
      <c r="M16" t="n">
        <v>41</v>
      </c>
      <c r="N16" t="inlineStr">
        <is>
          <t>No</t>
        </is>
      </c>
    </row>
    <row r="17">
      <c r="A17" t="n">
        <v>16</v>
      </c>
      <c r="B17" t="n">
        <v>7</v>
      </c>
      <c r="C17" t="inlineStr">
        <is>
          <t>Royal Auto Care</t>
        </is>
      </c>
      <c r="D17" t="inlineStr">
        <is>
          <t>LinkedIn</t>
        </is>
      </c>
      <c r="E17" s="4" t="n">
        <v>46296</v>
      </c>
      <c r="F17" t="inlineStr">
        <is>
          <t>Post</t>
        </is>
      </c>
      <c r="G17" t="inlineStr">
        <is>
          <t>Growth content for Royal Auto Care</t>
        </is>
      </c>
      <c r="H17" t="inlineStr">
        <is>
          <t>#growth #marketing #business</t>
        </is>
      </c>
      <c r="I17" t="inlineStr">
        <is>
          <t>media_16.jpg</t>
        </is>
      </c>
      <c r="J17" t="inlineStr">
        <is>
          <t>Client Approval</t>
        </is>
      </c>
      <c r="K17" t="n">
        <v>7165</v>
      </c>
      <c r="L17" t="n">
        <v>231</v>
      </c>
      <c r="M17" t="n">
        <v>340</v>
      </c>
      <c r="N17" t="inlineStr">
        <is>
          <t>No</t>
        </is>
      </c>
    </row>
    <row r="18">
      <c r="A18" t="n">
        <v>17</v>
      </c>
      <c r="B18" t="n">
        <v>3</v>
      </c>
      <c r="C18" t="inlineStr">
        <is>
          <t>Shree Home Decor</t>
        </is>
      </c>
      <c r="D18" t="inlineStr">
        <is>
          <t>Instagram</t>
        </is>
      </c>
      <c r="E18" s="4" t="n">
        <v>46277</v>
      </c>
      <c r="F18" t="inlineStr">
        <is>
          <t>Video</t>
        </is>
      </c>
      <c r="G18" t="inlineStr">
        <is>
          <t>Growth content for Shree Home Decor</t>
        </is>
      </c>
      <c r="H18" t="inlineStr">
        <is>
          <t>#growth #marketing #business</t>
        </is>
      </c>
      <c r="I18" t="inlineStr">
        <is>
          <t>media_17.jpg</t>
        </is>
      </c>
      <c r="J18" t="inlineStr">
        <is>
          <t>Client Approval</t>
        </is>
      </c>
      <c r="K18" t="n">
        <v>12941</v>
      </c>
      <c r="L18" t="n">
        <v>1549</v>
      </c>
      <c r="M18" t="n">
        <v>221</v>
      </c>
      <c r="N18" t="inlineStr">
        <is>
          <t>Yes</t>
        </is>
      </c>
    </row>
    <row r="19">
      <c r="A19" t="n">
        <v>18</v>
      </c>
      <c r="B19" t="n">
        <v>7</v>
      </c>
      <c r="C19" t="inlineStr">
        <is>
          <t>Royal Auto Care</t>
        </is>
      </c>
      <c r="D19" t="inlineStr">
        <is>
          <t>Threads</t>
        </is>
      </c>
      <c r="E19" s="4" t="n">
        <v>46286</v>
      </c>
      <c r="F19" t="inlineStr">
        <is>
          <t>Reel</t>
        </is>
      </c>
      <c r="G19" t="inlineStr">
        <is>
          <t>Growth content for Royal Auto Care</t>
        </is>
      </c>
      <c r="H19" t="inlineStr">
        <is>
          <t>#growth #marketing #business</t>
        </is>
      </c>
      <c r="I19" t="inlineStr">
        <is>
          <t>media_18.jpg</t>
        </is>
      </c>
      <c r="J19" t="inlineStr">
        <is>
          <t>Draft</t>
        </is>
      </c>
      <c r="K19" t="n">
        <v>3742</v>
      </c>
      <c r="L19" t="n">
        <v>1702</v>
      </c>
      <c r="M19" t="n">
        <v>232</v>
      </c>
      <c r="N19" t="inlineStr">
        <is>
          <t>Yes</t>
        </is>
      </c>
    </row>
    <row r="20">
      <c r="A20" t="n">
        <v>19</v>
      </c>
      <c r="B20" t="n">
        <v>5</v>
      </c>
      <c r="C20" t="inlineStr">
        <is>
          <t>FreshBite Restaurant</t>
        </is>
      </c>
      <c r="D20" t="inlineStr">
        <is>
          <t>YouTube</t>
        </is>
      </c>
      <c r="E20" s="4" t="n">
        <v>46270</v>
      </c>
      <c r="F20" t="inlineStr">
        <is>
          <t>Reel</t>
        </is>
      </c>
      <c r="G20" t="inlineStr">
        <is>
          <t>Growth content for FreshBite Restaurant</t>
        </is>
      </c>
      <c r="H20" t="inlineStr">
        <is>
          <t>#growth #marketing #business</t>
        </is>
      </c>
      <c r="I20" t="inlineStr">
        <is>
          <t>media_19.jpg</t>
        </is>
      </c>
      <c r="J20" t="inlineStr">
        <is>
          <t>Review</t>
        </is>
      </c>
      <c r="K20" t="n">
        <v>31445</v>
      </c>
      <c r="L20" t="n">
        <v>1719</v>
      </c>
      <c r="M20" t="n">
        <v>177</v>
      </c>
      <c r="N20" t="inlineStr">
        <is>
          <t>No</t>
        </is>
      </c>
    </row>
    <row r="21">
      <c r="A21" t="n">
        <v>20</v>
      </c>
      <c r="B21" t="n">
        <v>5</v>
      </c>
      <c r="C21" t="inlineStr">
        <is>
          <t>FreshBite Restaurant</t>
        </is>
      </c>
      <c r="D21" t="inlineStr">
        <is>
          <t>LinkedIn</t>
        </is>
      </c>
      <c r="E21" s="4" t="n">
        <v>46292</v>
      </c>
      <c r="F21" t="inlineStr">
        <is>
          <t>Story</t>
        </is>
      </c>
      <c r="G21" t="inlineStr">
        <is>
          <t>Growth content for FreshBite Restaurant</t>
        </is>
      </c>
      <c r="H21" t="inlineStr">
        <is>
          <t>#growth #marketing #business</t>
        </is>
      </c>
      <c r="I21" t="inlineStr">
        <is>
          <t>media_20.jpg</t>
        </is>
      </c>
      <c r="J21" t="inlineStr">
        <is>
          <t>Published</t>
        </is>
      </c>
      <c r="K21" t="n">
        <v>43491</v>
      </c>
      <c r="L21" t="n">
        <v>997</v>
      </c>
      <c r="M21" t="n">
        <v>156</v>
      </c>
      <c r="N21" t="inlineStr">
        <is>
          <t>No</t>
        </is>
      </c>
    </row>
    <row r="22">
      <c r="A22" t="n">
        <v>21</v>
      </c>
      <c r="B22" t="n">
        <v>7</v>
      </c>
      <c r="C22" t="inlineStr">
        <is>
          <t>Royal Auto Care</t>
        </is>
      </c>
      <c r="D22" t="inlineStr">
        <is>
          <t>Facebook</t>
        </is>
      </c>
      <c r="E22" s="4" t="n">
        <v>46274</v>
      </c>
      <c r="F22" t="inlineStr">
        <is>
          <t>Reel</t>
        </is>
      </c>
      <c r="G22" t="inlineStr">
        <is>
          <t>Growth content for Royal Auto Care</t>
        </is>
      </c>
      <c r="H22" t="inlineStr">
        <is>
          <t>#growth #marketing #business</t>
        </is>
      </c>
      <c r="I22" t="inlineStr">
        <is>
          <t>media_21.jpg</t>
        </is>
      </c>
      <c r="J22" t="inlineStr">
        <is>
          <t>Draft</t>
        </is>
      </c>
      <c r="K22" t="n">
        <v>14123</v>
      </c>
      <c r="L22" t="n">
        <v>2070</v>
      </c>
      <c r="M22" t="n">
        <v>256</v>
      </c>
      <c r="N22" t="inlineStr">
        <is>
          <t>Yes</t>
        </is>
      </c>
    </row>
    <row r="23">
      <c r="A23" t="n">
        <v>22</v>
      </c>
      <c r="B23" t="n">
        <v>8</v>
      </c>
      <c r="C23" t="inlineStr">
        <is>
          <t>GreenLeaf Interiors</t>
        </is>
      </c>
      <c r="D23" t="inlineStr">
        <is>
          <t>LinkedIn</t>
        </is>
      </c>
      <c r="E23" s="4" t="n">
        <v>46293</v>
      </c>
      <c r="F23" t="inlineStr">
        <is>
          <t>Video</t>
        </is>
      </c>
      <c r="G23" t="inlineStr">
        <is>
          <t>Growth content for GreenLeaf Interiors</t>
        </is>
      </c>
      <c r="H23" t="inlineStr">
        <is>
          <t>#growth #marketing #business</t>
        </is>
      </c>
      <c r="I23" t="inlineStr">
        <is>
          <t>media_22.jpg</t>
        </is>
      </c>
      <c r="J23" t="inlineStr">
        <is>
          <t>Published</t>
        </is>
      </c>
      <c r="K23" t="n">
        <v>9648</v>
      </c>
      <c r="L23" t="n">
        <v>2263</v>
      </c>
      <c r="M23" t="n">
        <v>100</v>
      </c>
      <c r="N23" t="inlineStr">
        <is>
          <t>Yes</t>
        </is>
      </c>
    </row>
    <row r="24">
      <c r="A24" t="n">
        <v>23</v>
      </c>
      <c r="B24" t="n">
        <v>2</v>
      </c>
      <c r="C24" t="inlineStr">
        <is>
          <t>Urban Fitness Studio</t>
        </is>
      </c>
      <c r="D24" t="inlineStr">
        <is>
          <t>Instagram</t>
        </is>
      </c>
      <c r="E24" s="4" t="n">
        <v>46279</v>
      </c>
      <c r="F24" t="inlineStr">
        <is>
          <t>Post</t>
        </is>
      </c>
      <c r="G24" t="inlineStr">
        <is>
          <t>Growth content for Urban Fitness Studio</t>
        </is>
      </c>
      <c r="H24" t="inlineStr">
        <is>
          <t>#growth #marketing #business</t>
        </is>
      </c>
      <c r="I24" t="inlineStr">
        <is>
          <t>media_23.jpg</t>
        </is>
      </c>
      <c r="J24" t="inlineStr">
        <is>
          <t>Client Approval</t>
        </is>
      </c>
      <c r="K24" t="n">
        <v>16171</v>
      </c>
      <c r="L24" t="n">
        <v>1528</v>
      </c>
      <c r="M24" t="n">
        <v>134</v>
      </c>
      <c r="N24" t="inlineStr">
        <is>
          <t>Yes</t>
        </is>
      </c>
    </row>
    <row r="25">
      <c r="A25" t="n">
        <v>24</v>
      </c>
      <c r="B25" t="n">
        <v>1</v>
      </c>
      <c r="C25" t="inlineStr">
        <is>
          <t>ABC Dental Clinic</t>
        </is>
      </c>
      <c r="D25" t="inlineStr">
        <is>
          <t>YouTube</t>
        </is>
      </c>
      <c r="E25" s="4" t="n">
        <v>46281</v>
      </c>
      <c r="F25" t="inlineStr">
        <is>
          <t>Video</t>
        </is>
      </c>
      <c r="G25" t="inlineStr">
        <is>
          <t>Growth content for ABC Dental Clinic</t>
        </is>
      </c>
      <c r="H25" t="inlineStr">
        <is>
          <t>#growth #marketing #business</t>
        </is>
      </c>
      <c r="I25" t="inlineStr">
        <is>
          <t>media_24.jpg</t>
        </is>
      </c>
      <c r="J25" t="inlineStr">
        <is>
          <t>Review</t>
        </is>
      </c>
      <c r="K25" t="n">
        <v>25198</v>
      </c>
      <c r="L25" t="n">
        <v>1126</v>
      </c>
      <c r="M25" t="n">
        <v>175</v>
      </c>
      <c r="N25" t="inlineStr">
        <is>
          <t>Yes</t>
        </is>
      </c>
    </row>
    <row r="26">
      <c r="A26" t="n">
        <v>25</v>
      </c>
      <c r="B26" t="n">
        <v>8</v>
      </c>
      <c r="C26" t="inlineStr">
        <is>
          <t>GreenLeaf Interiors</t>
        </is>
      </c>
      <c r="D26" t="inlineStr">
        <is>
          <t>LinkedIn</t>
        </is>
      </c>
      <c r="E26" s="4" t="n">
        <v>46287</v>
      </c>
      <c r="F26" t="inlineStr">
        <is>
          <t>Story</t>
        </is>
      </c>
      <c r="G26" t="inlineStr">
        <is>
          <t>Growth content for GreenLeaf Interiors</t>
        </is>
      </c>
      <c r="H26" t="inlineStr">
        <is>
          <t>#growth #marketing #business</t>
        </is>
      </c>
      <c r="I26" t="inlineStr">
        <is>
          <t>media_25.jpg</t>
        </is>
      </c>
      <c r="J26" t="inlineStr">
        <is>
          <t>Review</t>
        </is>
      </c>
      <c r="K26" t="n">
        <v>45507</v>
      </c>
      <c r="L26" t="n">
        <v>2081</v>
      </c>
      <c r="M26" t="n">
        <v>272</v>
      </c>
      <c r="N26" t="inlineStr">
        <is>
          <t>Yes</t>
        </is>
      </c>
    </row>
    <row r="27">
      <c r="A27" t="n">
        <v>26</v>
      </c>
      <c r="B27" t="n">
        <v>2</v>
      </c>
      <c r="C27" t="inlineStr">
        <is>
          <t>Urban Fitness Studio</t>
        </is>
      </c>
      <c r="D27" t="inlineStr">
        <is>
          <t>LinkedIn</t>
        </is>
      </c>
      <c r="E27" s="4" t="n">
        <v>46297</v>
      </c>
      <c r="F27" t="inlineStr">
        <is>
          <t>Reel</t>
        </is>
      </c>
      <c r="G27" t="inlineStr">
        <is>
          <t>Growth content for Urban Fitness Studio</t>
        </is>
      </c>
      <c r="H27" t="inlineStr">
        <is>
          <t>#growth #marketing #business</t>
        </is>
      </c>
      <c r="I27" t="inlineStr">
        <is>
          <t>media_26.jpg</t>
        </is>
      </c>
      <c r="J27" t="inlineStr">
        <is>
          <t>Published</t>
        </is>
      </c>
      <c r="K27" t="n">
        <v>26698</v>
      </c>
      <c r="L27" t="n">
        <v>1846</v>
      </c>
      <c r="M27" t="n">
        <v>223</v>
      </c>
      <c r="N27" t="inlineStr">
        <is>
          <t>No</t>
        </is>
      </c>
    </row>
    <row r="28">
      <c r="A28" t="n">
        <v>27</v>
      </c>
      <c r="B28" t="n">
        <v>1</v>
      </c>
      <c r="C28" t="inlineStr">
        <is>
          <t>ABC Dental Clinic</t>
        </is>
      </c>
      <c r="D28" t="inlineStr">
        <is>
          <t>Instagram</t>
        </is>
      </c>
      <c r="E28" s="4" t="n">
        <v>46270</v>
      </c>
      <c r="F28" t="inlineStr">
        <is>
          <t>Video</t>
        </is>
      </c>
      <c r="G28" t="inlineStr">
        <is>
          <t>Growth content for ABC Dental Clinic</t>
        </is>
      </c>
      <c r="H28" t="inlineStr">
        <is>
          <t>#growth #marketing #business</t>
        </is>
      </c>
      <c r="I28" t="inlineStr">
        <is>
          <t>media_27.jpg</t>
        </is>
      </c>
      <c r="J28" t="inlineStr">
        <is>
          <t>Published</t>
        </is>
      </c>
      <c r="K28" t="n">
        <v>38981</v>
      </c>
      <c r="L28" t="n">
        <v>2026</v>
      </c>
      <c r="M28" t="n">
        <v>2</v>
      </c>
      <c r="N28" t="inlineStr">
        <is>
          <t>Yes</t>
        </is>
      </c>
    </row>
    <row r="29">
      <c r="A29" t="n">
        <v>28</v>
      </c>
      <c r="B29" t="n">
        <v>7</v>
      </c>
      <c r="C29" t="inlineStr">
        <is>
          <t>Royal Auto Care</t>
        </is>
      </c>
      <c r="D29" t="inlineStr">
        <is>
          <t>Threads</t>
        </is>
      </c>
      <c r="E29" s="4" t="n">
        <v>46296</v>
      </c>
      <c r="F29" t="inlineStr">
        <is>
          <t>Video</t>
        </is>
      </c>
      <c r="G29" t="inlineStr">
        <is>
          <t>Growth content for Royal Auto Care</t>
        </is>
      </c>
      <c r="H29" t="inlineStr">
        <is>
          <t>#growth #marketing #business</t>
        </is>
      </c>
      <c r="I29" t="inlineStr">
        <is>
          <t>media_28.jpg</t>
        </is>
      </c>
      <c r="J29" t="inlineStr">
        <is>
          <t>Published</t>
        </is>
      </c>
      <c r="K29" t="n">
        <v>16783</v>
      </c>
      <c r="L29" t="n">
        <v>466</v>
      </c>
      <c r="M29" t="n">
        <v>116</v>
      </c>
      <c r="N29" t="inlineStr">
        <is>
          <t>Yes</t>
        </is>
      </c>
    </row>
    <row r="30">
      <c r="A30" t="n">
        <v>29</v>
      </c>
      <c r="B30" t="n">
        <v>3</v>
      </c>
      <c r="C30" t="inlineStr">
        <is>
          <t>Shree Home Decor</t>
        </is>
      </c>
      <c r="D30" t="inlineStr">
        <is>
          <t>Threads</t>
        </is>
      </c>
      <c r="E30" s="4" t="n">
        <v>46290</v>
      </c>
      <c r="F30" t="inlineStr">
        <is>
          <t>Post</t>
        </is>
      </c>
      <c r="G30" t="inlineStr">
        <is>
          <t>Growth content for Shree Home Decor</t>
        </is>
      </c>
      <c r="H30" t="inlineStr">
        <is>
          <t>#growth #marketing #business</t>
        </is>
      </c>
      <c r="I30" t="inlineStr">
        <is>
          <t>media_29.jpg</t>
        </is>
      </c>
      <c r="J30" t="inlineStr">
        <is>
          <t>Published</t>
        </is>
      </c>
      <c r="K30" t="n">
        <v>6070</v>
      </c>
      <c r="L30" t="n">
        <v>2278</v>
      </c>
      <c r="M30" t="n">
        <v>399</v>
      </c>
      <c r="N30" t="inlineStr">
        <is>
          <t>Yes</t>
        </is>
      </c>
    </row>
    <row r="31">
      <c r="A31" t="n">
        <v>30</v>
      </c>
      <c r="B31" t="n">
        <v>1</v>
      </c>
      <c r="C31" t="inlineStr">
        <is>
          <t>ABC Dental Clinic</t>
        </is>
      </c>
      <c r="D31" t="inlineStr">
        <is>
          <t>Instagram</t>
        </is>
      </c>
      <c r="E31" s="4" t="n">
        <v>46276</v>
      </c>
      <c r="F31" t="inlineStr">
        <is>
          <t>Post</t>
        </is>
      </c>
      <c r="G31" t="inlineStr">
        <is>
          <t>Growth content for ABC Dental Clinic</t>
        </is>
      </c>
      <c r="H31" t="inlineStr">
        <is>
          <t>#growth #marketing #business</t>
        </is>
      </c>
      <c r="I31" t="inlineStr">
        <is>
          <t>media_30.jpg</t>
        </is>
      </c>
      <c r="J31" t="inlineStr">
        <is>
          <t>Client Approval</t>
        </is>
      </c>
      <c r="K31" t="n">
        <v>8886</v>
      </c>
      <c r="L31" t="n">
        <v>1051</v>
      </c>
      <c r="M31" t="n">
        <v>272</v>
      </c>
      <c r="N31" t="inlineStr">
        <is>
          <t>No</t>
        </is>
      </c>
    </row>
  </sheetData>
  <autoFilter ref="A1:N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32" customWidth="1" min="4" max="4"/>
    <col width="12" customWidth="1" min="5" max="5"/>
    <col width="10" customWidth="1" min="6" max="6"/>
    <col width="14" customWidth="1" min="7" max="7"/>
    <col width="12" customWidth="1" min="8" max="8"/>
    <col width="13" customWidth="1" min="9" max="9"/>
    <col width="17" customWidth="1" min="10" max="10"/>
  </cols>
  <sheetData>
    <row r="1">
      <c r="A1" s="3" t="inlineStr">
        <is>
          <t>Task ID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Task</t>
        </is>
      </c>
      <c r="E1" s="3" t="inlineStr">
        <is>
          <t>Department</t>
        </is>
      </c>
      <c r="F1" s="3" t="inlineStr">
        <is>
          <t>Priority</t>
        </is>
      </c>
      <c r="G1" s="3" t="inlineStr">
        <is>
          <t>Assigned To</t>
        </is>
      </c>
      <c r="H1" s="3" t="inlineStr">
        <is>
          <t>Due Date</t>
        </is>
      </c>
      <c r="I1" s="3" t="inlineStr">
        <is>
          <t>Status</t>
        </is>
      </c>
      <c r="J1" s="3" t="inlineStr">
        <is>
          <t>Estimated Hours</t>
        </is>
      </c>
    </row>
    <row r="2">
      <c r="A2" t="n">
        <v>1</v>
      </c>
      <c r="B2" t="n">
        <v>2</v>
      </c>
      <c r="C2" t="inlineStr">
        <is>
          <t>Urban Fitness Studio</t>
        </is>
      </c>
      <c r="D2" t="inlineStr">
        <is>
          <t>Optimize Google Ads</t>
        </is>
      </c>
      <c r="E2" t="inlineStr">
        <is>
          <t>SEO</t>
        </is>
      </c>
      <c r="F2" t="inlineStr">
        <is>
          <t>Medium</t>
        </is>
      </c>
      <c r="G2" t="inlineStr">
        <is>
          <t>Neha Kapoor</t>
        </is>
      </c>
      <c r="H2" s="4" t="n">
        <v>46277</v>
      </c>
      <c r="I2" t="inlineStr">
        <is>
          <t>Review</t>
        </is>
      </c>
      <c r="J2" t="n">
        <v>4</v>
      </c>
    </row>
    <row r="3">
      <c r="A3" t="n">
        <v>2</v>
      </c>
      <c r="B3" t="n">
        <v>1</v>
      </c>
      <c r="C3" t="inlineStr">
        <is>
          <t>ABC Dental Clinic</t>
        </is>
      </c>
      <c r="D3" t="inlineStr">
        <is>
          <t>Review campaign</t>
        </is>
      </c>
      <c r="E3" t="inlineStr">
        <is>
          <t>SEO</t>
        </is>
      </c>
      <c r="F3" t="inlineStr">
        <is>
          <t>Urgent</t>
        </is>
      </c>
      <c r="G3" t="inlineStr">
        <is>
          <t>Amit Kumar</t>
        </is>
      </c>
      <c r="H3" s="4" t="n">
        <v>46274</v>
      </c>
      <c r="I3" t="inlineStr">
        <is>
          <t>Review</t>
        </is>
      </c>
      <c r="J3" t="n">
        <v>4</v>
      </c>
    </row>
    <row r="4">
      <c r="A4" t="n">
        <v>3</v>
      </c>
      <c r="B4" t="n">
        <v>8</v>
      </c>
      <c r="C4" t="inlineStr">
        <is>
          <t>GreenLeaf Interiors</t>
        </is>
      </c>
      <c r="D4" t="inlineStr">
        <is>
          <t>Publish Instagram Reel</t>
        </is>
      </c>
      <c r="E4" t="inlineStr">
        <is>
          <t>Design</t>
        </is>
      </c>
      <c r="F4" t="inlineStr">
        <is>
          <t>Medium</t>
        </is>
      </c>
      <c r="G4" t="inlineStr">
        <is>
          <t>Rahul Mehta</t>
        </is>
      </c>
      <c r="H4" s="4" t="n">
        <v>46290</v>
      </c>
      <c r="I4" t="inlineStr">
        <is>
          <t>Completed</t>
        </is>
      </c>
      <c r="J4" t="n">
        <v>5</v>
      </c>
    </row>
    <row r="5">
      <c r="A5" t="n">
        <v>4</v>
      </c>
      <c r="B5" t="n">
        <v>1</v>
      </c>
      <c r="C5" t="inlineStr">
        <is>
          <t>ABC Dental Clinic</t>
        </is>
      </c>
      <c r="D5" t="inlineStr">
        <is>
          <t>Publish Instagram Reel</t>
        </is>
      </c>
      <c r="E5" t="inlineStr">
        <is>
          <t>Ads</t>
        </is>
      </c>
      <c r="F5" t="inlineStr">
        <is>
          <t>Urgent</t>
        </is>
      </c>
      <c r="G5" t="inlineStr">
        <is>
          <t>Rahul Mehta</t>
        </is>
      </c>
      <c r="H5" s="4" t="n">
        <v>46274</v>
      </c>
      <c r="I5" t="inlineStr">
        <is>
          <t>Review</t>
        </is>
      </c>
      <c r="J5" t="n">
        <v>4</v>
      </c>
    </row>
    <row r="6">
      <c r="A6" t="n">
        <v>5</v>
      </c>
      <c r="B6" t="n">
        <v>7</v>
      </c>
      <c r="C6" t="inlineStr">
        <is>
          <t>Royal Auto Care</t>
        </is>
      </c>
      <c r="D6" t="inlineStr">
        <is>
          <t>Publish Instagram Reel</t>
        </is>
      </c>
      <c r="E6" t="inlineStr">
        <is>
          <t>Ads</t>
        </is>
      </c>
      <c r="F6" t="inlineStr">
        <is>
          <t>Low</t>
        </is>
      </c>
      <c r="G6" t="inlineStr">
        <is>
          <t>Anjali Verma</t>
        </is>
      </c>
      <c r="H6" s="4" t="n">
        <v>46285</v>
      </c>
      <c r="I6" t="inlineStr">
        <is>
          <t>Review</t>
        </is>
      </c>
      <c r="J6" t="n">
        <v>7</v>
      </c>
    </row>
    <row r="7">
      <c r="A7" t="n">
        <v>6</v>
      </c>
      <c r="B7" t="n">
        <v>6</v>
      </c>
      <c r="C7" t="inlineStr">
        <is>
          <t>Bright Kids Academy</t>
        </is>
      </c>
      <c r="D7" t="inlineStr">
        <is>
          <t>Publish Instagram Reel</t>
        </is>
      </c>
      <c r="E7" t="inlineStr">
        <is>
          <t>Marketing</t>
        </is>
      </c>
      <c r="F7" t="inlineStr">
        <is>
          <t>High</t>
        </is>
      </c>
      <c r="G7" t="inlineStr">
        <is>
          <t>Anjali Verma</t>
        </is>
      </c>
      <c r="H7" s="4" t="n">
        <v>46286</v>
      </c>
      <c r="I7" t="inlineStr">
        <is>
          <t>To Do</t>
        </is>
      </c>
      <c r="J7" t="n">
        <v>4</v>
      </c>
    </row>
    <row r="8">
      <c r="A8" t="n">
        <v>7</v>
      </c>
      <c r="B8" t="n">
        <v>8</v>
      </c>
      <c r="C8" t="inlineStr">
        <is>
          <t>GreenLeaf Interiors</t>
        </is>
      </c>
      <c r="D8" t="inlineStr">
        <is>
          <t>Follow up with lead</t>
        </is>
      </c>
      <c r="E8" t="inlineStr">
        <is>
          <t>Sales</t>
        </is>
      </c>
      <c r="F8" t="inlineStr">
        <is>
          <t>Medium</t>
        </is>
      </c>
      <c r="G8" t="inlineStr">
        <is>
          <t>Neha Kapoor</t>
        </is>
      </c>
      <c r="H8" s="4" t="n">
        <v>46280</v>
      </c>
      <c r="I8" t="inlineStr">
        <is>
          <t>In Progress</t>
        </is>
      </c>
      <c r="J8" t="n">
        <v>5</v>
      </c>
    </row>
    <row r="9">
      <c r="A9" t="n">
        <v>8</v>
      </c>
      <c r="B9" t="n">
        <v>5</v>
      </c>
      <c r="C9" t="inlineStr">
        <is>
          <t>FreshBite Restaurant</t>
        </is>
      </c>
      <c r="D9" t="inlineStr">
        <is>
          <t>Prepare monthly report</t>
        </is>
      </c>
      <c r="E9" t="inlineStr">
        <is>
          <t>Ads</t>
        </is>
      </c>
      <c r="F9" t="inlineStr">
        <is>
          <t>Medium</t>
        </is>
      </c>
      <c r="G9" t="inlineStr">
        <is>
          <t>Priya Sharma</t>
        </is>
      </c>
      <c r="H9" s="4" t="n">
        <v>46277</v>
      </c>
      <c r="I9" t="inlineStr">
        <is>
          <t>Completed</t>
        </is>
      </c>
      <c r="J9" t="n">
        <v>7</v>
      </c>
    </row>
    <row r="10">
      <c r="A10" t="n">
        <v>9</v>
      </c>
      <c r="B10" t="n">
        <v>1</v>
      </c>
      <c r="C10" t="inlineStr">
        <is>
          <t>ABC Dental Clinic</t>
        </is>
      </c>
      <c r="D10" t="inlineStr">
        <is>
          <t>Prepare SEO report</t>
        </is>
      </c>
      <c r="E10" t="inlineStr">
        <is>
          <t>Ads</t>
        </is>
      </c>
      <c r="F10" t="inlineStr">
        <is>
          <t>Low</t>
        </is>
      </c>
      <c r="G10" t="inlineStr">
        <is>
          <t>Priya Sharma</t>
        </is>
      </c>
      <c r="H10" s="4" t="n">
        <v>46293</v>
      </c>
      <c r="I10" t="inlineStr">
        <is>
          <t>To Do</t>
        </is>
      </c>
      <c r="J10" t="n">
        <v>3</v>
      </c>
    </row>
    <row r="11">
      <c r="A11" t="n">
        <v>10</v>
      </c>
      <c r="B11" t="n">
        <v>7</v>
      </c>
      <c r="C11" t="inlineStr">
        <is>
          <t>Royal Auto Care</t>
        </is>
      </c>
      <c r="D11" t="inlineStr">
        <is>
          <t>Write blog</t>
        </is>
      </c>
      <c r="E11" t="inlineStr">
        <is>
          <t>Marketing</t>
        </is>
      </c>
      <c r="F11" t="inlineStr">
        <is>
          <t>Medium</t>
        </is>
      </c>
      <c r="G11" t="inlineStr">
        <is>
          <t>Neha Kapoor</t>
        </is>
      </c>
      <c r="H11" s="4" t="n">
        <v>46275</v>
      </c>
      <c r="I11" t="inlineStr">
        <is>
          <t>Completed</t>
        </is>
      </c>
      <c r="J11" t="n">
        <v>6</v>
      </c>
    </row>
    <row r="12">
      <c r="A12" t="n">
        <v>11</v>
      </c>
      <c r="B12" t="n">
        <v>2</v>
      </c>
      <c r="C12" t="inlineStr">
        <is>
          <t>Urban Fitness Studio</t>
        </is>
      </c>
      <c r="D12" t="inlineStr">
        <is>
          <t>Prepare SEO report</t>
        </is>
      </c>
      <c r="E12" t="inlineStr">
        <is>
          <t>SEO</t>
        </is>
      </c>
      <c r="F12" t="inlineStr">
        <is>
          <t>Medium</t>
        </is>
      </c>
      <c r="G12" t="inlineStr">
        <is>
          <t>Priya Sharma</t>
        </is>
      </c>
      <c r="H12" s="4" t="n">
        <v>46276</v>
      </c>
      <c r="I12" t="inlineStr">
        <is>
          <t>Completed</t>
        </is>
      </c>
      <c r="J12" t="n">
        <v>1</v>
      </c>
    </row>
    <row r="13">
      <c r="A13" t="n">
        <v>12</v>
      </c>
      <c r="B13" t="n">
        <v>5</v>
      </c>
      <c r="C13" t="inlineStr">
        <is>
          <t>FreshBite Restaurant</t>
        </is>
      </c>
      <c r="D13" t="inlineStr">
        <is>
          <t>Check website speed</t>
        </is>
      </c>
      <c r="E13" t="inlineStr">
        <is>
          <t>SEO</t>
        </is>
      </c>
      <c r="F13" t="inlineStr">
        <is>
          <t>High</t>
        </is>
      </c>
      <c r="G13" t="inlineStr">
        <is>
          <t>Neha Kapoor</t>
        </is>
      </c>
      <c r="H13" s="4" t="n">
        <v>46286</v>
      </c>
      <c r="I13" t="inlineStr">
        <is>
          <t>In Progress</t>
        </is>
      </c>
      <c r="J13" t="n">
        <v>2</v>
      </c>
    </row>
    <row r="14">
      <c r="A14" t="n">
        <v>13</v>
      </c>
      <c r="B14" t="n">
        <v>1</v>
      </c>
      <c r="C14" t="inlineStr">
        <is>
          <t>ABC Dental Clinic</t>
        </is>
      </c>
      <c r="D14" t="inlineStr">
        <is>
          <t>Follow up with lead</t>
        </is>
      </c>
      <c r="E14" t="inlineStr">
        <is>
          <t>Marketing</t>
        </is>
      </c>
      <c r="F14" t="inlineStr">
        <is>
          <t>High</t>
        </is>
      </c>
      <c r="G14" t="inlineStr">
        <is>
          <t>Neha Kapoor</t>
        </is>
      </c>
      <c r="H14" s="4" t="n">
        <v>46276</v>
      </c>
      <c r="I14" t="inlineStr">
        <is>
          <t>To Do</t>
        </is>
      </c>
      <c r="J14" t="n">
        <v>4</v>
      </c>
    </row>
    <row r="15">
      <c r="A15" t="n">
        <v>14</v>
      </c>
      <c r="B15" t="n">
        <v>7</v>
      </c>
      <c r="C15" t="inlineStr">
        <is>
          <t>Royal Auto Care</t>
        </is>
      </c>
      <c r="D15" t="inlineStr">
        <is>
          <t>Design social post</t>
        </is>
      </c>
      <c r="E15" t="inlineStr">
        <is>
          <t>SEO</t>
        </is>
      </c>
      <c r="F15" t="inlineStr">
        <is>
          <t>Urgent</t>
        </is>
      </c>
      <c r="G15" t="inlineStr">
        <is>
          <t>Rahul Mehta</t>
        </is>
      </c>
      <c r="H15" s="4" t="n">
        <v>46285</v>
      </c>
      <c r="I15" t="inlineStr">
        <is>
          <t>To Do</t>
        </is>
      </c>
      <c r="J15" t="n">
        <v>8</v>
      </c>
    </row>
    <row r="16">
      <c r="A16" t="n">
        <v>15</v>
      </c>
      <c r="B16" t="n">
        <v>4</v>
      </c>
      <c r="C16" t="inlineStr">
        <is>
          <t>TechNova Solutions</t>
        </is>
      </c>
      <c r="D16" t="inlineStr">
        <is>
          <t>Review campaign</t>
        </is>
      </c>
      <c r="E16" t="inlineStr">
        <is>
          <t>Ads</t>
        </is>
      </c>
      <c r="F16" t="inlineStr">
        <is>
          <t>Medium</t>
        </is>
      </c>
      <c r="G16" t="inlineStr">
        <is>
          <t>Amit Kumar</t>
        </is>
      </c>
      <c r="H16" s="4" t="n">
        <v>46285</v>
      </c>
      <c r="I16" t="inlineStr">
        <is>
          <t>Review</t>
        </is>
      </c>
      <c r="J16" t="n">
        <v>8</v>
      </c>
    </row>
    <row r="17">
      <c r="A17" t="n">
        <v>16</v>
      </c>
      <c r="B17" t="n">
        <v>1</v>
      </c>
      <c r="C17" t="inlineStr">
        <is>
          <t>ABC Dental Clinic</t>
        </is>
      </c>
      <c r="D17" t="inlineStr">
        <is>
          <t>Update keywords</t>
        </is>
      </c>
      <c r="E17" t="inlineStr">
        <is>
          <t>Sales</t>
        </is>
      </c>
      <c r="F17" t="inlineStr">
        <is>
          <t>Urgent</t>
        </is>
      </c>
      <c r="G17" t="inlineStr">
        <is>
          <t>Rahul Mehta</t>
        </is>
      </c>
      <c r="H17" s="4" t="n">
        <v>46294</v>
      </c>
      <c r="I17" t="inlineStr">
        <is>
          <t>Completed</t>
        </is>
      </c>
      <c r="J17" t="n">
        <v>1</v>
      </c>
    </row>
    <row r="18">
      <c r="A18" t="n">
        <v>17</v>
      </c>
      <c r="B18" t="n">
        <v>8</v>
      </c>
      <c r="C18" t="inlineStr">
        <is>
          <t>GreenLeaf Interiors</t>
        </is>
      </c>
      <c r="D18" t="inlineStr">
        <is>
          <t>Design social post</t>
        </is>
      </c>
      <c r="E18" t="inlineStr">
        <is>
          <t>Marketing</t>
        </is>
      </c>
      <c r="F18" t="inlineStr">
        <is>
          <t>High</t>
        </is>
      </c>
      <c r="G18" t="inlineStr">
        <is>
          <t>Priya Sharma</t>
        </is>
      </c>
      <c r="H18" s="4" t="n">
        <v>46276</v>
      </c>
      <c r="I18" t="inlineStr">
        <is>
          <t>To Do</t>
        </is>
      </c>
      <c r="J18" t="n">
        <v>6</v>
      </c>
    </row>
    <row r="19">
      <c r="A19" t="n">
        <v>18</v>
      </c>
      <c r="B19" t="n">
        <v>6</v>
      </c>
      <c r="C19" t="inlineStr">
        <is>
          <t>Bright Kids Academy</t>
        </is>
      </c>
      <c r="D19" t="inlineStr">
        <is>
          <t>Client approval follow-up</t>
        </is>
      </c>
      <c r="E19" t="inlineStr">
        <is>
          <t>Design</t>
        </is>
      </c>
      <c r="F19" t="inlineStr">
        <is>
          <t>Low</t>
        </is>
      </c>
      <c r="G19" t="inlineStr">
        <is>
          <t>Amit Kumar</t>
        </is>
      </c>
      <c r="H19" s="4" t="n">
        <v>46282</v>
      </c>
      <c r="I19" t="inlineStr">
        <is>
          <t>Review</t>
        </is>
      </c>
      <c r="J19" t="n">
        <v>5</v>
      </c>
    </row>
    <row r="20">
      <c r="A20" t="n">
        <v>19</v>
      </c>
      <c r="B20" t="n">
        <v>5</v>
      </c>
      <c r="C20" t="inlineStr">
        <is>
          <t>FreshBite Restaurant</t>
        </is>
      </c>
      <c r="D20" t="inlineStr">
        <is>
          <t>Write blog</t>
        </is>
      </c>
      <c r="E20" t="inlineStr">
        <is>
          <t>Design</t>
        </is>
      </c>
      <c r="F20" t="inlineStr">
        <is>
          <t>Low</t>
        </is>
      </c>
      <c r="G20" t="inlineStr">
        <is>
          <t>Rahul Mehta</t>
        </is>
      </c>
      <c r="H20" s="4" t="n">
        <v>46274</v>
      </c>
      <c r="I20" t="inlineStr">
        <is>
          <t>In Progress</t>
        </is>
      </c>
      <c r="J20" t="n">
        <v>2</v>
      </c>
    </row>
    <row r="21">
      <c r="A21" t="n">
        <v>20</v>
      </c>
      <c r="B21" t="n">
        <v>8</v>
      </c>
      <c r="C21" t="inlineStr">
        <is>
          <t>GreenLeaf Interiors</t>
        </is>
      </c>
      <c r="D21" t="inlineStr">
        <is>
          <t>Design social post</t>
        </is>
      </c>
      <c r="E21" t="inlineStr">
        <is>
          <t>Ads</t>
        </is>
      </c>
      <c r="F21" t="inlineStr">
        <is>
          <t>High</t>
        </is>
      </c>
      <c r="G21" t="inlineStr">
        <is>
          <t>Neha Kapoor</t>
        </is>
      </c>
      <c r="H21" s="4" t="n">
        <v>46288</v>
      </c>
      <c r="I21" t="inlineStr">
        <is>
          <t>Completed</t>
        </is>
      </c>
      <c r="J21" t="n">
        <v>3</v>
      </c>
    </row>
    <row r="22">
      <c r="A22" t="n">
        <v>21</v>
      </c>
      <c r="B22" t="n">
        <v>8</v>
      </c>
      <c r="C22" t="inlineStr">
        <is>
          <t>GreenLeaf Interiors</t>
        </is>
      </c>
      <c r="D22" t="inlineStr">
        <is>
          <t>Create ad creatives</t>
        </is>
      </c>
      <c r="E22" t="inlineStr">
        <is>
          <t>Admin</t>
        </is>
      </c>
      <c r="F22" t="inlineStr">
        <is>
          <t>High</t>
        </is>
      </c>
      <c r="G22" t="inlineStr">
        <is>
          <t>Anjali Verma</t>
        </is>
      </c>
      <c r="H22" s="4" t="n">
        <v>46279</v>
      </c>
      <c r="I22" t="inlineStr">
        <is>
          <t>In Progress</t>
        </is>
      </c>
      <c r="J22" t="n">
        <v>4</v>
      </c>
    </row>
    <row r="23">
      <c r="A23" t="n">
        <v>22</v>
      </c>
      <c r="B23" t="n">
        <v>6</v>
      </c>
      <c r="C23" t="inlineStr">
        <is>
          <t>Bright Kids Academy</t>
        </is>
      </c>
      <c r="D23" t="inlineStr">
        <is>
          <t>Prepare proposal</t>
        </is>
      </c>
      <c r="E23" t="inlineStr">
        <is>
          <t>SEO</t>
        </is>
      </c>
      <c r="F23" t="inlineStr">
        <is>
          <t>Low</t>
        </is>
      </c>
      <c r="G23" t="inlineStr">
        <is>
          <t>Rohan Singh</t>
        </is>
      </c>
      <c r="H23" s="4" t="n">
        <v>46284</v>
      </c>
      <c r="I23" t="inlineStr">
        <is>
          <t>In Progress</t>
        </is>
      </c>
      <c r="J23" t="n">
        <v>7</v>
      </c>
    </row>
    <row r="24">
      <c r="A24" t="n">
        <v>23</v>
      </c>
      <c r="B24" t="n">
        <v>3</v>
      </c>
      <c r="C24" t="inlineStr">
        <is>
          <t>Shree Home Decor</t>
        </is>
      </c>
      <c r="D24" t="inlineStr">
        <is>
          <t>Update keywords</t>
        </is>
      </c>
      <c r="E24" t="inlineStr">
        <is>
          <t>Marketing</t>
        </is>
      </c>
      <c r="F24" t="inlineStr">
        <is>
          <t>Low</t>
        </is>
      </c>
      <c r="G24" t="inlineStr">
        <is>
          <t>Neha Kapoor</t>
        </is>
      </c>
      <c r="H24" s="4" t="n">
        <v>46281</v>
      </c>
      <c r="I24" t="inlineStr">
        <is>
          <t>Review</t>
        </is>
      </c>
      <c r="J24" t="n">
        <v>3</v>
      </c>
    </row>
    <row r="25">
      <c r="A25" t="n">
        <v>24</v>
      </c>
      <c r="B25" t="n">
        <v>7</v>
      </c>
      <c r="C25" t="inlineStr">
        <is>
          <t>Royal Auto Care</t>
        </is>
      </c>
      <c r="D25" t="inlineStr">
        <is>
          <t>Optimize Google Ads</t>
        </is>
      </c>
      <c r="E25" t="inlineStr">
        <is>
          <t>SEO</t>
        </is>
      </c>
      <c r="F25" t="inlineStr">
        <is>
          <t>Low</t>
        </is>
      </c>
      <c r="G25" t="inlineStr">
        <is>
          <t>Priya Sharma</t>
        </is>
      </c>
      <c r="H25" s="4" t="n">
        <v>46277</v>
      </c>
      <c r="I25" t="inlineStr">
        <is>
          <t>To Do</t>
        </is>
      </c>
      <c r="J25" t="n">
        <v>7</v>
      </c>
    </row>
    <row r="26">
      <c r="A26" t="n">
        <v>25</v>
      </c>
      <c r="B26" t="n">
        <v>8</v>
      </c>
      <c r="C26" t="inlineStr">
        <is>
          <t>GreenLeaf Interiors</t>
        </is>
      </c>
      <c r="D26" t="inlineStr">
        <is>
          <t>Prepare SEO report</t>
        </is>
      </c>
      <c r="E26" t="inlineStr">
        <is>
          <t>Sales</t>
        </is>
      </c>
      <c r="F26" t="inlineStr">
        <is>
          <t>Medium</t>
        </is>
      </c>
      <c r="G26" t="inlineStr">
        <is>
          <t>Neha Kapoor</t>
        </is>
      </c>
      <c r="H26" s="4" t="n">
        <v>46288</v>
      </c>
      <c r="I26" t="inlineStr">
        <is>
          <t>Completed</t>
        </is>
      </c>
      <c r="J26" t="n">
        <v>4</v>
      </c>
    </row>
    <row r="27">
      <c r="A27" t="n">
        <v>26</v>
      </c>
      <c r="B27" t="n">
        <v>2</v>
      </c>
      <c r="C27" t="inlineStr">
        <is>
          <t>Urban Fitness Studio</t>
        </is>
      </c>
      <c r="D27" t="inlineStr">
        <is>
          <t>Follow up with lead</t>
        </is>
      </c>
      <c r="E27" t="inlineStr">
        <is>
          <t>SEO</t>
        </is>
      </c>
      <c r="F27" t="inlineStr">
        <is>
          <t>High</t>
        </is>
      </c>
      <c r="G27" t="inlineStr">
        <is>
          <t>Amit Kumar</t>
        </is>
      </c>
      <c r="H27" s="4" t="n">
        <v>46283</v>
      </c>
      <c r="I27" t="inlineStr">
        <is>
          <t>Review</t>
        </is>
      </c>
      <c r="J27" t="n">
        <v>5</v>
      </c>
    </row>
    <row r="28">
      <c r="A28" t="n">
        <v>27</v>
      </c>
      <c r="B28" t="n">
        <v>4</v>
      </c>
      <c r="C28" t="inlineStr">
        <is>
          <t>TechNova Solutions</t>
        </is>
      </c>
      <c r="D28" t="inlineStr">
        <is>
          <t>Publish Instagram Reel</t>
        </is>
      </c>
      <c r="E28" t="inlineStr">
        <is>
          <t>Sales</t>
        </is>
      </c>
      <c r="F28" t="inlineStr">
        <is>
          <t>Medium</t>
        </is>
      </c>
      <c r="G28" t="inlineStr">
        <is>
          <t>Priya Sharma</t>
        </is>
      </c>
      <c r="H28" s="4" t="n">
        <v>46288</v>
      </c>
      <c r="I28" t="inlineStr">
        <is>
          <t>In Progress</t>
        </is>
      </c>
      <c r="J28" t="n">
        <v>5</v>
      </c>
    </row>
    <row r="29">
      <c r="A29" t="n">
        <v>28</v>
      </c>
      <c r="B29" t="n">
        <v>4</v>
      </c>
      <c r="C29" t="inlineStr">
        <is>
          <t>TechNova Solutions</t>
        </is>
      </c>
      <c r="D29" t="inlineStr">
        <is>
          <t>Optimize Google Ads</t>
        </is>
      </c>
      <c r="E29" t="inlineStr">
        <is>
          <t>Ads</t>
        </is>
      </c>
      <c r="F29" t="inlineStr">
        <is>
          <t>High</t>
        </is>
      </c>
      <c r="G29" t="inlineStr">
        <is>
          <t>Priya Sharma</t>
        </is>
      </c>
      <c r="H29" s="4" t="n">
        <v>46284</v>
      </c>
      <c r="I29" t="inlineStr">
        <is>
          <t>In Progress</t>
        </is>
      </c>
      <c r="J29" t="n">
        <v>2</v>
      </c>
    </row>
    <row r="30">
      <c r="A30" t="n">
        <v>29</v>
      </c>
      <c r="B30" t="n">
        <v>8</v>
      </c>
      <c r="C30" t="inlineStr">
        <is>
          <t>GreenLeaf Interiors</t>
        </is>
      </c>
      <c r="D30" t="inlineStr">
        <is>
          <t>Optimize Google Ads</t>
        </is>
      </c>
      <c r="E30" t="inlineStr">
        <is>
          <t>Marketing</t>
        </is>
      </c>
      <c r="F30" t="inlineStr">
        <is>
          <t>Urgent</t>
        </is>
      </c>
      <c r="G30" t="inlineStr">
        <is>
          <t>Priya Sharma</t>
        </is>
      </c>
      <c r="H30" s="4" t="n">
        <v>46275</v>
      </c>
      <c r="I30" t="inlineStr">
        <is>
          <t>Completed</t>
        </is>
      </c>
      <c r="J30" t="n">
        <v>6</v>
      </c>
    </row>
    <row r="31">
      <c r="A31" t="n">
        <v>30</v>
      </c>
      <c r="B31" t="n">
        <v>1</v>
      </c>
      <c r="C31" t="inlineStr">
        <is>
          <t>ABC Dental Clinic</t>
        </is>
      </c>
      <c r="D31" t="inlineStr">
        <is>
          <t>Publish Instagram Reel</t>
        </is>
      </c>
      <c r="E31" t="inlineStr">
        <is>
          <t>Marketing</t>
        </is>
      </c>
      <c r="F31" t="inlineStr">
        <is>
          <t>Low</t>
        </is>
      </c>
      <c r="G31" t="inlineStr">
        <is>
          <t>Priya Sharma</t>
        </is>
      </c>
      <c r="H31" s="4" t="n">
        <v>46283</v>
      </c>
      <c r="I31" t="inlineStr">
        <is>
          <t>In Progress</t>
        </is>
      </c>
      <c r="J31" t="n">
        <v>2</v>
      </c>
    </row>
    <row r="32">
      <c r="A32" t="n">
        <v>31</v>
      </c>
      <c r="B32" t="n">
        <v>6</v>
      </c>
      <c r="C32" t="inlineStr">
        <is>
          <t>Bright Kids Academy</t>
        </is>
      </c>
      <c r="D32" t="inlineStr">
        <is>
          <t>Check website speed</t>
        </is>
      </c>
      <c r="E32" t="inlineStr">
        <is>
          <t>Sales</t>
        </is>
      </c>
      <c r="F32" t="inlineStr">
        <is>
          <t>Urgent</t>
        </is>
      </c>
      <c r="G32" t="inlineStr">
        <is>
          <t>Rohan Singh</t>
        </is>
      </c>
      <c r="H32" s="4" t="n">
        <v>46290</v>
      </c>
      <c r="I32" t="inlineStr">
        <is>
          <t>Review</t>
        </is>
      </c>
      <c r="J32" t="n">
        <v>1</v>
      </c>
    </row>
    <row r="33">
      <c r="A33" t="n">
        <v>32</v>
      </c>
      <c r="B33" t="n">
        <v>2</v>
      </c>
      <c r="C33" t="inlineStr">
        <is>
          <t>Urban Fitness Studio</t>
        </is>
      </c>
      <c r="D33" t="inlineStr">
        <is>
          <t>Prepare monthly report</t>
        </is>
      </c>
      <c r="E33" t="inlineStr">
        <is>
          <t>Admin</t>
        </is>
      </c>
      <c r="F33" t="inlineStr">
        <is>
          <t>High</t>
        </is>
      </c>
      <c r="G33" t="inlineStr">
        <is>
          <t>Priya Sharma</t>
        </is>
      </c>
      <c r="H33" s="4" t="n">
        <v>46294</v>
      </c>
      <c r="I33" t="inlineStr">
        <is>
          <t>To Do</t>
        </is>
      </c>
      <c r="J33" t="n">
        <v>6</v>
      </c>
    </row>
    <row r="34">
      <c r="A34" t="n">
        <v>33</v>
      </c>
      <c r="B34" t="n">
        <v>6</v>
      </c>
      <c r="C34" t="inlineStr">
        <is>
          <t>Bright Kids Academy</t>
        </is>
      </c>
      <c r="D34" t="inlineStr">
        <is>
          <t>Create ad creatives</t>
        </is>
      </c>
      <c r="E34" t="inlineStr">
        <is>
          <t>Sales</t>
        </is>
      </c>
      <c r="F34" t="inlineStr">
        <is>
          <t>High</t>
        </is>
      </c>
      <c r="G34" t="inlineStr">
        <is>
          <t>Rahul Mehta</t>
        </is>
      </c>
      <c r="H34" s="4" t="n">
        <v>46278</v>
      </c>
      <c r="I34" t="inlineStr">
        <is>
          <t>In Progress</t>
        </is>
      </c>
      <c r="J34" t="n">
        <v>1</v>
      </c>
    </row>
    <row r="35">
      <c r="A35" t="n">
        <v>34</v>
      </c>
      <c r="B35" t="n">
        <v>6</v>
      </c>
      <c r="C35" t="inlineStr">
        <is>
          <t>Bright Kids Academy</t>
        </is>
      </c>
      <c r="D35" t="inlineStr">
        <is>
          <t>Update Google Business Profile</t>
        </is>
      </c>
      <c r="E35" t="inlineStr">
        <is>
          <t>SEO</t>
        </is>
      </c>
      <c r="F35" t="inlineStr">
        <is>
          <t>Medium</t>
        </is>
      </c>
      <c r="G35" t="inlineStr">
        <is>
          <t>Rohan Singh</t>
        </is>
      </c>
      <c r="H35" s="4" t="n">
        <v>46287</v>
      </c>
      <c r="I35" t="inlineStr">
        <is>
          <t>Review</t>
        </is>
      </c>
      <c r="J35" t="n">
        <v>2</v>
      </c>
    </row>
    <row r="36">
      <c r="A36" t="n">
        <v>35</v>
      </c>
      <c r="B36" t="n">
        <v>4</v>
      </c>
      <c r="C36" t="inlineStr">
        <is>
          <t>TechNova Solutions</t>
        </is>
      </c>
      <c r="D36" t="inlineStr">
        <is>
          <t>Design social post</t>
        </is>
      </c>
      <c r="E36" t="inlineStr">
        <is>
          <t>Ads</t>
        </is>
      </c>
      <c r="F36" t="inlineStr">
        <is>
          <t>Urgent</t>
        </is>
      </c>
      <c r="G36" t="inlineStr">
        <is>
          <t>Rahul Mehta</t>
        </is>
      </c>
      <c r="H36" s="4" t="n">
        <v>46275</v>
      </c>
      <c r="I36" t="inlineStr">
        <is>
          <t>Completed</t>
        </is>
      </c>
      <c r="J36" t="n">
        <v>2</v>
      </c>
    </row>
    <row r="37">
      <c r="A37" t="n">
        <v>36</v>
      </c>
      <c r="B37" t="n">
        <v>7</v>
      </c>
      <c r="C37" t="inlineStr">
        <is>
          <t>Royal Auto Care</t>
        </is>
      </c>
      <c r="D37" t="inlineStr">
        <is>
          <t>Prepare SEO report</t>
        </is>
      </c>
      <c r="E37" t="inlineStr">
        <is>
          <t>Admin</t>
        </is>
      </c>
      <c r="F37" t="inlineStr">
        <is>
          <t>Low</t>
        </is>
      </c>
      <c r="G37" t="inlineStr">
        <is>
          <t>Anjali Verma</t>
        </is>
      </c>
      <c r="H37" s="4" t="n">
        <v>46291</v>
      </c>
      <c r="I37" t="inlineStr">
        <is>
          <t>In Progress</t>
        </is>
      </c>
      <c r="J37" t="n">
        <v>7</v>
      </c>
    </row>
    <row r="38">
      <c r="A38" t="n">
        <v>37</v>
      </c>
      <c r="B38" t="n">
        <v>5</v>
      </c>
      <c r="C38" t="inlineStr">
        <is>
          <t>FreshBite Restaurant</t>
        </is>
      </c>
      <c r="D38" t="inlineStr">
        <is>
          <t>Follow up with lead</t>
        </is>
      </c>
      <c r="E38" t="inlineStr">
        <is>
          <t>Admin</t>
        </is>
      </c>
      <c r="F38" t="inlineStr">
        <is>
          <t>High</t>
        </is>
      </c>
      <c r="G38" t="inlineStr">
        <is>
          <t>Neha Kapoor</t>
        </is>
      </c>
      <c r="H38" s="4" t="n">
        <v>46287</v>
      </c>
      <c r="I38" t="inlineStr">
        <is>
          <t>To Do</t>
        </is>
      </c>
      <c r="J38" t="n">
        <v>5</v>
      </c>
    </row>
    <row r="39">
      <c r="A39" t="n">
        <v>38</v>
      </c>
      <c r="B39" t="n">
        <v>6</v>
      </c>
      <c r="C39" t="inlineStr">
        <is>
          <t>Bright Kids Academy</t>
        </is>
      </c>
      <c r="D39" t="inlineStr">
        <is>
          <t>Update keywords</t>
        </is>
      </c>
      <c r="E39" t="inlineStr">
        <is>
          <t>Marketing</t>
        </is>
      </c>
      <c r="F39" t="inlineStr">
        <is>
          <t>High</t>
        </is>
      </c>
      <c r="G39" t="inlineStr">
        <is>
          <t>Anjali Verma</t>
        </is>
      </c>
      <c r="H39" s="4" t="n">
        <v>46287</v>
      </c>
      <c r="I39" t="inlineStr">
        <is>
          <t>In Progress</t>
        </is>
      </c>
      <c r="J39" t="n">
        <v>7</v>
      </c>
    </row>
    <row r="40">
      <c r="A40" t="n">
        <v>39</v>
      </c>
      <c r="B40" t="n">
        <v>7</v>
      </c>
      <c r="C40" t="inlineStr">
        <is>
          <t>Royal Auto Care</t>
        </is>
      </c>
      <c r="D40" t="inlineStr">
        <is>
          <t>Create ad creatives</t>
        </is>
      </c>
      <c r="E40" t="inlineStr">
        <is>
          <t>Ads</t>
        </is>
      </c>
      <c r="F40" t="inlineStr">
        <is>
          <t>Medium</t>
        </is>
      </c>
      <c r="G40" t="inlineStr">
        <is>
          <t>Neha Kapoor</t>
        </is>
      </c>
      <c r="H40" s="4" t="n">
        <v>46280</v>
      </c>
      <c r="I40" t="inlineStr">
        <is>
          <t>To Do</t>
        </is>
      </c>
      <c r="J40" t="n">
        <v>2</v>
      </c>
    </row>
    <row r="41">
      <c r="A41" t="n">
        <v>40</v>
      </c>
      <c r="B41" t="n">
        <v>7</v>
      </c>
      <c r="C41" t="inlineStr">
        <is>
          <t>Royal Auto Care</t>
        </is>
      </c>
      <c r="D41" t="inlineStr">
        <is>
          <t>Client approval follow-up</t>
        </is>
      </c>
      <c r="E41" t="inlineStr">
        <is>
          <t>Ads</t>
        </is>
      </c>
      <c r="F41" t="inlineStr">
        <is>
          <t>Medium</t>
        </is>
      </c>
      <c r="G41" t="inlineStr">
        <is>
          <t>Priya Sharma</t>
        </is>
      </c>
      <c r="H41" s="4" t="n">
        <v>46292</v>
      </c>
      <c r="I41" t="inlineStr">
        <is>
          <t>To Do</t>
        </is>
      </c>
      <c r="J41" t="n">
        <v>1</v>
      </c>
    </row>
  </sheetData>
  <autoFilter ref="A1:J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14" customWidth="1" min="4" max="4"/>
    <col width="12" customWidth="1" min="5" max="5"/>
    <col width="10" customWidth="1" min="6" max="6"/>
    <col width="8" customWidth="1" min="7" max="7"/>
    <col width="8" customWidth="1" min="8" max="8"/>
    <col width="9" customWidth="1" min="9" max="9"/>
    <col width="13" customWidth="1" min="10" max="10"/>
    <col width="9" customWidth="1" min="11" max="11"/>
    <col width="16" customWidth="1" min="12" max="12"/>
  </cols>
  <sheetData>
    <row r="1">
      <c r="A1" s="3" t="inlineStr">
        <is>
          <t>Invoice No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Invoice Date</t>
        </is>
      </c>
      <c r="E1" s="3" t="inlineStr">
        <is>
          <t>Due Date</t>
        </is>
      </c>
      <c r="F1" s="3" t="inlineStr">
        <is>
          <t>Subtotal</t>
        </is>
      </c>
      <c r="G1" s="3" t="inlineStr">
        <is>
          <t>CGST</t>
        </is>
      </c>
      <c r="H1" s="3" t="inlineStr">
        <is>
          <t>SGST</t>
        </is>
      </c>
      <c r="I1" s="3" t="inlineStr">
        <is>
          <t>Total</t>
        </is>
      </c>
      <c r="J1" s="3" t="inlineStr">
        <is>
          <t>Amount Paid</t>
        </is>
      </c>
      <c r="K1" s="3" t="inlineStr">
        <is>
          <t>Status</t>
        </is>
      </c>
      <c r="L1" s="3" t="inlineStr">
        <is>
          <t>Payment Method</t>
        </is>
      </c>
    </row>
    <row r="2">
      <c r="A2" t="inlineStr">
        <is>
          <t>INV-2026-001</t>
        </is>
      </c>
      <c r="B2" t="n">
        <v>1</v>
      </c>
      <c r="C2" t="inlineStr">
        <is>
          <t>ABC Dental Clinic</t>
        </is>
      </c>
      <c r="D2" s="4" t="n">
        <v>46244</v>
      </c>
      <c r="E2" s="4" t="n">
        <v>46259</v>
      </c>
      <c r="F2" t="n">
        <v>35000</v>
      </c>
      <c r="G2" t="n">
        <v>3150</v>
      </c>
      <c r="H2" t="n">
        <v>3150</v>
      </c>
      <c r="I2" t="n">
        <v>41300</v>
      </c>
      <c r="J2" t="n">
        <v>41300</v>
      </c>
      <c r="K2" t="inlineStr">
        <is>
          <t>Paid</t>
        </is>
      </c>
      <c r="L2" t="inlineStr">
        <is>
          <t>UPI/Razorpay</t>
        </is>
      </c>
    </row>
    <row r="3">
      <c r="A3" t="inlineStr">
        <is>
          <t>INV-2026-002</t>
        </is>
      </c>
      <c r="B3" t="n">
        <v>2</v>
      </c>
      <c r="C3" t="inlineStr">
        <is>
          <t>Urban Fitness Studio</t>
        </is>
      </c>
      <c r="D3" s="4" t="n">
        <v>46238</v>
      </c>
      <c r="E3" s="4" t="n">
        <v>46253</v>
      </c>
      <c r="F3" t="n">
        <v>28000</v>
      </c>
      <c r="G3" t="n">
        <v>2520</v>
      </c>
      <c r="H3" t="n">
        <v>2520</v>
      </c>
      <c r="I3" t="n">
        <v>33040</v>
      </c>
      <c r="J3" t="n">
        <v>0</v>
      </c>
      <c r="K3" t="inlineStr">
        <is>
          <t>Overdue</t>
        </is>
      </c>
      <c r="L3" t="inlineStr"/>
    </row>
    <row r="4">
      <c r="A4" t="inlineStr">
        <is>
          <t>INV-2026-003</t>
        </is>
      </c>
      <c r="B4" t="n">
        <v>3</v>
      </c>
      <c r="C4" t="inlineStr">
        <is>
          <t>Shree Home Decor</t>
        </is>
      </c>
      <c r="D4" s="4" t="n">
        <v>46274</v>
      </c>
      <c r="E4" s="4" t="n">
        <v>46289</v>
      </c>
      <c r="F4" t="n">
        <v>22000</v>
      </c>
      <c r="G4" t="n">
        <v>1980</v>
      </c>
      <c r="H4" t="n">
        <v>1980</v>
      </c>
      <c r="I4" t="n">
        <v>25960</v>
      </c>
      <c r="J4" t="n">
        <v>0</v>
      </c>
      <c r="K4" t="inlineStr">
        <is>
          <t>Pending</t>
        </is>
      </c>
      <c r="L4" t="inlineStr"/>
    </row>
    <row r="5">
      <c r="A5" t="inlineStr">
        <is>
          <t>INV-2026-004</t>
        </is>
      </c>
      <c r="B5" t="n">
        <v>4</v>
      </c>
      <c r="C5" t="inlineStr">
        <is>
          <t>TechNova Solutions</t>
        </is>
      </c>
      <c r="D5" s="4" t="n">
        <v>46247</v>
      </c>
      <c r="E5" s="4" t="n">
        <v>46262</v>
      </c>
      <c r="F5" t="n">
        <v>18000</v>
      </c>
      <c r="G5" t="n">
        <v>1620</v>
      </c>
      <c r="H5" t="n">
        <v>1620</v>
      </c>
      <c r="I5" t="n">
        <v>21240</v>
      </c>
      <c r="J5" t="n">
        <v>21240</v>
      </c>
      <c r="K5" t="inlineStr">
        <is>
          <t>Paid</t>
        </is>
      </c>
      <c r="L5" t="inlineStr">
        <is>
          <t>UPI/Razorpay</t>
        </is>
      </c>
    </row>
    <row r="6">
      <c r="A6" t="inlineStr">
        <is>
          <t>INV-2026-005</t>
        </is>
      </c>
      <c r="B6" t="n">
        <v>5</v>
      </c>
      <c r="C6" t="inlineStr">
        <is>
          <t>FreshBite Restaurant</t>
        </is>
      </c>
      <c r="D6" s="4" t="n">
        <v>46270</v>
      </c>
      <c r="E6" s="4" t="n">
        <v>46285</v>
      </c>
      <c r="F6" t="n">
        <v>25000</v>
      </c>
      <c r="G6" t="n">
        <v>2250</v>
      </c>
      <c r="H6" t="n">
        <v>2250</v>
      </c>
      <c r="I6" t="n">
        <v>29500</v>
      </c>
      <c r="J6" t="n">
        <v>0</v>
      </c>
      <c r="K6" t="inlineStr">
        <is>
          <t>Pending</t>
        </is>
      </c>
      <c r="L6" t="inlineStr"/>
    </row>
    <row r="7">
      <c r="A7" t="inlineStr">
        <is>
          <t>INV-2026-006</t>
        </is>
      </c>
      <c r="B7" t="n">
        <v>6</v>
      </c>
      <c r="C7" t="inlineStr">
        <is>
          <t>Bright Kids Academy</t>
        </is>
      </c>
      <c r="D7" s="4" t="n">
        <v>46261</v>
      </c>
      <c r="E7" s="4" t="n">
        <v>46276</v>
      </c>
      <c r="F7" t="n">
        <v>15000</v>
      </c>
      <c r="G7" t="n">
        <v>1350</v>
      </c>
      <c r="H7" t="n">
        <v>1350</v>
      </c>
      <c r="I7" t="n">
        <v>17700</v>
      </c>
      <c r="J7" t="n">
        <v>17700</v>
      </c>
      <c r="K7" t="inlineStr">
        <is>
          <t>Paid</t>
        </is>
      </c>
      <c r="L7" t="inlineStr">
        <is>
          <t>UPI/Razorpay</t>
        </is>
      </c>
    </row>
    <row r="8">
      <c r="A8" t="inlineStr">
        <is>
          <t>INV-2026-007</t>
        </is>
      </c>
      <c r="B8" t="n">
        <v>7</v>
      </c>
      <c r="C8" t="inlineStr">
        <is>
          <t>Royal Auto Care</t>
        </is>
      </c>
      <c r="D8" s="4" t="n">
        <v>46246</v>
      </c>
      <c r="E8" s="4" t="n">
        <v>46261</v>
      </c>
      <c r="F8" t="n">
        <v>20000</v>
      </c>
      <c r="G8" t="n">
        <v>1800</v>
      </c>
      <c r="H8" t="n">
        <v>1800</v>
      </c>
      <c r="I8" t="n">
        <v>23600</v>
      </c>
      <c r="J8" t="n">
        <v>23600</v>
      </c>
      <c r="K8" t="inlineStr">
        <is>
          <t>Paid</t>
        </is>
      </c>
      <c r="L8" t="inlineStr">
        <is>
          <t>UPI/Razorpay</t>
        </is>
      </c>
    </row>
    <row r="9">
      <c r="A9" t="inlineStr">
        <is>
          <t>INV-2026-008</t>
        </is>
      </c>
      <c r="B9" t="n">
        <v>8</v>
      </c>
      <c r="C9" t="inlineStr">
        <is>
          <t>GreenLeaf Interiors</t>
        </is>
      </c>
      <c r="D9" s="4" t="n">
        <v>46275</v>
      </c>
      <c r="E9" s="4" t="n">
        <v>46290</v>
      </c>
      <c r="F9" t="n">
        <v>30000</v>
      </c>
      <c r="G9" t="n">
        <v>2700</v>
      </c>
      <c r="H9" t="n">
        <v>2700</v>
      </c>
      <c r="I9" t="n">
        <v>35400</v>
      </c>
      <c r="J9" t="n">
        <v>35400</v>
      </c>
      <c r="K9" t="inlineStr">
        <is>
          <t>Paid</t>
        </is>
      </c>
      <c r="L9" t="inlineStr">
        <is>
          <t>UPI/Razorpay</t>
        </is>
      </c>
    </row>
  </sheetData>
  <autoFilter ref="A1:L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1" customWidth="1" min="4" max="4"/>
    <col width="16" customWidth="1" min="5" max="5"/>
    <col width="13" customWidth="1" min="6" max="6"/>
    <col width="14" customWidth="1" min="7" max="7"/>
    <col width="10" customWidth="1" min="8" max="8"/>
    <col width="12" customWidth="1" min="9" max="9"/>
  </cols>
  <sheetData>
    <row r="1">
      <c r="A1" s="3" t="inlineStr">
        <is>
          <t>Payment ID</t>
        </is>
      </c>
      <c r="B1" s="3" t="inlineStr">
        <is>
          <t>Invoice No</t>
        </is>
      </c>
      <c r="C1" s="3" t="inlineStr">
        <is>
          <t>Client ID</t>
        </is>
      </c>
      <c r="D1" s="3" t="inlineStr">
        <is>
          <t>Client</t>
        </is>
      </c>
      <c r="E1" s="3" t="inlineStr">
        <is>
          <t>Invoice Amount</t>
        </is>
      </c>
      <c r="F1" s="3" t="inlineStr">
        <is>
          <t>Amount Paid</t>
        </is>
      </c>
      <c r="G1" s="3" t="inlineStr">
        <is>
          <t>Payment Date</t>
        </is>
      </c>
      <c r="H1" s="3" t="inlineStr">
        <is>
          <t>Method</t>
        </is>
      </c>
      <c r="I1" s="3" t="inlineStr">
        <is>
          <t>Receipt No</t>
        </is>
      </c>
    </row>
    <row r="2">
      <c r="A2" t="n">
        <v>1</v>
      </c>
      <c r="B2" t="inlineStr">
        <is>
          <t>INV-2026-001</t>
        </is>
      </c>
      <c r="C2" t="n">
        <v>1</v>
      </c>
      <c r="D2" t="inlineStr">
        <is>
          <t>ABC Dental Clinic</t>
        </is>
      </c>
      <c r="E2" t="n">
        <v>41300</v>
      </c>
      <c r="F2" t="n">
        <v>41300</v>
      </c>
      <c r="G2" s="4" t="n">
        <v>46244</v>
      </c>
      <c r="H2" t="inlineStr">
        <is>
          <t>Razorpay</t>
        </is>
      </c>
      <c r="I2" t="inlineStr">
        <is>
          <t>REC-001</t>
        </is>
      </c>
    </row>
    <row r="3">
      <c r="A3" t="n">
        <v>4</v>
      </c>
      <c r="B3" t="inlineStr">
        <is>
          <t>INV-2026-004</t>
        </is>
      </c>
      <c r="C3" t="n">
        <v>4</v>
      </c>
      <c r="D3" t="inlineStr">
        <is>
          <t>TechNova Solutions</t>
        </is>
      </c>
      <c r="E3" t="n">
        <v>21240</v>
      </c>
      <c r="F3" t="n">
        <v>21240</v>
      </c>
      <c r="G3" s="4" t="n">
        <v>46247</v>
      </c>
      <c r="H3" t="inlineStr">
        <is>
          <t>Razorpay</t>
        </is>
      </c>
      <c r="I3" t="inlineStr">
        <is>
          <t>REC-004</t>
        </is>
      </c>
    </row>
    <row r="4">
      <c r="A4" t="n">
        <v>6</v>
      </c>
      <c r="B4" t="inlineStr">
        <is>
          <t>INV-2026-006</t>
        </is>
      </c>
      <c r="C4" t="n">
        <v>6</v>
      </c>
      <c r="D4" t="inlineStr">
        <is>
          <t>Bright Kids Academy</t>
        </is>
      </c>
      <c r="E4" t="n">
        <v>17700</v>
      </c>
      <c r="F4" t="n">
        <v>17700</v>
      </c>
      <c r="G4" s="4" t="n">
        <v>46261</v>
      </c>
      <c r="H4" t="inlineStr">
        <is>
          <t>UPI</t>
        </is>
      </c>
      <c r="I4" t="inlineStr">
        <is>
          <t>REC-006</t>
        </is>
      </c>
    </row>
    <row r="5">
      <c r="A5" t="n">
        <v>7</v>
      </c>
      <c r="B5" t="inlineStr">
        <is>
          <t>INV-2026-007</t>
        </is>
      </c>
      <c r="C5" t="n">
        <v>7</v>
      </c>
      <c r="D5" t="inlineStr">
        <is>
          <t>Royal Auto Care</t>
        </is>
      </c>
      <c r="E5" t="n">
        <v>23600</v>
      </c>
      <c r="F5" t="n">
        <v>23600</v>
      </c>
      <c r="G5" s="4" t="n">
        <v>46246</v>
      </c>
      <c r="H5" t="inlineStr">
        <is>
          <t>Razorpay</t>
        </is>
      </c>
      <c r="I5" t="inlineStr">
        <is>
          <t>REC-007</t>
        </is>
      </c>
    </row>
    <row r="6">
      <c r="A6" t="n">
        <v>8</v>
      </c>
      <c r="B6" t="inlineStr">
        <is>
          <t>INV-2026-008</t>
        </is>
      </c>
      <c r="C6" t="n">
        <v>8</v>
      </c>
      <c r="D6" t="inlineStr">
        <is>
          <t>GreenLeaf Interiors</t>
        </is>
      </c>
      <c r="E6" t="n">
        <v>35400</v>
      </c>
      <c r="F6" t="n">
        <v>35400</v>
      </c>
      <c r="G6" s="4" t="n">
        <v>46275</v>
      </c>
      <c r="H6" t="inlineStr">
        <is>
          <t>UPI</t>
        </is>
      </c>
      <c r="I6" t="inlineStr">
        <is>
          <t>REC-008</t>
        </is>
      </c>
    </row>
  </sheetData>
  <autoFilter ref="A1:I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  <col width="6" customWidth="1" min="5" max="5"/>
    <col width="11" customWidth="1" min="6" max="6"/>
    <col width="9" customWidth="1" min="7" max="7"/>
    <col width="13" customWidth="1" min="8" max="8"/>
    <col width="11" customWidth="1" min="9" max="9"/>
  </cols>
  <sheetData>
    <row r="1">
      <c r="A1" s="3" t="inlineStr">
        <is>
          <t>Message ID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Template</t>
        </is>
      </c>
      <c r="E1" s="3" t="inlineStr">
        <is>
          <t>Sent</t>
        </is>
      </c>
      <c r="F1" s="3" t="inlineStr">
        <is>
          <t>Delivered</t>
        </is>
      </c>
      <c r="G1" s="3" t="inlineStr">
        <is>
          <t>Replies</t>
        </is>
      </c>
      <c r="H1" s="3" t="inlineStr">
        <is>
          <t>Conversions</t>
        </is>
      </c>
      <c r="I1" s="3" t="inlineStr">
        <is>
          <t>Status</t>
        </is>
      </c>
    </row>
    <row r="2">
      <c r="A2" t="n">
        <v>1</v>
      </c>
      <c r="B2" t="n">
        <v>1</v>
      </c>
      <c r="C2" t="inlineStr">
        <is>
          <t>ABC Dental Clinic</t>
        </is>
      </c>
      <c r="D2" t="inlineStr">
        <is>
          <t>Appointment Reminder</t>
        </is>
      </c>
      <c r="E2" t="n">
        <v>497</v>
      </c>
      <c r="F2" t="n">
        <v>490</v>
      </c>
      <c r="G2" t="n">
        <v>22</v>
      </c>
      <c r="H2" t="n">
        <v>0</v>
      </c>
      <c r="I2" t="inlineStr">
        <is>
          <t>Pending</t>
        </is>
      </c>
    </row>
    <row r="3">
      <c r="A3" t="n">
        <v>2</v>
      </c>
      <c r="B3" t="n">
        <v>7</v>
      </c>
      <c r="C3" t="inlineStr">
        <is>
          <t>Royal Auto Care</t>
        </is>
      </c>
      <c r="D3" t="inlineStr">
        <is>
          <t>Appointment Reminder</t>
        </is>
      </c>
      <c r="E3" t="n">
        <v>74</v>
      </c>
      <c r="F3" t="n">
        <v>65</v>
      </c>
      <c r="G3" t="n">
        <v>4</v>
      </c>
      <c r="H3" t="n">
        <v>0</v>
      </c>
      <c r="I3" t="inlineStr">
        <is>
          <t>Scheduled</t>
        </is>
      </c>
    </row>
    <row r="4">
      <c r="A4" t="n">
        <v>3</v>
      </c>
      <c r="B4" t="n">
        <v>4</v>
      </c>
      <c r="C4" t="inlineStr">
        <is>
          <t>TechNova Solutions</t>
        </is>
      </c>
      <c r="D4" t="inlineStr">
        <is>
          <t>Lead Follow-up</t>
        </is>
      </c>
      <c r="E4" t="n">
        <v>454</v>
      </c>
      <c r="F4" t="n">
        <v>447</v>
      </c>
      <c r="G4" t="n">
        <v>13</v>
      </c>
      <c r="H4" t="n">
        <v>4</v>
      </c>
      <c r="I4" t="inlineStr">
        <is>
          <t>Completed</t>
        </is>
      </c>
    </row>
    <row r="5">
      <c r="A5" t="n">
        <v>4</v>
      </c>
      <c r="B5" t="n">
        <v>7</v>
      </c>
      <c r="C5" t="inlineStr">
        <is>
          <t>Royal Auto Care</t>
        </is>
      </c>
      <c r="D5" t="inlineStr">
        <is>
          <t>Welcome</t>
        </is>
      </c>
      <c r="E5" t="n">
        <v>295</v>
      </c>
      <c r="F5" t="n">
        <v>293</v>
      </c>
      <c r="G5" t="n">
        <v>26</v>
      </c>
      <c r="H5" t="n">
        <v>5</v>
      </c>
      <c r="I5" t="inlineStr">
        <is>
          <t>Completed</t>
        </is>
      </c>
    </row>
    <row r="6">
      <c r="A6" t="n">
        <v>5</v>
      </c>
      <c r="B6" t="n">
        <v>4</v>
      </c>
      <c r="C6" t="inlineStr">
        <is>
          <t>TechNova Solutions</t>
        </is>
      </c>
      <c r="D6" t="inlineStr">
        <is>
          <t>Payment Reminder</t>
        </is>
      </c>
      <c r="E6" t="n">
        <v>401</v>
      </c>
      <c r="F6" t="n">
        <v>398</v>
      </c>
      <c r="G6" t="n">
        <v>4</v>
      </c>
      <c r="H6" t="n">
        <v>0</v>
      </c>
      <c r="I6" t="inlineStr">
        <is>
          <t>Completed</t>
        </is>
      </c>
    </row>
    <row r="7">
      <c r="A7" t="n">
        <v>6</v>
      </c>
      <c r="B7" t="n">
        <v>7</v>
      </c>
      <c r="C7" t="inlineStr">
        <is>
          <t>Royal Auto Care</t>
        </is>
      </c>
      <c r="D7" t="inlineStr">
        <is>
          <t>Payment Reminder</t>
        </is>
      </c>
      <c r="E7" t="n">
        <v>336</v>
      </c>
      <c r="F7" t="n">
        <v>329</v>
      </c>
      <c r="G7" t="n">
        <v>37</v>
      </c>
      <c r="H7" t="n">
        <v>10</v>
      </c>
      <c r="I7" t="inlineStr">
        <is>
          <t>Pending</t>
        </is>
      </c>
    </row>
    <row r="8">
      <c r="A8" t="n">
        <v>7</v>
      </c>
      <c r="B8" t="n">
        <v>7</v>
      </c>
      <c r="C8" t="inlineStr">
        <is>
          <t>Royal Auto Care</t>
        </is>
      </c>
      <c r="D8" t="inlineStr">
        <is>
          <t>Campaign Update</t>
        </is>
      </c>
      <c r="E8" t="n">
        <v>187</v>
      </c>
      <c r="F8" t="n">
        <v>178</v>
      </c>
      <c r="G8" t="n">
        <v>9</v>
      </c>
      <c r="H8" t="n">
        <v>3</v>
      </c>
      <c r="I8" t="inlineStr">
        <is>
          <t>Pending</t>
        </is>
      </c>
    </row>
    <row r="9">
      <c r="A9" t="n">
        <v>8</v>
      </c>
      <c r="B9" t="n">
        <v>6</v>
      </c>
      <c r="C9" t="inlineStr">
        <is>
          <t>Bright Kids Academy</t>
        </is>
      </c>
      <c r="D9" t="inlineStr">
        <is>
          <t>Welcome</t>
        </is>
      </c>
      <c r="E9" t="n">
        <v>258</v>
      </c>
      <c r="F9" t="n">
        <v>250</v>
      </c>
      <c r="G9" t="n">
        <v>16</v>
      </c>
      <c r="H9" t="n">
        <v>1</v>
      </c>
      <c r="I9" t="inlineStr">
        <is>
          <t>Completed</t>
        </is>
      </c>
    </row>
    <row r="10">
      <c r="A10" t="n">
        <v>9</v>
      </c>
      <c r="B10" t="n">
        <v>8</v>
      </c>
      <c r="C10" t="inlineStr">
        <is>
          <t>GreenLeaf Interiors</t>
        </is>
      </c>
      <c r="D10" t="inlineStr">
        <is>
          <t>Campaign Update</t>
        </is>
      </c>
      <c r="E10" t="n">
        <v>268</v>
      </c>
      <c r="F10" t="n">
        <v>265</v>
      </c>
      <c r="G10" t="n">
        <v>30</v>
      </c>
      <c r="H10" t="n">
        <v>9</v>
      </c>
      <c r="I10" t="inlineStr">
        <is>
          <t>Completed</t>
        </is>
      </c>
    </row>
    <row r="11">
      <c r="A11" t="n">
        <v>10</v>
      </c>
      <c r="B11" t="n">
        <v>8</v>
      </c>
      <c r="C11" t="inlineStr">
        <is>
          <t>GreenLeaf Interiors</t>
        </is>
      </c>
      <c r="D11" t="inlineStr">
        <is>
          <t>Payment Reminder</t>
        </is>
      </c>
      <c r="E11" t="n">
        <v>234</v>
      </c>
      <c r="F11" t="n">
        <v>233</v>
      </c>
      <c r="G11" t="n">
        <v>4</v>
      </c>
      <c r="H11" t="n">
        <v>0</v>
      </c>
      <c r="I11" t="inlineStr">
        <is>
          <t>Scheduled</t>
        </is>
      </c>
    </row>
    <row r="12">
      <c r="A12" t="n">
        <v>11</v>
      </c>
      <c r="B12" t="n">
        <v>6</v>
      </c>
      <c r="C12" t="inlineStr">
        <is>
          <t>Bright Kids Academy</t>
        </is>
      </c>
      <c r="D12" t="inlineStr">
        <is>
          <t>Lead Follow-up</t>
        </is>
      </c>
      <c r="E12" t="n">
        <v>76</v>
      </c>
      <c r="F12" t="n">
        <v>69</v>
      </c>
      <c r="G12" t="n">
        <v>2</v>
      </c>
      <c r="H12" t="n">
        <v>0</v>
      </c>
      <c r="I12" t="inlineStr">
        <is>
          <t>Completed</t>
        </is>
      </c>
    </row>
    <row r="13">
      <c r="A13" t="n">
        <v>12</v>
      </c>
      <c r="B13" t="n">
        <v>6</v>
      </c>
      <c r="C13" t="inlineStr">
        <is>
          <t>Bright Kids Academy</t>
        </is>
      </c>
      <c r="D13" t="inlineStr">
        <is>
          <t>Appointment Reminder</t>
        </is>
      </c>
      <c r="E13" t="n">
        <v>428</v>
      </c>
      <c r="F13" t="n">
        <v>420</v>
      </c>
      <c r="G13" t="n">
        <v>7</v>
      </c>
      <c r="H13" t="n">
        <v>0</v>
      </c>
      <c r="I13" t="inlineStr">
        <is>
          <t>Scheduled</t>
        </is>
      </c>
    </row>
    <row r="14">
      <c r="A14" t="n">
        <v>13</v>
      </c>
      <c r="B14" t="n">
        <v>3</v>
      </c>
      <c r="C14" t="inlineStr">
        <is>
          <t>Shree Home Decor</t>
        </is>
      </c>
      <c r="D14" t="inlineStr">
        <is>
          <t>Lead Follow-up</t>
        </is>
      </c>
      <c r="E14" t="n">
        <v>43</v>
      </c>
      <c r="F14" t="n">
        <v>42</v>
      </c>
      <c r="G14" t="n">
        <v>2</v>
      </c>
      <c r="H14" t="n">
        <v>0</v>
      </c>
      <c r="I14" t="inlineStr">
        <is>
          <t>Scheduled</t>
        </is>
      </c>
    </row>
    <row r="15">
      <c r="A15" t="n">
        <v>14</v>
      </c>
      <c r="B15" t="n">
        <v>5</v>
      </c>
      <c r="C15" t="inlineStr">
        <is>
          <t>FreshBite Restaurant</t>
        </is>
      </c>
      <c r="D15" t="inlineStr">
        <is>
          <t>Welcome</t>
        </is>
      </c>
      <c r="E15" t="n">
        <v>445</v>
      </c>
      <c r="F15" t="n">
        <v>443</v>
      </c>
      <c r="G15" t="n">
        <v>45</v>
      </c>
      <c r="H15" t="n">
        <v>7</v>
      </c>
      <c r="I15" t="inlineStr">
        <is>
          <t>Scheduled</t>
        </is>
      </c>
    </row>
    <row r="16">
      <c r="A16" t="n">
        <v>15</v>
      </c>
      <c r="B16" t="n">
        <v>5</v>
      </c>
      <c r="C16" t="inlineStr">
        <is>
          <t>FreshBite Restaurant</t>
        </is>
      </c>
      <c r="D16" t="inlineStr">
        <is>
          <t>Campaign Update</t>
        </is>
      </c>
      <c r="E16" t="n">
        <v>111</v>
      </c>
      <c r="F16" t="n">
        <v>106</v>
      </c>
      <c r="G16" t="n">
        <v>11</v>
      </c>
      <c r="H16" t="n">
        <v>2</v>
      </c>
      <c r="I16" t="inlineStr">
        <is>
          <t>Completed</t>
        </is>
      </c>
    </row>
    <row r="17">
      <c r="A17" t="n">
        <v>16</v>
      </c>
      <c r="B17" t="n">
        <v>5</v>
      </c>
      <c r="C17" t="inlineStr">
        <is>
          <t>FreshBite Restaurant</t>
        </is>
      </c>
      <c r="D17" t="inlineStr">
        <is>
          <t>Payment Reminder</t>
        </is>
      </c>
      <c r="E17" t="n">
        <v>287</v>
      </c>
      <c r="F17" t="n">
        <v>280</v>
      </c>
      <c r="G17" t="n">
        <v>15</v>
      </c>
      <c r="H17" t="n">
        <v>4</v>
      </c>
      <c r="I17" t="inlineStr">
        <is>
          <t>Pending</t>
        </is>
      </c>
    </row>
    <row r="18">
      <c r="A18" t="n">
        <v>17</v>
      </c>
      <c r="B18" t="n">
        <v>4</v>
      </c>
      <c r="C18" t="inlineStr">
        <is>
          <t>TechNova Solutions</t>
        </is>
      </c>
      <c r="D18" t="inlineStr">
        <is>
          <t>Lead Follow-up</t>
        </is>
      </c>
      <c r="E18" t="n">
        <v>193</v>
      </c>
      <c r="F18" t="n">
        <v>188</v>
      </c>
      <c r="G18" t="n">
        <v>3</v>
      </c>
      <c r="H18" t="n">
        <v>0</v>
      </c>
      <c r="I18" t="inlineStr">
        <is>
          <t>Scheduled</t>
        </is>
      </c>
    </row>
    <row r="19">
      <c r="A19" t="n">
        <v>18</v>
      </c>
      <c r="B19" t="n">
        <v>3</v>
      </c>
      <c r="C19" t="inlineStr">
        <is>
          <t>Shree Home Decor</t>
        </is>
      </c>
      <c r="D19" t="inlineStr">
        <is>
          <t>Lead Follow-up</t>
        </is>
      </c>
      <c r="E19" t="n">
        <v>355</v>
      </c>
      <c r="F19" t="n">
        <v>351</v>
      </c>
      <c r="G19" t="n">
        <v>22</v>
      </c>
      <c r="H19" t="n">
        <v>6</v>
      </c>
      <c r="I19" t="inlineStr">
        <is>
          <t>Scheduled</t>
        </is>
      </c>
    </row>
    <row r="20">
      <c r="A20" t="n">
        <v>19</v>
      </c>
      <c r="B20" t="n">
        <v>2</v>
      </c>
      <c r="C20" t="inlineStr">
        <is>
          <t>Urban Fitness Studio</t>
        </is>
      </c>
      <c r="D20" t="inlineStr">
        <is>
          <t>Campaign Update</t>
        </is>
      </c>
      <c r="E20" t="n">
        <v>423</v>
      </c>
      <c r="F20" t="n">
        <v>415</v>
      </c>
      <c r="G20" t="n">
        <v>5</v>
      </c>
      <c r="H20" t="n">
        <v>1</v>
      </c>
      <c r="I20" t="inlineStr">
        <is>
          <t>Pending</t>
        </is>
      </c>
    </row>
    <row r="21">
      <c r="A21" t="n">
        <v>20</v>
      </c>
      <c r="B21" t="n">
        <v>2</v>
      </c>
      <c r="C21" t="inlineStr">
        <is>
          <t>Urban Fitness Studio</t>
        </is>
      </c>
      <c r="D21" t="inlineStr">
        <is>
          <t>Payment Reminder</t>
        </is>
      </c>
      <c r="E21" t="n">
        <v>159</v>
      </c>
      <c r="F21" t="n">
        <v>151</v>
      </c>
      <c r="G21" t="n">
        <v>14</v>
      </c>
      <c r="H21" t="n">
        <v>2</v>
      </c>
      <c r="I21" t="inlineStr">
        <is>
          <t>Scheduled</t>
        </is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18" customWidth="1" min="4" max="4"/>
    <col width="8" customWidth="1" min="5" max="5"/>
    <col width="21" customWidth="1" min="6" max="6"/>
    <col width="22" customWidth="1" min="7" max="7"/>
    <col width="20" customWidth="1" min="8" max="8"/>
    <col width="15" customWidth="1" min="9" max="9"/>
    <col width="25" customWidth="1" min="10" max="10"/>
  </cols>
  <sheetData>
    <row r="1">
      <c r="A1" s="3" t="inlineStr">
        <is>
          <t>Suggestion ID</t>
        </is>
      </c>
      <c r="B1" s="3" t="inlineStr">
        <is>
          <t>Client ID</t>
        </is>
      </c>
      <c r="C1" s="3" t="inlineStr">
        <is>
          <t>Client</t>
        </is>
      </c>
      <c r="D1" s="3" t="inlineStr">
        <is>
          <t>Campaign Goal</t>
        </is>
      </c>
      <c r="E1" s="3" t="inlineStr">
        <is>
          <t>Budget</t>
        </is>
      </c>
      <c r="F1" s="3" t="inlineStr">
        <is>
          <t>Audience</t>
        </is>
      </c>
      <c r="G1" s="3" t="inlineStr">
        <is>
          <t>Creative Suggestions</t>
        </is>
      </c>
      <c r="H1" s="3" t="inlineStr">
        <is>
          <t>Copy Suggestions</t>
        </is>
      </c>
      <c r="I1" s="3" t="inlineStr">
        <is>
          <t>Estimated CPL</t>
        </is>
      </c>
      <c r="J1" s="3" t="inlineStr">
        <is>
          <t>Strategy</t>
        </is>
      </c>
    </row>
    <row r="2">
      <c r="A2" t="n">
        <v>1</v>
      </c>
      <c r="B2" t="n">
        <v>1</v>
      </c>
      <c r="C2" t="inlineStr">
        <is>
          <t>ABC Dental Clinic</t>
        </is>
      </c>
      <c r="D2" t="inlineStr">
        <is>
          <t>Lead Generation</t>
        </is>
      </c>
      <c r="E2" t="n">
        <v>30000</v>
      </c>
      <c r="F2" t="inlineStr">
        <is>
          <t>Delhi, Age 25-55</t>
        </is>
      </c>
      <c r="G2" t="inlineStr">
        <is>
          <t>3 creative variants</t>
        </is>
      </c>
      <c r="H2" t="inlineStr">
        <is>
          <t>5 ad copy variants</t>
        </is>
      </c>
      <c r="I2" t="inlineStr">
        <is>
          <t>₹450</t>
        </is>
      </c>
      <c r="J2" t="inlineStr">
        <is>
          <t>Lead form + retargeting</t>
        </is>
      </c>
    </row>
    <row r="3">
      <c r="A3" t="n">
        <v>2</v>
      </c>
      <c r="B3" t="n">
        <v>2</v>
      </c>
      <c r="C3" t="inlineStr">
        <is>
          <t>Urban Fitness Studio</t>
        </is>
      </c>
      <c r="D3" t="inlineStr">
        <is>
          <t>Membership Leads</t>
        </is>
      </c>
      <c r="E3" t="n">
        <v>25000</v>
      </c>
      <c r="F3" t="inlineStr">
        <is>
          <t>Gurugram, Age 18-40</t>
        </is>
      </c>
      <c r="G3" t="inlineStr">
        <is>
          <t>3 Reel concepts</t>
        </is>
      </c>
      <c r="H3" t="inlineStr">
        <is>
          <t>5 ad copy variants</t>
        </is>
      </c>
      <c r="I3" t="inlineStr">
        <is>
          <t>₹280</t>
        </is>
      </c>
      <c r="J3" t="inlineStr">
        <is>
          <t>Click-to-WhatsApp</t>
        </is>
      </c>
    </row>
    <row r="4">
      <c r="A4" t="n">
        <v>3</v>
      </c>
      <c r="B4" t="n">
        <v>5</v>
      </c>
      <c r="C4" t="inlineStr">
        <is>
          <t>FreshBite Restaurant</t>
        </is>
      </c>
      <c r="D4" t="inlineStr">
        <is>
          <t>WhatsApp Orders</t>
        </is>
      </c>
      <c r="E4" t="n">
        <v>20000</v>
      </c>
      <c r="F4" t="inlineStr">
        <is>
          <t>Gurugram, Age 20-45</t>
        </is>
      </c>
      <c r="G4" t="inlineStr">
        <is>
          <t>3 food creatives</t>
        </is>
      </c>
      <c r="H4" t="inlineStr">
        <is>
          <t>5 offer copies</t>
        </is>
      </c>
      <c r="I4" t="inlineStr">
        <is>
          <t>₹120</t>
        </is>
      </c>
      <c r="J4" t="inlineStr">
        <is>
          <t>Click-to-WhatsApp</t>
        </is>
      </c>
    </row>
  </sheetData>
  <autoFilter ref="A1:J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8" customWidth="1" min="4" max="4"/>
  </cols>
  <sheetData>
    <row r="1">
      <c r="A1" s="3" t="inlineStr">
        <is>
          <t>Month</t>
        </is>
      </c>
      <c r="B1" s="3" t="inlineStr">
        <is>
          <t>Revenue</t>
        </is>
      </c>
      <c r="C1" s="3" t="inlineStr">
        <is>
          <t>Marketing Cost</t>
        </is>
      </c>
      <c r="D1" s="3" t="inlineStr">
        <is>
          <t>Profit</t>
        </is>
      </c>
    </row>
    <row r="2">
      <c r="A2" t="inlineStr">
        <is>
          <t>Apr-2026</t>
        </is>
      </c>
      <c r="B2" t="n">
        <v>185000</v>
      </c>
      <c r="C2" t="n">
        <v>92000</v>
      </c>
      <c r="D2" t="n">
        <v>93000</v>
      </c>
    </row>
    <row r="3">
      <c r="A3" t="inlineStr">
        <is>
          <t>May-2026</t>
        </is>
      </c>
      <c r="B3" t="n">
        <v>220000</v>
      </c>
      <c r="C3" t="n">
        <v>108000</v>
      </c>
      <c r="D3" t="n">
        <v>112000</v>
      </c>
    </row>
    <row r="4">
      <c r="A4" t="inlineStr">
        <is>
          <t>Jun-2026</t>
        </is>
      </c>
      <c r="B4" t="n">
        <v>265000</v>
      </c>
      <c r="C4" t="n">
        <v>125000</v>
      </c>
      <c r="D4" t="n">
        <v>140000</v>
      </c>
    </row>
    <row r="5">
      <c r="A5" t="inlineStr">
        <is>
          <t>Jul-2026</t>
        </is>
      </c>
      <c r="B5" t="n">
        <v>292000</v>
      </c>
      <c r="C5" t="n">
        <v>138000</v>
      </c>
      <c r="D5" t="n">
        <v>154000</v>
      </c>
    </row>
    <row r="6">
      <c r="A6" t="inlineStr">
        <is>
          <t>Aug-2026</t>
        </is>
      </c>
      <c r="B6" t="n">
        <v>318000</v>
      </c>
      <c r="C6" t="n">
        <v>151000</v>
      </c>
      <c r="D6" t="n">
        <v>167000</v>
      </c>
    </row>
    <row r="7">
      <c r="A7" t="inlineStr">
        <is>
          <t>Sep-2026</t>
        </is>
      </c>
      <c r="B7" t="n">
        <v>350000</v>
      </c>
      <c r="C7" t="n">
        <v>165000</v>
      </c>
      <c r="D7" t="n">
        <v>185000</v>
      </c>
    </row>
  </sheetData>
  <autoFilter ref="A1:D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2026-09-13T20:04:20Z</dcterms:created>
  <dcterms:modified xmlns:dcterms="http://purl.org/dc/terms/" xmlns:xsi="http://www.w3.org/2001/XMLSchema-instance" xsi:type="dcterms:W3CDTF">2026-09-13T20:04:20Z</dcterms:modified>
</cp:coreProperties>
</file>