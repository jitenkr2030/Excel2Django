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Entry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Supplier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Sales" sheetId="7" state="visible" r:id="rId7"/>
    <sheet xmlns:r="http://schemas.openxmlformats.org/officeDocument/2006/relationships" name="Purchases" sheetId="8" state="visible" r:id="rId8"/>
    <sheet xmlns:r="http://schemas.openxmlformats.org/officeDocument/2006/relationships" name="Expense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Reports" sheetId="11" state="visible" r:id="rId11"/>
    <sheet xmlns:r="http://schemas.openxmlformats.org/officeDocument/2006/relationships" name="PivotData" sheetId="12" state="visible" r:id="rId12"/>
    <sheet xmlns:r="http://schemas.openxmlformats.org/officeDocument/2006/relationships" name="Settings" sheetId="13" state="visible" r:id="rId13"/>
    <sheet xmlns:r="http://schemas.openxmlformats.org/officeDocument/2006/relationships" name="CustomerForm" sheetId="14" state="visible" r:id="rId14"/>
    <sheet xmlns:r="http://schemas.openxmlformats.org/officeDocument/2006/relationships" name="ProductForm" sheetId="15" state="visible" r:id="rId15"/>
    <sheet xmlns:r="http://schemas.openxmlformats.org/officeDocument/2006/relationships" name="SaleForm" sheetId="16" state="visible" r:id="rId16"/>
    <sheet xmlns:r="http://schemas.openxmlformats.org/officeDocument/2006/relationships" name="PurchaseForm" sheetId="17" state="visible" r:id="rId17"/>
    <sheet xmlns:r="http://schemas.openxmlformats.org/officeDocument/2006/relationships" name="ExpenseForm" sheetId="18" state="visible" r:id="rId18"/>
    <sheet xmlns:r="http://schemas.openxmlformats.org/officeDocument/2006/relationships" name="PaymentForm" sheetId="19" state="visible" r:id="rId19"/>
    <sheet xmlns:r="http://schemas.openxmlformats.org/officeDocument/2006/relationships" name="Invoice" sheetId="20" state="visible" r:id="rId20"/>
    <sheet xmlns:r="http://schemas.openxmlformats.org/officeDocument/2006/relationships" name="Receipt" sheetId="21" state="visible" r:id="rId21"/>
    <sheet xmlns:r="http://schemas.openxmlformats.org/officeDocument/2006/relationships" name="V3_Guide" sheetId="22" state="visible" r:id="rId22"/>
  </sheets>
  <definedNames>
    <definedName name="_xlnm.Print_Area" localSheetId="19">'Invoice'!$A$1:$H$23</definedName>
    <definedName name="_xlnm.Print_Area" localSheetId="20">'Receipt'!$A$1:$F$14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dd-mm-yyyy"/>
  </numFmts>
  <fonts count="9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</font>
    <font>
      <b val="1"/>
      <color rgb="00FFFFFF"/>
    </font>
    <font>
      <b val="1"/>
      <sz val="15"/>
    </font>
    <font>
      <b val="1"/>
      <color rgb="00FFFFFF"/>
      <sz val="14"/>
    </font>
    <font>
      <b val="1"/>
    </font>
    <font>
      <b val="1"/>
      <sz val="16"/>
    </font>
    <font>
      <b val="1"/>
      <color rgb="00FFFFFF"/>
      <sz val="15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E2F0D9"/>
      </patternFill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pivotButton="0" quotePrefix="0" xfId="0"/>
    <xf numFmtId="0" fontId="5" fillId="6" borderId="0" pivotButton="0" quotePrefix="0" xfId="0"/>
    <xf numFmtId="0" fontId="6" fillId="5" borderId="0" pivotButton="0" quotePrefix="0" xfId="0"/>
    <xf numFmtId="0" fontId="6" fillId="7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8" fillId="2" borderId="0" pivotButton="0" quotePrefix="0" xfId="0"/>
    <xf numFmtId="0" fontId="7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8" borderId="1" pivotButton="0" quotePrefix="0" xfId="0"/>
    <xf numFmtId="0" fontId="0" fillId="0" borderId="1" pivotButton="0" quotePrefix="0" xfId="0"/>
    <xf numFmtId="0" fontId="3" fillId="4" borderId="0" applyAlignment="1" pivotButton="0" quotePrefix="0" xfId="0">
      <alignment horizontal="center"/>
    </xf>
    <xf numFmtId="0" fontId="6" fillId="8" borderId="0" pivotButton="0" quotePrefix="0" xfId="0"/>
    <xf numFmtId="0" fontId="3" fillId="4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'Reports'!B16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'Reports'!$A$17:$A$28</f>
            </numRef>
          </cat>
          <val>
            <numRef>
              <f>'Reports'!$B$17:$B$28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vs Purchases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'Reports'!$A$17:$A$28</f>
            </numRef>
          </cat>
          <val>
            <numRef>
              <f>'Reports'!$B$17:$B$28</f>
            </numRef>
          </val>
        </ser>
        <ser>
          <idx val="1"/>
          <order val="1"/>
          <tx>
            <strRef>
              <f>'Reports'!C16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'Reports'!$A$17:$A$28</f>
            </numRef>
          </cat>
          <val>
            <numRef>
              <f>'Reports'!$C$17:$C$28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A36" authorId="0" shapeId="0">
      <text>
        <t>Workflow target: CustomerForm. VBA will make this executable.</t>
      </text>
    </comment>
    <comment ref="D36" authorId="0" shapeId="0">
      <text>
        <t>Workflow target: ProductForm. VBA will make this executable.</t>
      </text>
    </comment>
    <comment ref="G36" authorId="0" shapeId="0">
      <text>
        <t>Workflow target: SaleForm. VBA will make this executable.</t>
      </text>
    </comment>
    <comment ref="J36" authorId="0" shapeId="0">
      <text>
        <t>Workflow target: PurchaseForm. VBA will make this executable.</t>
      </text>
    </comment>
    <comment ref="A39" authorId="0" shapeId="0">
      <text>
        <t>Workflow target: ExpenseForm. VBA will make this executable.</t>
      </text>
    </comment>
    <comment ref="D39" authorId="0" shapeId="0">
      <text>
        <t>Workflow target: PaymentForm. VBA will make this executable.</t>
      </text>
    </comment>
    <comment ref="G39" authorId="0" shapeId="0">
      <text>
        <t>Workflow target: Invoice. VBA will make this executable.</t>
      </text>
    </comment>
    <comment ref="J39" authorId="0" shapeId="0">
      <text>
        <t>Workflow target: Receipt. VBA will make this executable.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6" authorId="0" shapeId="0">
      <text>
        <t>Workflow target: CustomerForm. VBA will make this button executable.</t>
      </text>
    </comment>
    <comment ref="C6" authorId="0" shapeId="0">
      <text>
        <t>Workflow target: ProductForm. VBA will make this button executable.</t>
      </text>
    </comment>
    <comment ref="E6" authorId="0" shapeId="0">
      <text>
        <t>Workflow target: SaleForm. VBA will make this button executable.</t>
      </text>
    </comment>
    <comment ref="G6" authorId="0" shapeId="0">
      <text>
        <t>Workflow target: PurchaseForm. VBA will make this button executable.</t>
      </text>
    </comment>
    <comment ref="A9" authorId="0" shapeId="0">
      <text>
        <t>Workflow target: ExpenseForm. VBA will make this button executable.</t>
      </text>
    </comment>
    <comment ref="C9" authorId="0" shapeId="0">
      <text>
        <t>Workflow target: PaymentForm. VBA will make this button executable.</t>
      </text>
    </comment>
    <comment ref="E9" authorId="0" shapeId="0">
      <text>
        <t>Workflow target: Invoice. VBA will make this button executable.</t>
      </text>
    </comment>
    <comment ref="G9" authorId="0" shapeId="0">
      <text>
        <t>Workflow target: Receipt. VBA will make this button executable.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ustomers" displayName="tblCustomers" ref="A1:I2" headerRowCount="1">
  <autoFilter ref="A1:I2"/>
  <tableColumns count="9">
    <tableColumn id="1" name="CustomerID"/>
    <tableColumn id="2" name="CustomerName"/>
    <tableColumn id="3" name="Mobile"/>
    <tableColumn id="4" name="Email"/>
    <tableColumn id="5" name="Address"/>
    <tableColumn id="6" name="GSTIN"/>
    <tableColumn id="7" name="OpeningBalance"/>
    <tableColumn id="8" name="CreditLimit"/>
    <tableColumn id="9" name="Status"/>
  </tableColumns>
  <tableStyleInfo name="TableStyleMedium2" showRowStripes="1"/>
</table>
</file>

<file path=xl/tables/table2.xml><?xml version="1.0" encoding="utf-8"?>
<table xmlns="http://schemas.openxmlformats.org/spreadsheetml/2006/main" id="2" name="tblProducts" displayName="tblProducts" ref="A1:N2" headerRowCount="1">
  <autoFilter ref="A1:N2"/>
  <tableColumns count="14">
    <tableColumn id="1" name="ProductID"/>
    <tableColumn id="2" name="ProductName"/>
    <tableColumn id="3" name="Category"/>
    <tableColumn id="4" name="Unit"/>
    <tableColumn id="5" name="PurchasePrice"/>
    <tableColumn id="6" name="SalePrice"/>
    <tableColumn id="7" name="OpeningStock"/>
    <tableColumn id="8" name="ReorderLevel"/>
    <tableColumn id="9" name="PurchasedQty"/>
    <tableColumn id="10" name="SoldQty"/>
    <tableColumn id="11" name="CurrentStock"/>
    <tableColumn id="12" name="StockValue"/>
    <tableColumn id="13" name="StockStatus"/>
    <tableColumn id="14" name="Status"/>
  </tableColumns>
  <tableStyleInfo name="TableStyleMedium2" showRowStripes="1"/>
</table>
</file>

<file path=xl/tables/table3.xml><?xml version="1.0" encoding="utf-8"?>
<table xmlns="http://schemas.openxmlformats.org/spreadsheetml/2006/main" id="3" name="tblSuppliers" displayName="tblSuppliers" ref="A1:I2" headerRowCount="1">
  <autoFilter ref="A1:I2"/>
  <tableColumns count="9">
    <tableColumn id="1" name="SupplierID"/>
    <tableColumn id="2" name="SupplierName"/>
    <tableColumn id="3" name="Mobile"/>
    <tableColumn id="4" name="Email"/>
    <tableColumn id="5" name="GSTIN"/>
    <tableColumn id="6" name="Address"/>
    <tableColumn id="7" name="OpeningBalance"/>
    <tableColumn id="8" name="CreditLimit"/>
    <tableColumn id="9" name="Status"/>
  </tableColumns>
  <tableStyleInfo name="TableStyleMedium2" showRowStripes="1"/>
</table>
</file>

<file path=xl/tables/table4.xml><?xml version="1.0" encoding="utf-8"?>
<table xmlns="http://schemas.openxmlformats.org/spreadsheetml/2006/main" id="4" name="tblEmployees" displayName="tblEmployees" ref="A1:H2" headerRowCount="1">
  <autoFilter ref="A1:H2"/>
  <tableColumns count="8">
    <tableColumn id="1" name="EmployeeID"/>
    <tableColumn id="2" name="EmployeeName"/>
    <tableColumn id="3" name="Department"/>
    <tableColumn id="4" name="Mobile"/>
    <tableColumn id="5" name="Email"/>
    <tableColumn id="6" name="JoiningDate"/>
    <tableColumn id="7" name="Salary"/>
    <tableColumn id="8" name="Status"/>
  </tableColumns>
  <tableStyleInfo name="TableStyleMedium2" showRowStripes="1"/>
</table>
</file>

<file path=xl/tables/table5.xml><?xml version="1.0" encoding="utf-8"?>
<table xmlns="http://schemas.openxmlformats.org/spreadsheetml/2006/main" id="5" name="tblSales" displayName="tblSales" ref="A1:L2" headerRowCount="1">
  <autoFilter ref="A1:L2"/>
  <tableColumns count="12">
    <tableColumn id="1" name="SaleID"/>
    <tableColumn id="2" name="Date"/>
    <tableColumn id="3" name="CustomerID"/>
    <tableColumn id="4" name="ProductID"/>
    <tableColumn id="5" name="Quantity"/>
    <tableColumn id="6" name="Rate"/>
    <tableColumn id="7" name="Discount"/>
    <tableColumn id="8" name="Tax"/>
    <tableColumn id="9" name="NetAmount"/>
    <tableColumn id="10" name="PaymentReceived"/>
    <tableColumn id="11" name="Balance"/>
    <tableColumn id="12" name="PaymentStatus"/>
  </tableColumns>
  <tableStyleInfo name="TableStyleMedium2" showRowStripes="1"/>
</table>
</file>

<file path=xl/tables/table6.xml><?xml version="1.0" encoding="utf-8"?>
<table xmlns="http://schemas.openxmlformats.org/spreadsheetml/2006/main" id="6" name="tblPurchases" displayName="tblPurchases" ref="A1:K2" headerRowCount="1">
  <autoFilter ref="A1:K2"/>
  <tableColumns count="11">
    <tableColumn id="1" name="PurchaseID"/>
    <tableColumn id="2" name="Date"/>
    <tableColumn id="3" name="SupplierID"/>
    <tableColumn id="4" name="ProductID"/>
    <tableColumn id="5" name="Quantity"/>
    <tableColumn id="6" name="Rate"/>
    <tableColumn id="7" name="Tax"/>
    <tableColumn id="8" name="NetAmount"/>
    <tableColumn id="9" name="PaymentMade"/>
    <tableColumn id="10" name="Balance"/>
    <tableColumn id="11" name="PaymentStatus"/>
  </tableColumns>
  <tableStyleInfo name="TableStyleMedium2" showRowStripes="1"/>
</table>
</file>

<file path=xl/tables/table7.xml><?xml version="1.0" encoding="utf-8"?>
<table xmlns="http://schemas.openxmlformats.org/spreadsheetml/2006/main" id="7" name="tblExpenses" displayName="tblExpenses" ref="A1:F2" headerRowCount="1">
  <autoFilter ref="A1:F2"/>
  <tableColumns count="6">
    <tableColumn id="1" name="ExpenseID"/>
    <tableColumn id="2" name="Date"/>
    <tableColumn id="3" name="Category"/>
    <tableColumn id="4" name="Description"/>
    <tableColumn id="5" name="Amount"/>
    <tableColumn id="6" name="PaymentMode"/>
  </tableColumns>
  <tableStyleInfo name="TableStyleMedium2" showRowStripes="1"/>
</table>
</file>

<file path=xl/tables/table8.xml><?xml version="1.0" encoding="utf-8"?>
<table xmlns="http://schemas.openxmlformats.org/spreadsheetml/2006/main" id="8" name="tblPayments" displayName="tblPayments" ref="A1:G2" headerRowCount="1">
  <autoFilter ref="A1:G2"/>
  <tableColumns count="7">
    <tableColumn id="1" name="PaymentID"/>
    <tableColumn id="2" name="Date"/>
    <tableColumn id="3" name="PartyType"/>
    <tableColumn id="4" name="PartyID"/>
    <tableColumn id="5" name="Reference"/>
    <tableColumn id="6" name="Amount"/>
    <tableColumn id="7" name="PaymentMode"/>
  </tableColumns>
  <tableStyleInfo name="TableStyleMedium2" showRowStripes="1"/>
</table>
</file>

<file path=xl/tables/table9.xml><?xml version="1.0" encoding="utf-8"?>
<table xmlns="http://schemas.openxmlformats.org/spreadsheetml/2006/main" id="9" name="tblPivotData" displayName="tblPivotData" ref="A1:B7" headerRowCount="1">
  <autoFilter ref="A1:B7"/>
  <tableColumns count="2">
    <tableColumn id="1" name="Metric"/>
    <tableColumn id="2" name="Value"/>
  </tableColumns>
  <tableStyleInfo name="TableStyleMedium2" showRowStripes="1"/>
</table>
</file>

<file path=xl/tables/table10.xml><?xml version="1.0" encoding="utf-8"?>
<table xmlns="http://schemas.openxmlformats.org/spreadsheetml/2006/main" id="10" name="tblSettings" displayName="tblSettings" ref="A1:B5" headerRowCount="1">
  <autoFilter ref="A1:B5"/>
  <tableColumns count="2">
    <tableColumn id="1" name="Setting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EXCEL BUSINESS MANAGEMENT SYSTEM — V2</t>
        </is>
      </c>
    </row>
    <row r="2"/>
    <row r="3">
      <c r="A3" s="2" t="inlineStr">
        <is>
          <t>V3 • Professional Data Entry • Invoice • Receipt • PDF Workflow</t>
        </is>
      </c>
    </row>
    <row r="5">
      <c r="A5" s="3" t="inlineStr">
        <is>
          <t>TOTAL SALES</t>
        </is>
      </c>
      <c r="C5" s="3" t="inlineStr">
        <is>
          <t>TOTAL PURCHASES</t>
        </is>
      </c>
      <c r="E5" s="3" t="inlineStr">
        <is>
          <t>NET PROFIT</t>
        </is>
      </c>
      <c r="G5" s="3" t="inlineStr">
        <is>
          <t>RECEIVABLES</t>
        </is>
      </c>
      <c r="I5" s="3" t="inlineStr">
        <is>
          <t>PAYABLES</t>
        </is>
      </c>
      <c r="K5" s="3" t="inlineStr">
        <is>
          <t>INVENTORY VALUE</t>
        </is>
      </c>
    </row>
    <row r="6">
      <c r="A6" s="4">
        <f>Reports!B2</f>
        <v/>
      </c>
      <c r="C6" s="4">
        <f>Reports!B3</f>
        <v/>
      </c>
      <c r="E6" s="4">
        <f>Reports!B6</f>
        <v/>
      </c>
      <c r="G6" s="4">
        <f>Reports!B7</f>
        <v/>
      </c>
      <c r="I6" s="4">
        <f>Reports!B8</f>
        <v/>
      </c>
      <c r="K6" s="4">
        <f>Reports!B9</f>
        <v/>
      </c>
    </row>
    <row r="8">
      <c r="A8" s="3" t="inlineStr">
        <is>
          <t>CUSTOMERS</t>
        </is>
      </c>
      <c r="C8" s="3" t="inlineStr">
        <is>
          <t>PRODUCTS</t>
        </is>
      </c>
      <c r="E8" s="3" t="inlineStr">
        <is>
          <t>LOW STOCK</t>
        </is>
      </c>
      <c r="G8" s="3" t="inlineStr">
        <is>
          <t>PAID SALES</t>
        </is>
      </c>
      <c r="I8" s="3" t="inlineStr">
        <is>
          <t>PENDING SALES</t>
        </is>
      </c>
      <c r="K8" s="3" t="inlineStr">
        <is>
          <t>PARTIAL SALES</t>
        </is>
      </c>
    </row>
    <row r="9">
      <c r="A9" s="5">
        <f>Reports!B10</f>
        <v/>
      </c>
      <c r="C9" s="5">
        <f>Reports!B11</f>
        <v/>
      </c>
      <c r="E9" s="5">
        <f>Reports!B12</f>
        <v/>
      </c>
      <c r="G9" s="5">
        <f>COUNTIF(Sales[PaymentStatus],"Paid")</f>
        <v/>
      </c>
      <c r="I9" s="5">
        <f>COUNTIF(Sales[PaymentStatus],"Pending")</f>
        <v/>
      </c>
      <c r="K9" s="5">
        <f>COUNTIF(Sales[PaymentStatus],"Partial")</f>
        <v/>
      </c>
    </row>
    <row r="28">
      <c r="A28" s="6" t="inlineStr">
        <is>
          <t>RECEIVABLES &amp; PAYABLES SUMMARY</t>
        </is>
      </c>
      <c r="G28" s="7" t="inlineStr">
        <is>
          <t>LOW STOCK ALERT</t>
        </is>
      </c>
    </row>
    <row r="29">
      <c r="A29" s="8" t="inlineStr">
        <is>
          <t>Customer Receivable</t>
        </is>
      </c>
      <c r="B29" s="8" t="inlineStr">
        <is>
          <t>Supplier Payable</t>
        </is>
      </c>
      <c r="C29" s="8" t="inlineStr">
        <is>
          <t>Net Position</t>
        </is>
      </c>
      <c r="D29" s="8" t="inlineStr">
        <is>
          <t>Pending Sales</t>
        </is>
      </c>
      <c r="E29" s="8" t="inlineStr">
        <is>
          <t>Pending Purchases</t>
        </is>
      </c>
      <c r="F29" s="8" t="inlineStr">
        <is>
          <t>Inventory Value</t>
        </is>
      </c>
      <c r="G29" s="9" t="inlineStr">
        <is>
          <t>Product</t>
        </is>
      </c>
      <c r="H29" s="9" t="inlineStr">
        <is>
          <t>Current Stock</t>
        </is>
      </c>
      <c r="I29" s="9" t="inlineStr">
        <is>
          <t>Reorder Level</t>
        </is>
      </c>
      <c r="J29" s="9" t="inlineStr">
        <is>
          <t>Status</t>
        </is>
      </c>
    </row>
    <row r="30">
      <c r="A30" s="10">
        <f>Reports!B7</f>
        <v/>
      </c>
      <c r="B30" s="10">
        <f>Reports!B8</f>
        <v/>
      </c>
      <c r="C30" s="10">
        <f>A30-B30</f>
        <v/>
      </c>
      <c r="D30">
        <f>COUNTIF(Sales[PaymentStatus],"Pending")</f>
        <v/>
      </c>
      <c r="E30">
        <f>COUNTIF(Purchases[PaymentStatus],"Pending")</f>
        <v/>
      </c>
      <c r="F30" s="10">
        <f>Reports!B9</f>
        <v/>
      </c>
      <c r="G30">
        <f>IFERROR(FILTER(Products[ProductName],Products[StockStatus]="LOW"),"No low-stock items")</f>
        <v/>
      </c>
    </row>
    <row r="34">
      <c r="A34" s="15" t="inlineStr">
        <is>
          <t>DATA ENTRY &amp; DOCUMENT CENTER</t>
        </is>
      </c>
    </row>
    <row r="36">
      <c r="A36" s="3" t="inlineStr">
        <is>
          <t>NEW CUSTOMER</t>
        </is>
      </c>
      <c r="D36" s="3" t="inlineStr">
        <is>
          <t>NEW PRODUCT</t>
        </is>
      </c>
      <c r="G36" s="3" t="inlineStr">
        <is>
          <t>NEW SALE</t>
        </is>
      </c>
      <c r="J36" s="3" t="inlineStr">
        <is>
          <t>NEW PURCHASE</t>
        </is>
      </c>
    </row>
    <row r="39">
      <c r="A39" s="3" t="inlineStr">
        <is>
          <t>NEW EXPENSE</t>
        </is>
      </c>
      <c r="D39" s="3" t="inlineStr">
        <is>
          <t>RECEIVE PAYMENT</t>
        </is>
      </c>
      <c r="G39" s="3" t="inlineStr">
        <is>
          <t>INVOICE</t>
        </is>
      </c>
      <c r="J39" s="3" t="inlineStr">
        <is>
          <t>RECEIPT</t>
        </is>
      </c>
    </row>
  </sheetData>
  <mergeCells count="29">
    <mergeCell ref="C6:D6"/>
    <mergeCell ref="I6:J6"/>
    <mergeCell ref="G28:L28"/>
    <mergeCell ref="C5:D5"/>
    <mergeCell ref="K9:L9"/>
    <mergeCell ref="E5:F5"/>
    <mergeCell ref="K5:L5"/>
    <mergeCell ref="G8:H8"/>
    <mergeCell ref="A3:L3"/>
    <mergeCell ref="E8:F8"/>
    <mergeCell ref="A6:B6"/>
    <mergeCell ref="A1:L2"/>
    <mergeCell ref="G6:H6"/>
    <mergeCell ref="C9:D9"/>
    <mergeCell ref="E9:F9"/>
    <mergeCell ref="E6:F6"/>
    <mergeCell ref="A28:F28"/>
    <mergeCell ref="K8:L8"/>
    <mergeCell ref="A5:B5"/>
    <mergeCell ref="G5:H5"/>
    <mergeCell ref="K6:L6"/>
    <mergeCell ref="I5:J5"/>
    <mergeCell ref="I8:J8"/>
    <mergeCell ref="A8:B8"/>
    <mergeCell ref="A34:L34"/>
    <mergeCell ref="C8:D8"/>
    <mergeCell ref="A9:B9"/>
    <mergeCell ref="G9:H9"/>
    <mergeCell ref="I9:J9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PROFESSIONAL DATA ENTRY CENTER — V3</t>
        </is>
      </c>
    </row>
    <row r="2"/>
    <row r="4">
      <c r="A4" s="16" t="inlineStr">
        <is>
          <t>Quick Actions</t>
        </is>
      </c>
    </row>
    <row r="6">
      <c r="A6" s="17" t="inlineStr">
        <is>
          <t>NEW CUSTOMER</t>
        </is>
      </c>
      <c r="C6" s="17" t="inlineStr">
        <is>
          <t>NEW PRODUCT</t>
        </is>
      </c>
      <c r="E6" s="17" t="inlineStr">
        <is>
          <t>NEW SALE</t>
        </is>
      </c>
      <c r="G6" s="17" t="inlineStr">
        <is>
          <t>NEW PURCHASE</t>
        </is>
      </c>
    </row>
    <row r="9">
      <c r="A9" s="17" t="inlineStr">
        <is>
          <t>NEW EXPENSE</t>
        </is>
      </c>
      <c r="C9" s="17" t="inlineStr">
        <is>
          <t>RECEIVE PAYMENT</t>
        </is>
      </c>
      <c r="E9" s="17" t="inlineStr">
        <is>
          <t>INVOICE</t>
        </is>
      </c>
      <c r="G9" s="17" t="inlineStr">
        <is>
          <t>RECEIPT</t>
        </is>
      </c>
    </row>
    <row r="13">
      <c r="A13" s="18" t="inlineStr">
        <is>
          <t>V3 Workflow</t>
        </is>
      </c>
    </row>
    <row r="14">
      <c r="A14" t="inlineStr">
        <is>
          <t>1. Enter/select master data</t>
        </is>
      </c>
    </row>
    <row r="15">
      <c r="A15" t="inlineStr">
        <is>
          <t>2. Record transaction</t>
        </is>
      </c>
    </row>
    <row r="16">
      <c r="A16" t="inlineStr">
        <is>
          <t>3. Save into database table</t>
        </is>
      </c>
    </row>
    <row r="17">
      <c r="A17" t="inlineStr">
        <is>
          <t>4. Generate invoice / receipt</t>
        </is>
      </c>
    </row>
    <row r="18">
      <c r="A18" t="inlineStr">
        <is>
          <t>5. Export document to PDF</t>
        </is>
      </c>
    </row>
    <row r="19">
      <c r="A19" t="inlineStr">
        <is>
          <t>6. Refresh dashboard and reports</t>
        </is>
      </c>
    </row>
    <row r="22">
      <c r="A22" s="18" t="inlineStr">
        <is>
          <t>VBA Automation Layer</t>
        </is>
      </c>
    </row>
    <row r="23">
      <c r="A23" s="19" t="inlineStr">
        <is>
          <t>The UI is prepared. VBA will add real buttons, validation, save/clear logic, document generation and PDF export.</t>
        </is>
      </c>
    </row>
    <row r="24"/>
    <row r="25"/>
  </sheetData>
  <mergeCells count="2">
    <mergeCell ref="A1:H2"/>
    <mergeCell ref="A23:H2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6" customWidth="1" min="8" max="8"/>
    <col width="14" customWidth="1" min="9" max="9"/>
  </cols>
  <sheetData>
    <row r="1">
      <c r="A1" s="11" t="inlineStr">
        <is>
          <t>CustomerID</t>
        </is>
      </c>
      <c r="B1" s="11" t="inlineStr">
        <is>
          <t>CustomerName</t>
        </is>
      </c>
      <c r="C1" s="11" t="inlineStr">
        <is>
          <t>Mobile</t>
        </is>
      </c>
      <c r="D1" s="11" t="inlineStr">
        <is>
          <t>Email</t>
        </is>
      </c>
      <c r="E1" s="11" t="inlineStr">
        <is>
          <t>Address</t>
        </is>
      </c>
      <c r="F1" s="11" t="inlineStr">
        <is>
          <t>GSTIN</t>
        </is>
      </c>
      <c r="G1" s="11" t="inlineStr">
        <is>
          <t>OpeningBalance</t>
        </is>
      </c>
      <c r="H1" s="11" t="inlineStr">
        <is>
          <t>CreditLimit</t>
        </is>
      </c>
      <c r="I1" s="11" t="inlineStr">
        <is>
          <t>Status</t>
        </is>
      </c>
    </row>
    <row r="2">
      <c r="A2" t="inlineStr">
        <is>
          <t>C001</t>
        </is>
      </c>
      <c r="B2" t="inlineStr">
        <is>
          <t>Sample Customer</t>
        </is>
      </c>
      <c r="G2" s="10" t="n">
        <v>0</v>
      </c>
      <c r="H2" s="10" t="n">
        <v>50000</v>
      </c>
      <c r="I2" t="inlineStr">
        <is>
          <t>Active</t>
        </is>
      </c>
    </row>
    <row r="3">
      <c r="G3" s="10" t="n"/>
      <c r="H3" s="10" t="n"/>
    </row>
    <row r="4">
      <c r="G4" s="10" t="n"/>
      <c r="H4" s="10" t="n"/>
    </row>
    <row r="5">
      <c r="G5" s="10" t="n"/>
      <c r="H5" s="10" t="n"/>
    </row>
    <row r="6">
      <c r="G6" s="10" t="n"/>
      <c r="H6" s="10" t="n"/>
    </row>
    <row r="7">
      <c r="G7" s="10" t="n"/>
      <c r="H7" s="10" t="n"/>
    </row>
    <row r="8">
      <c r="G8" s="10" t="n"/>
      <c r="H8" s="10" t="n"/>
    </row>
    <row r="9">
      <c r="G9" s="10" t="n"/>
      <c r="H9" s="10" t="n"/>
    </row>
    <row r="10">
      <c r="G10" s="10" t="n"/>
      <c r="H10" s="10" t="n"/>
    </row>
    <row r="11">
      <c r="G11" s="10" t="n"/>
      <c r="H11" s="10" t="n"/>
    </row>
    <row r="12">
      <c r="G12" s="10" t="n"/>
      <c r="H12" s="10" t="n"/>
    </row>
    <row r="13">
      <c r="G13" s="10" t="n"/>
      <c r="H13" s="10" t="n"/>
    </row>
    <row r="14">
      <c r="G14" s="10" t="n"/>
      <c r="H14" s="10" t="n"/>
    </row>
    <row r="15">
      <c r="G15" s="10" t="n"/>
      <c r="H15" s="10" t="n"/>
    </row>
    <row r="16">
      <c r="G16" s="10" t="n"/>
      <c r="H16" s="10" t="n"/>
    </row>
    <row r="17">
      <c r="G17" s="10" t="n"/>
      <c r="H17" s="10" t="n"/>
    </row>
    <row r="18">
      <c r="G18" s="10" t="n"/>
      <c r="H18" s="10" t="n"/>
    </row>
    <row r="19">
      <c r="G19" s="10" t="n"/>
      <c r="H19" s="10" t="n"/>
    </row>
    <row r="20">
      <c r="G20" s="10" t="n"/>
      <c r="H20" s="10" t="n"/>
    </row>
    <row r="21">
      <c r="G21" s="10" t="n"/>
      <c r="H21" s="10" t="n"/>
    </row>
    <row r="22">
      <c r="G22" s="10" t="n"/>
      <c r="H22" s="10" t="n"/>
    </row>
    <row r="23">
      <c r="G23" s="10" t="n"/>
      <c r="H23" s="10" t="n"/>
    </row>
    <row r="24">
      <c r="G24" s="10" t="n"/>
      <c r="H24" s="10" t="n"/>
    </row>
    <row r="25">
      <c r="G25" s="10" t="n"/>
      <c r="H25" s="10" t="n"/>
    </row>
    <row r="26">
      <c r="G26" s="10" t="n"/>
      <c r="H26" s="10" t="n"/>
    </row>
    <row r="27">
      <c r="G27" s="10" t="n"/>
      <c r="H27" s="10" t="n"/>
    </row>
    <row r="28">
      <c r="G28" s="10" t="n"/>
      <c r="H28" s="10" t="n"/>
    </row>
    <row r="29">
      <c r="G29" s="10" t="n"/>
      <c r="H29" s="10" t="n"/>
    </row>
    <row r="30">
      <c r="G30" s="10" t="n"/>
      <c r="H30" s="10" t="n"/>
    </row>
    <row r="31">
      <c r="G31" s="10" t="n"/>
      <c r="H31" s="10" t="n"/>
    </row>
    <row r="32">
      <c r="G32" s="10" t="n"/>
      <c r="H32" s="10" t="n"/>
    </row>
    <row r="33">
      <c r="G33" s="10" t="n"/>
      <c r="H33" s="10" t="n"/>
    </row>
    <row r="34">
      <c r="G34" s="10" t="n"/>
      <c r="H34" s="10" t="n"/>
    </row>
    <row r="35">
      <c r="G35" s="10" t="n"/>
      <c r="H35" s="10" t="n"/>
    </row>
    <row r="36">
      <c r="G36" s="10" t="n"/>
      <c r="H36" s="10" t="n"/>
    </row>
    <row r="37">
      <c r="G37" s="10" t="n"/>
      <c r="H37" s="10" t="n"/>
    </row>
    <row r="38">
      <c r="G38" s="10" t="n"/>
      <c r="H38" s="10" t="n"/>
    </row>
    <row r="39">
      <c r="G39" s="10" t="n"/>
      <c r="H39" s="10" t="n"/>
    </row>
    <row r="40">
      <c r="G40" s="10" t="n"/>
      <c r="H40" s="10" t="n"/>
    </row>
    <row r="41">
      <c r="G41" s="10" t="n"/>
      <c r="H41" s="10" t="n"/>
    </row>
    <row r="42">
      <c r="G42" s="10" t="n"/>
      <c r="H42" s="10" t="n"/>
    </row>
    <row r="43">
      <c r="G43" s="10" t="n"/>
      <c r="H43" s="10" t="n"/>
    </row>
    <row r="44">
      <c r="G44" s="10" t="n"/>
      <c r="H44" s="10" t="n"/>
    </row>
    <row r="45">
      <c r="G45" s="10" t="n"/>
      <c r="H45" s="10" t="n"/>
    </row>
    <row r="46">
      <c r="G46" s="10" t="n"/>
      <c r="H46" s="10" t="n"/>
    </row>
    <row r="47">
      <c r="G47" s="10" t="n"/>
      <c r="H47" s="10" t="n"/>
    </row>
    <row r="48">
      <c r="G48" s="10" t="n"/>
      <c r="H48" s="10" t="n"/>
    </row>
    <row r="49">
      <c r="G49" s="10" t="n"/>
      <c r="H49" s="10" t="n"/>
    </row>
    <row r="50">
      <c r="G50" s="10" t="n"/>
      <c r="H50" s="10" t="n"/>
    </row>
    <row r="51">
      <c r="G51" s="10" t="n"/>
      <c r="H51" s="10" t="n"/>
    </row>
    <row r="52">
      <c r="G52" s="10" t="n"/>
      <c r="H52" s="10" t="n"/>
    </row>
    <row r="53">
      <c r="G53" s="10" t="n"/>
      <c r="H53" s="10" t="n"/>
    </row>
    <row r="54">
      <c r="G54" s="10" t="n"/>
      <c r="H54" s="10" t="n"/>
    </row>
    <row r="55">
      <c r="G55" s="10" t="n"/>
      <c r="H55" s="10" t="n"/>
    </row>
    <row r="56">
      <c r="G56" s="10" t="n"/>
      <c r="H56" s="10" t="n"/>
    </row>
    <row r="57">
      <c r="G57" s="10" t="n"/>
      <c r="H57" s="10" t="n"/>
    </row>
    <row r="58">
      <c r="G58" s="10" t="n"/>
      <c r="H58" s="10" t="n"/>
    </row>
    <row r="59">
      <c r="G59" s="10" t="n"/>
      <c r="H59" s="10" t="n"/>
    </row>
    <row r="60">
      <c r="G60" s="10" t="n"/>
      <c r="H60" s="10" t="n"/>
    </row>
    <row r="61">
      <c r="G61" s="10" t="n"/>
      <c r="H61" s="10" t="n"/>
    </row>
    <row r="62">
      <c r="G62" s="10" t="n"/>
      <c r="H62" s="10" t="n"/>
    </row>
    <row r="63">
      <c r="G63" s="10" t="n"/>
      <c r="H63" s="10" t="n"/>
    </row>
    <row r="64">
      <c r="G64" s="10" t="n"/>
      <c r="H64" s="10" t="n"/>
    </row>
    <row r="65">
      <c r="G65" s="10" t="n"/>
      <c r="H65" s="10" t="n"/>
    </row>
    <row r="66">
      <c r="G66" s="10" t="n"/>
      <c r="H66" s="10" t="n"/>
    </row>
    <row r="67">
      <c r="G67" s="10" t="n"/>
      <c r="H67" s="10" t="n"/>
    </row>
    <row r="68">
      <c r="G68" s="10" t="n"/>
      <c r="H68" s="10" t="n"/>
    </row>
    <row r="69">
      <c r="G69" s="10" t="n"/>
      <c r="H69" s="10" t="n"/>
    </row>
    <row r="70">
      <c r="G70" s="10" t="n"/>
      <c r="H70" s="10" t="n"/>
    </row>
    <row r="71">
      <c r="G71" s="10" t="n"/>
      <c r="H71" s="10" t="n"/>
    </row>
    <row r="72">
      <c r="G72" s="10" t="n"/>
      <c r="H72" s="10" t="n"/>
    </row>
    <row r="73">
      <c r="G73" s="10" t="n"/>
      <c r="H73" s="10" t="n"/>
    </row>
    <row r="74">
      <c r="G74" s="10" t="n"/>
      <c r="H74" s="10" t="n"/>
    </row>
    <row r="75">
      <c r="G75" s="10" t="n"/>
      <c r="H75" s="10" t="n"/>
    </row>
    <row r="76">
      <c r="G76" s="10" t="n"/>
      <c r="H76" s="10" t="n"/>
    </row>
    <row r="77">
      <c r="G77" s="10" t="n"/>
      <c r="H77" s="10" t="n"/>
    </row>
    <row r="78">
      <c r="G78" s="10" t="n"/>
      <c r="H78" s="10" t="n"/>
    </row>
    <row r="79">
      <c r="G79" s="10" t="n"/>
      <c r="H79" s="10" t="n"/>
    </row>
    <row r="80">
      <c r="G80" s="10" t="n"/>
      <c r="H80" s="10" t="n"/>
    </row>
    <row r="81">
      <c r="G81" s="10" t="n"/>
      <c r="H81" s="10" t="n"/>
    </row>
    <row r="82">
      <c r="G82" s="10" t="n"/>
      <c r="H82" s="10" t="n"/>
    </row>
    <row r="83">
      <c r="G83" s="10" t="n"/>
      <c r="H83" s="10" t="n"/>
    </row>
    <row r="84">
      <c r="G84" s="10" t="n"/>
      <c r="H84" s="10" t="n"/>
    </row>
    <row r="85">
      <c r="G85" s="10" t="n"/>
      <c r="H85" s="10" t="n"/>
    </row>
    <row r="86">
      <c r="G86" s="10" t="n"/>
      <c r="H86" s="10" t="n"/>
    </row>
    <row r="87">
      <c r="G87" s="10" t="n"/>
      <c r="H87" s="10" t="n"/>
    </row>
    <row r="88">
      <c r="G88" s="10" t="n"/>
      <c r="H88" s="10" t="n"/>
    </row>
    <row r="89">
      <c r="G89" s="10" t="n"/>
      <c r="H89" s="10" t="n"/>
    </row>
    <row r="90">
      <c r="G90" s="10" t="n"/>
      <c r="H90" s="10" t="n"/>
    </row>
    <row r="91">
      <c r="G91" s="10" t="n"/>
      <c r="H91" s="10" t="n"/>
    </row>
    <row r="92">
      <c r="G92" s="10" t="n"/>
      <c r="H92" s="10" t="n"/>
    </row>
    <row r="93">
      <c r="G93" s="10" t="n"/>
      <c r="H93" s="10" t="n"/>
    </row>
    <row r="94">
      <c r="G94" s="10" t="n"/>
      <c r="H94" s="10" t="n"/>
    </row>
    <row r="95">
      <c r="G95" s="10" t="n"/>
      <c r="H95" s="10" t="n"/>
    </row>
    <row r="96">
      <c r="G96" s="10" t="n"/>
      <c r="H96" s="10" t="n"/>
    </row>
    <row r="97">
      <c r="G97" s="10" t="n"/>
      <c r="H97" s="10" t="n"/>
    </row>
    <row r="98">
      <c r="G98" s="10" t="n"/>
      <c r="H98" s="10" t="n"/>
    </row>
    <row r="99">
      <c r="G99" s="10" t="n"/>
      <c r="H99" s="10" t="n"/>
    </row>
    <row r="100">
      <c r="G100" s="10" t="n"/>
      <c r="H100" s="10" t="n"/>
    </row>
    <row r="101">
      <c r="G101" s="10" t="n"/>
      <c r="H101" s="10" t="n"/>
    </row>
    <row r="102">
      <c r="G102" s="10" t="n"/>
      <c r="H102" s="10" t="n"/>
    </row>
    <row r="103">
      <c r="G103" s="10" t="n"/>
      <c r="H103" s="10" t="n"/>
    </row>
    <row r="104">
      <c r="G104" s="10" t="n"/>
      <c r="H104" s="10" t="n"/>
    </row>
    <row r="105">
      <c r="G105" s="10" t="n"/>
      <c r="H105" s="10" t="n"/>
    </row>
    <row r="106">
      <c r="G106" s="10" t="n"/>
      <c r="H106" s="10" t="n"/>
    </row>
    <row r="107">
      <c r="G107" s="10" t="n"/>
      <c r="H107" s="10" t="n"/>
    </row>
    <row r="108">
      <c r="G108" s="10" t="n"/>
      <c r="H108" s="10" t="n"/>
    </row>
    <row r="109">
      <c r="G109" s="10" t="n"/>
      <c r="H109" s="10" t="n"/>
    </row>
    <row r="110">
      <c r="G110" s="10" t="n"/>
      <c r="H110" s="10" t="n"/>
    </row>
    <row r="111">
      <c r="G111" s="10" t="n"/>
      <c r="H111" s="10" t="n"/>
    </row>
    <row r="112">
      <c r="G112" s="10" t="n"/>
      <c r="H112" s="10" t="n"/>
    </row>
    <row r="113">
      <c r="G113" s="10" t="n"/>
      <c r="H113" s="10" t="n"/>
    </row>
    <row r="114">
      <c r="G114" s="10" t="n"/>
      <c r="H114" s="10" t="n"/>
    </row>
    <row r="115">
      <c r="G115" s="10" t="n"/>
      <c r="H115" s="10" t="n"/>
    </row>
    <row r="116">
      <c r="G116" s="10" t="n"/>
      <c r="H116" s="10" t="n"/>
    </row>
    <row r="117">
      <c r="G117" s="10" t="n"/>
      <c r="H117" s="10" t="n"/>
    </row>
    <row r="118">
      <c r="G118" s="10" t="n"/>
      <c r="H118" s="10" t="n"/>
    </row>
    <row r="119">
      <c r="G119" s="10" t="n"/>
      <c r="H119" s="10" t="n"/>
    </row>
    <row r="120">
      <c r="G120" s="10" t="n"/>
      <c r="H120" s="10" t="n"/>
    </row>
    <row r="121">
      <c r="G121" s="10" t="n"/>
      <c r="H121" s="10" t="n"/>
    </row>
    <row r="122">
      <c r="G122" s="10" t="n"/>
      <c r="H122" s="10" t="n"/>
    </row>
    <row r="123">
      <c r="G123" s="10" t="n"/>
      <c r="H123" s="10" t="n"/>
    </row>
    <row r="124">
      <c r="G124" s="10" t="n"/>
      <c r="H124" s="10" t="n"/>
    </row>
    <row r="125">
      <c r="G125" s="10" t="n"/>
      <c r="H125" s="10" t="n"/>
    </row>
    <row r="126">
      <c r="G126" s="10" t="n"/>
      <c r="H126" s="10" t="n"/>
    </row>
    <row r="127">
      <c r="G127" s="10" t="n"/>
      <c r="H127" s="10" t="n"/>
    </row>
    <row r="128">
      <c r="G128" s="10" t="n"/>
      <c r="H128" s="10" t="n"/>
    </row>
    <row r="129">
      <c r="G129" s="10" t="n"/>
      <c r="H129" s="10" t="n"/>
    </row>
    <row r="130">
      <c r="G130" s="10" t="n"/>
      <c r="H130" s="10" t="n"/>
    </row>
    <row r="131">
      <c r="G131" s="10" t="n"/>
      <c r="H131" s="10" t="n"/>
    </row>
    <row r="132">
      <c r="G132" s="10" t="n"/>
      <c r="H132" s="10" t="n"/>
    </row>
    <row r="133">
      <c r="G133" s="10" t="n"/>
      <c r="H133" s="10" t="n"/>
    </row>
    <row r="134">
      <c r="G134" s="10" t="n"/>
      <c r="H134" s="10" t="n"/>
    </row>
    <row r="135">
      <c r="G135" s="10" t="n"/>
      <c r="H135" s="10" t="n"/>
    </row>
    <row r="136">
      <c r="G136" s="10" t="n"/>
      <c r="H136" s="10" t="n"/>
    </row>
    <row r="137">
      <c r="G137" s="10" t="n"/>
      <c r="H137" s="10" t="n"/>
    </row>
    <row r="138">
      <c r="G138" s="10" t="n"/>
      <c r="H138" s="10" t="n"/>
    </row>
    <row r="139">
      <c r="G139" s="10" t="n"/>
      <c r="H139" s="10" t="n"/>
    </row>
    <row r="140">
      <c r="G140" s="10" t="n"/>
      <c r="H140" s="10" t="n"/>
    </row>
    <row r="141">
      <c r="G141" s="10" t="n"/>
      <c r="H141" s="10" t="n"/>
    </row>
    <row r="142">
      <c r="G142" s="10" t="n"/>
      <c r="H142" s="10" t="n"/>
    </row>
    <row r="143">
      <c r="G143" s="10" t="n"/>
      <c r="H143" s="10" t="n"/>
    </row>
    <row r="144">
      <c r="G144" s="10" t="n"/>
      <c r="H144" s="10" t="n"/>
    </row>
    <row r="145">
      <c r="G145" s="10" t="n"/>
      <c r="H145" s="10" t="n"/>
    </row>
    <row r="146">
      <c r="G146" s="10" t="n"/>
      <c r="H146" s="10" t="n"/>
    </row>
    <row r="147">
      <c r="G147" s="10" t="n"/>
      <c r="H147" s="10" t="n"/>
    </row>
    <row r="148">
      <c r="G148" s="10" t="n"/>
      <c r="H148" s="10" t="n"/>
    </row>
    <row r="149">
      <c r="G149" s="10" t="n"/>
      <c r="H149" s="10" t="n"/>
    </row>
    <row r="150">
      <c r="G150" s="10" t="n"/>
      <c r="H150" s="10" t="n"/>
    </row>
    <row r="151">
      <c r="G151" s="10" t="n"/>
      <c r="H151" s="10" t="n"/>
    </row>
    <row r="152">
      <c r="G152" s="10" t="n"/>
      <c r="H152" s="10" t="n"/>
    </row>
    <row r="153">
      <c r="G153" s="10" t="n"/>
      <c r="H153" s="10" t="n"/>
    </row>
    <row r="154">
      <c r="G154" s="10" t="n"/>
      <c r="H154" s="10" t="n"/>
    </row>
    <row r="155">
      <c r="G155" s="10" t="n"/>
      <c r="H155" s="10" t="n"/>
    </row>
    <row r="156">
      <c r="G156" s="10" t="n"/>
      <c r="H156" s="10" t="n"/>
    </row>
    <row r="157">
      <c r="G157" s="10" t="n"/>
      <c r="H157" s="10" t="n"/>
    </row>
    <row r="158">
      <c r="G158" s="10" t="n"/>
      <c r="H158" s="10" t="n"/>
    </row>
    <row r="159">
      <c r="G159" s="10" t="n"/>
      <c r="H159" s="10" t="n"/>
    </row>
    <row r="160">
      <c r="G160" s="10" t="n"/>
      <c r="H160" s="10" t="n"/>
    </row>
    <row r="161">
      <c r="G161" s="10" t="n"/>
      <c r="H161" s="10" t="n"/>
    </row>
    <row r="162">
      <c r="G162" s="10" t="n"/>
      <c r="H162" s="10" t="n"/>
    </row>
    <row r="163">
      <c r="G163" s="10" t="n"/>
      <c r="H163" s="10" t="n"/>
    </row>
    <row r="164">
      <c r="G164" s="10" t="n"/>
      <c r="H164" s="10" t="n"/>
    </row>
    <row r="165">
      <c r="G165" s="10" t="n"/>
      <c r="H165" s="10" t="n"/>
    </row>
    <row r="166">
      <c r="G166" s="10" t="n"/>
      <c r="H166" s="10" t="n"/>
    </row>
    <row r="167">
      <c r="G167" s="10" t="n"/>
      <c r="H167" s="10" t="n"/>
    </row>
    <row r="168">
      <c r="G168" s="10" t="n"/>
      <c r="H168" s="10" t="n"/>
    </row>
    <row r="169">
      <c r="G169" s="10" t="n"/>
      <c r="H169" s="10" t="n"/>
    </row>
    <row r="170">
      <c r="G170" s="10" t="n"/>
      <c r="H170" s="10" t="n"/>
    </row>
    <row r="171">
      <c r="G171" s="10" t="n"/>
      <c r="H171" s="10" t="n"/>
    </row>
    <row r="172">
      <c r="G172" s="10" t="n"/>
      <c r="H172" s="10" t="n"/>
    </row>
    <row r="173">
      <c r="G173" s="10" t="n"/>
      <c r="H173" s="10" t="n"/>
    </row>
    <row r="174">
      <c r="G174" s="10" t="n"/>
      <c r="H174" s="10" t="n"/>
    </row>
    <row r="175">
      <c r="G175" s="10" t="n"/>
      <c r="H175" s="10" t="n"/>
    </row>
    <row r="176">
      <c r="G176" s="10" t="n"/>
      <c r="H176" s="10" t="n"/>
    </row>
    <row r="177">
      <c r="G177" s="10" t="n"/>
      <c r="H177" s="10" t="n"/>
    </row>
    <row r="178">
      <c r="G178" s="10" t="n"/>
      <c r="H178" s="10" t="n"/>
    </row>
    <row r="179">
      <c r="G179" s="10" t="n"/>
      <c r="H179" s="10" t="n"/>
    </row>
    <row r="180">
      <c r="G180" s="10" t="n"/>
      <c r="H180" s="10" t="n"/>
    </row>
    <row r="181">
      <c r="G181" s="10" t="n"/>
      <c r="H181" s="10" t="n"/>
    </row>
    <row r="182">
      <c r="G182" s="10" t="n"/>
      <c r="H182" s="10" t="n"/>
    </row>
    <row r="183">
      <c r="G183" s="10" t="n"/>
      <c r="H183" s="10" t="n"/>
    </row>
    <row r="184">
      <c r="G184" s="10" t="n"/>
      <c r="H184" s="10" t="n"/>
    </row>
    <row r="185">
      <c r="G185" s="10" t="n"/>
      <c r="H185" s="10" t="n"/>
    </row>
    <row r="186">
      <c r="G186" s="10" t="n"/>
      <c r="H186" s="10" t="n"/>
    </row>
    <row r="187">
      <c r="G187" s="10" t="n"/>
      <c r="H187" s="10" t="n"/>
    </row>
    <row r="188">
      <c r="G188" s="10" t="n"/>
      <c r="H188" s="10" t="n"/>
    </row>
    <row r="189">
      <c r="G189" s="10" t="n"/>
      <c r="H189" s="10" t="n"/>
    </row>
    <row r="190">
      <c r="G190" s="10" t="n"/>
      <c r="H190" s="10" t="n"/>
    </row>
    <row r="191">
      <c r="G191" s="10" t="n"/>
      <c r="H191" s="10" t="n"/>
    </row>
    <row r="192">
      <c r="G192" s="10" t="n"/>
      <c r="H192" s="10" t="n"/>
    </row>
    <row r="193">
      <c r="G193" s="10" t="n"/>
      <c r="H193" s="10" t="n"/>
    </row>
    <row r="194">
      <c r="G194" s="10" t="n"/>
      <c r="H194" s="10" t="n"/>
    </row>
    <row r="195">
      <c r="G195" s="10" t="n"/>
      <c r="H195" s="10" t="n"/>
    </row>
    <row r="196">
      <c r="G196" s="10" t="n"/>
      <c r="H196" s="10" t="n"/>
    </row>
    <row r="197">
      <c r="G197" s="10" t="n"/>
      <c r="H197" s="10" t="n"/>
    </row>
    <row r="198">
      <c r="G198" s="10" t="n"/>
      <c r="H198" s="10" t="n"/>
    </row>
    <row r="199">
      <c r="G199" s="10" t="n"/>
      <c r="H199" s="10" t="n"/>
    </row>
    <row r="200">
      <c r="G200" s="10" t="n"/>
      <c r="H200" s="10" t="n"/>
    </row>
    <row r="201">
      <c r="G201" s="10" t="n"/>
      <c r="H201" s="10" t="n"/>
    </row>
    <row r="202">
      <c r="G202" s="10" t="n"/>
      <c r="H202" s="10" t="n"/>
    </row>
    <row r="203">
      <c r="G203" s="10" t="n"/>
      <c r="H203" s="10" t="n"/>
    </row>
    <row r="204">
      <c r="G204" s="10" t="n"/>
      <c r="H204" s="10" t="n"/>
    </row>
    <row r="205">
      <c r="G205" s="10" t="n"/>
      <c r="H205" s="10" t="n"/>
    </row>
    <row r="206">
      <c r="G206" s="10" t="n"/>
      <c r="H206" s="10" t="n"/>
    </row>
    <row r="207">
      <c r="G207" s="10" t="n"/>
      <c r="H207" s="10" t="n"/>
    </row>
    <row r="208">
      <c r="G208" s="10" t="n"/>
      <c r="H208" s="10" t="n"/>
    </row>
    <row r="209">
      <c r="G209" s="10" t="n"/>
      <c r="H209" s="10" t="n"/>
    </row>
    <row r="210">
      <c r="G210" s="10" t="n"/>
      <c r="H210" s="10" t="n"/>
    </row>
    <row r="211">
      <c r="G211" s="10" t="n"/>
      <c r="H211" s="10" t="n"/>
    </row>
    <row r="212">
      <c r="G212" s="10" t="n"/>
      <c r="H212" s="10" t="n"/>
    </row>
    <row r="213">
      <c r="G213" s="10" t="n"/>
      <c r="H213" s="10" t="n"/>
    </row>
    <row r="214">
      <c r="G214" s="10" t="n"/>
      <c r="H214" s="10" t="n"/>
    </row>
    <row r="215">
      <c r="G215" s="10" t="n"/>
      <c r="H215" s="10" t="n"/>
    </row>
    <row r="216">
      <c r="G216" s="10" t="n"/>
      <c r="H216" s="10" t="n"/>
    </row>
    <row r="217">
      <c r="G217" s="10" t="n"/>
      <c r="H217" s="10" t="n"/>
    </row>
    <row r="218">
      <c r="G218" s="10" t="n"/>
      <c r="H218" s="10" t="n"/>
    </row>
    <row r="219">
      <c r="G219" s="10" t="n"/>
      <c r="H219" s="10" t="n"/>
    </row>
    <row r="220">
      <c r="G220" s="10" t="n"/>
      <c r="H220" s="10" t="n"/>
    </row>
    <row r="221">
      <c r="G221" s="10" t="n"/>
      <c r="H221" s="10" t="n"/>
    </row>
    <row r="222">
      <c r="G222" s="10" t="n"/>
      <c r="H222" s="10" t="n"/>
    </row>
    <row r="223">
      <c r="G223" s="10" t="n"/>
      <c r="H223" s="10" t="n"/>
    </row>
    <row r="224">
      <c r="G224" s="10" t="n"/>
      <c r="H224" s="10" t="n"/>
    </row>
    <row r="225">
      <c r="G225" s="10" t="n"/>
      <c r="H225" s="10" t="n"/>
    </row>
    <row r="226">
      <c r="G226" s="10" t="n"/>
      <c r="H226" s="10" t="n"/>
    </row>
    <row r="227">
      <c r="G227" s="10" t="n"/>
      <c r="H227" s="10" t="n"/>
    </row>
    <row r="228">
      <c r="G228" s="10" t="n"/>
      <c r="H228" s="10" t="n"/>
    </row>
    <row r="229">
      <c r="G229" s="10" t="n"/>
      <c r="H229" s="10" t="n"/>
    </row>
    <row r="230">
      <c r="G230" s="10" t="n"/>
      <c r="H230" s="10" t="n"/>
    </row>
    <row r="231">
      <c r="G231" s="10" t="n"/>
      <c r="H231" s="10" t="n"/>
    </row>
    <row r="232">
      <c r="G232" s="10" t="n"/>
      <c r="H232" s="10" t="n"/>
    </row>
    <row r="233">
      <c r="G233" s="10" t="n"/>
      <c r="H233" s="10" t="n"/>
    </row>
    <row r="234">
      <c r="G234" s="10" t="n"/>
      <c r="H234" s="10" t="n"/>
    </row>
    <row r="235">
      <c r="G235" s="10" t="n"/>
      <c r="H235" s="10" t="n"/>
    </row>
    <row r="236">
      <c r="G236" s="10" t="n"/>
      <c r="H236" s="10" t="n"/>
    </row>
    <row r="237">
      <c r="G237" s="10" t="n"/>
      <c r="H237" s="10" t="n"/>
    </row>
    <row r="238">
      <c r="G238" s="10" t="n"/>
      <c r="H238" s="10" t="n"/>
    </row>
    <row r="239">
      <c r="G239" s="10" t="n"/>
      <c r="H239" s="10" t="n"/>
    </row>
    <row r="240">
      <c r="G240" s="10" t="n"/>
      <c r="H240" s="10" t="n"/>
    </row>
    <row r="241">
      <c r="G241" s="10" t="n"/>
      <c r="H241" s="10" t="n"/>
    </row>
    <row r="242">
      <c r="G242" s="10" t="n"/>
      <c r="H242" s="10" t="n"/>
    </row>
    <row r="243">
      <c r="G243" s="10" t="n"/>
      <c r="H243" s="10" t="n"/>
    </row>
    <row r="244">
      <c r="G244" s="10" t="n"/>
      <c r="H244" s="10" t="n"/>
    </row>
    <row r="245">
      <c r="G245" s="10" t="n"/>
      <c r="H245" s="10" t="n"/>
    </row>
    <row r="246">
      <c r="G246" s="10" t="n"/>
      <c r="H246" s="10" t="n"/>
    </row>
    <row r="247">
      <c r="G247" s="10" t="n"/>
      <c r="H247" s="10" t="n"/>
    </row>
    <row r="248">
      <c r="G248" s="10" t="n"/>
      <c r="H248" s="10" t="n"/>
    </row>
    <row r="249">
      <c r="G249" s="10" t="n"/>
      <c r="H249" s="10" t="n"/>
    </row>
    <row r="250">
      <c r="G250" s="10" t="n"/>
      <c r="H250" s="10" t="n"/>
    </row>
    <row r="251">
      <c r="G251" s="10" t="n"/>
      <c r="H251" s="10" t="n"/>
    </row>
    <row r="252">
      <c r="G252" s="10" t="n"/>
      <c r="H252" s="10" t="n"/>
    </row>
    <row r="253">
      <c r="G253" s="10" t="n"/>
      <c r="H253" s="10" t="n"/>
    </row>
    <row r="254">
      <c r="G254" s="10" t="n"/>
      <c r="H254" s="10" t="n"/>
    </row>
    <row r="255">
      <c r="G255" s="10" t="n"/>
      <c r="H255" s="10" t="n"/>
    </row>
    <row r="256">
      <c r="G256" s="10" t="n"/>
      <c r="H256" s="10" t="n"/>
    </row>
    <row r="257">
      <c r="G257" s="10" t="n"/>
      <c r="H257" s="10" t="n"/>
    </row>
    <row r="258">
      <c r="G258" s="10" t="n"/>
      <c r="H258" s="10" t="n"/>
    </row>
    <row r="259">
      <c r="G259" s="10" t="n"/>
      <c r="H259" s="10" t="n"/>
    </row>
    <row r="260">
      <c r="G260" s="10" t="n"/>
      <c r="H260" s="10" t="n"/>
    </row>
    <row r="261">
      <c r="G261" s="10" t="n"/>
      <c r="H261" s="10" t="n"/>
    </row>
    <row r="262">
      <c r="G262" s="10" t="n"/>
      <c r="H262" s="10" t="n"/>
    </row>
    <row r="263">
      <c r="G263" s="10" t="n"/>
      <c r="H263" s="10" t="n"/>
    </row>
    <row r="264">
      <c r="G264" s="10" t="n"/>
      <c r="H264" s="10" t="n"/>
    </row>
    <row r="265">
      <c r="G265" s="10" t="n"/>
      <c r="H265" s="10" t="n"/>
    </row>
    <row r="266">
      <c r="G266" s="10" t="n"/>
      <c r="H266" s="10" t="n"/>
    </row>
    <row r="267">
      <c r="G267" s="10" t="n"/>
      <c r="H267" s="10" t="n"/>
    </row>
    <row r="268">
      <c r="G268" s="10" t="n"/>
      <c r="H268" s="10" t="n"/>
    </row>
    <row r="269">
      <c r="G269" s="10" t="n"/>
      <c r="H269" s="10" t="n"/>
    </row>
    <row r="270">
      <c r="G270" s="10" t="n"/>
      <c r="H270" s="10" t="n"/>
    </row>
    <row r="271">
      <c r="G271" s="10" t="n"/>
      <c r="H271" s="10" t="n"/>
    </row>
    <row r="272">
      <c r="G272" s="10" t="n"/>
      <c r="H272" s="10" t="n"/>
    </row>
    <row r="273">
      <c r="G273" s="10" t="n"/>
      <c r="H273" s="10" t="n"/>
    </row>
    <row r="274">
      <c r="G274" s="10" t="n"/>
      <c r="H274" s="10" t="n"/>
    </row>
    <row r="275">
      <c r="G275" s="10" t="n"/>
      <c r="H275" s="10" t="n"/>
    </row>
    <row r="276">
      <c r="G276" s="10" t="n"/>
      <c r="H276" s="10" t="n"/>
    </row>
    <row r="277">
      <c r="G277" s="10" t="n"/>
      <c r="H277" s="10" t="n"/>
    </row>
    <row r="278">
      <c r="G278" s="10" t="n"/>
      <c r="H278" s="10" t="n"/>
    </row>
    <row r="279">
      <c r="G279" s="10" t="n"/>
      <c r="H279" s="10" t="n"/>
    </row>
    <row r="280">
      <c r="G280" s="10" t="n"/>
      <c r="H280" s="10" t="n"/>
    </row>
    <row r="281">
      <c r="G281" s="10" t="n"/>
      <c r="H281" s="10" t="n"/>
    </row>
    <row r="282">
      <c r="G282" s="10" t="n"/>
      <c r="H282" s="10" t="n"/>
    </row>
    <row r="283">
      <c r="G283" s="10" t="n"/>
      <c r="H283" s="10" t="n"/>
    </row>
    <row r="284">
      <c r="G284" s="10" t="n"/>
      <c r="H284" s="10" t="n"/>
    </row>
    <row r="285">
      <c r="G285" s="10" t="n"/>
      <c r="H285" s="10" t="n"/>
    </row>
    <row r="286">
      <c r="G286" s="10" t="n"/>
      <c r="H286" s="10" t="n"/>
    </row>
    <row r="287">
      <c r="G287" s="10" t="n"/>
      <c r="H287" s="10" t="n"/>
    </row>
    <row r="288">
      <c r="G288" s="10" t="n"/>
      <c r="H288" s="10" t="n"/>
    </row>
    <row r="289">
      <c r="G289" s="10" t="n"/>
      <c r="H289" s="10" t="n"/>
    </row>
    <row r="290">
      <c r="G290" s="10" t="n"/>
      <c r="H290" s="10" t="n"/>
    </row>
    <row r="291">
      <c r="G291" s="10" t="n"/>
      <c r="H291" s="10" t="n"/>
    </row>
    <row r="292">
      <c r="G292" s="10" t="n"/>
      <c r="H292" s="10" t="n"/>
    </row>
    <row r="293">
      <c r="G293" s="10" t="n"/>
      <c r="H293" s="10" t="n"/>
    </row>
    <row r="294">
      <c r="G294" s="10" t="n"/>
      <c r="H294" s="10" t="n"/>
    </row>
    <row r="295">
      <c r="G295" s="10" t="n"/>
      <c r="H295" s="10" t="n"/>
    </row>
    <row r="296">
      <c r="G296" s="10" t="n"/>
      <c r="H296" s="10" t="n"/>
    </row>
    <row r="297">
      <c r="G297" s="10" t="n"/>
      <c r="H297" s="10" t="n"/>
    </row>
    <row r="298">
      <c r="G298" s="10" t="n"/>
      <c r="H298" s="10" t="n"/>
    </row>
    <row r="299">
      <c r="G299" s="10" t="n"/>
      <c r="H299" s="10" t="n"/>
    </row>
    <row r="300">
      <c r="G300" s="10" t="n"/>
      <c r="H300" s="10" t="n"/>
    </row>
    <row r="301">
      <c r="G301" s="10" t="n"/>
      <c r="H301" s="10" t="n"/>
    </row>
    <row r="302">
      <c r="G302" s="10" t="n"/>
      <c r="H302" s="10" t="n"/>
    </row>
    <row r="303">
      <c r="G303" s="10" t="n"/>
      <c r="H303" s="10" t="n"/>
    </row>
    <row r="304">
      <c r="G304" s="10" t="n"/>
      <c r="H304" s="10" t="n"/>
    </row>
    <row r="305">
      <c r="G305" s="10" t="n"/>
      <c r="H305" s="10" t="n"/>
    </row>
    <row r="306">
      <c r="G306" s="10" t="n"/>
      <c r="H306" s="10" t="n"/>
    </row>
    <row r="307">
      <c r="G307" s="10" t="n"/>
      <c r="H307" s="10" t="n"/>
    </row>
    <row r="308">
      <c r="G308" s="10" t="n"/>
      <c r="H308" s="10" t="n"/>
    </row>
    <row r="309">
      <c r="G309" s="10" t="n"/>
      <c r="H309" s="10" t="n"/>
    </row>
    <row r="310">
      <c r="G310" s="10" t="n"/>
      <c r="H310" s="10" t="n"/>
    </row>
    <row r="311">
      <c r="G311" s="10" t="n"/>
      <c r="H311" s="10" t="n"/>
    </row>
    <row r="312">
      <c r="G312" s="10" t="n"/>
      <c r="H312" s="10" t="n"/>
    </row>
    <row r="313">
      <c r="G313" s="10" t="n"/>
      <c r="H313" s="10" t="n"/>
    </row>
    <row r="314">
      <c r="G314" s="10" t="n"/>
      <c r="H314" s="10" t="n"/>
    </row>
    <row r="315">
      <c r="G315" s="10" t="n"/>
      <c r="H315" s="10" t="n"/>
    </row>
    <row r="316">
      <c r="G316" s="10" t="n"/>
      <c r="H316" s="10" t="n"/>
    </row>
    <row r="317">
      <c r="G317" s="10" t="n"/>
      <c r="H317" s="10" t="n"/>
    </row>
    <row r="318">
      <c r="G318" s="10" t="n"/>
      <c r="H318" s="10" t="n"/>
    </row>
    <row r="319">
      <c r="G319" s="10" t="n"/>
      <c r="H319" s="10" t="n"/>
    </row>
    <row r="320">
      <c r="G320" s="10" t="n"/>
      <c r="H320" s="10" t="n"/>
    </row>
    <row r="321">
      <c r="G321" s="10" t="n"/>
      <c r="H321" s="10" t="n"/>
    </row>
    <row r="322">
      <c r="G322" s="10" t="n"/>
      <c r="H322" s="10" t="n"/>
    </row>
    <row r="323">
      <c r="G323" s="10" t="n"/>
      <c r="H323" s="10" t="n"/>
    </row>
    <row r="324">
      <c r="G324" s="10" t="n"/>
      <c r="H324" s="10" t="n"/>
    </row>
    <row r="325">
      <c r="G325" s="10" t="n"/>
      <c r="H325" s="10" t="n"/>
    </row>
    <row r="326">
      <c r="G326" s="10" t="n"/>
      <c r="H326" s="10" t="n"/>
    </row>
    <row r="327">
      <c r="G327" s="10" t="n"/>
      <c r="H327" s="10" t="n"/>
    </row>
    <row r="328">
      <c r="G328" s="10" t="n"/>
      <c r="H328" s="10" t="n"/>
    </row>
    <row r="329">
      <c r="G329" s="10" t="n"/>
      <c r="H329" s="10" t="n"/>
    </row>
    <row r="330">
      <c r="G330" s="10" t="n"/>
      <c r="H330" s="10" t="n"/>
    </row>
    <row r="331">
      <c r="G331" s="10" t="n"/>
      <c r="H331" s="10" t="n"/>
    </row>
    <row r="332">
      <c r="G332" s="10" t="n"/>
      <c r="H332" s="10" t="n"/>
    </row>
    <row r="333">
      <c r="G333" s="10" t="n"/>
      <c r="H333" s="10" t="n"/>
    </row>
    <row r="334">
      <c r="G334" s="10" t="n"/>
      <c r="H334" s="10" t="n"/>
    </row>
    <row r="335">
      <c r="G335" s="10" t="n"/>
      <c r="H335" s="10" t="n"/>
    </row>
    <row r="336">
      <c r="G336" s="10" t="n"/>
      <c r="H336" s="10" t="n"/>
    </row>
    <row r="337">
      <c r="G337" s="10" t="n"/>
      <c r="H337" s="10" t="n"/>
    </row>
    <row r="338">
      <c r="G338" s="10" t="n"/>
      <c r="H338" s="10" t="n"/>
    </row>
    <row r="339">
      <c r="G339" s="10" t="n"/>
      <c r="H339" s="10" t="n"/>
    </row>
    <row r="340">
      <c r="G340" s="10" t="n"/>
      <c r="H340" s="10" t="n"/>
    </row>
    <row r="341">
      <c r="G341" s="10" t="n"/>
      <c r="H341" s="10" t="n"/>
    </row>
    <row r="342">
      <c r="G342" s="10" t="n"/>
      <c r="H342" s="10" t="n"/>
    </row>
    <row r="343">
      <c r="G343" s="10" t="n"/>
      <c r="H343" s="10" t="n"/>
    </row>
    <row r="344">
      <c r="G344" s="10" t="n"/>
      <c r="H344" s="10" t="n"/>
    </row>
    <row r="345">
      <c r="G345" s="10" t="n"/>
      <c r="H345" s="10" t="n"/>
    </row>
    <row r="346">
      <c r="G346" s="10" t="n"/>
      <c r="H346" s="10" t="n"/>
    </row>
    <row r="347">
      <c r="G347" s="10" t="n"/>
      <c r="H347" s="10" t="n"/>
    </row>
    <row r="348">
      <c r="G348" s="10" t="n"/>
      <c r="H348" s="10" t="n"/>
    </row>
    <row r="349">
      <c r="G349" s="10" t="n"/>
      <c r="H349" s="10" t="n"/>
    </row>
    <row r="350">
      <c r="G350" s="10" t="n"/>
      <c r="H350" s="10" t="n"/>
    </row>
    <row r="351">
      <c r="G351" s="10" t="n"/>
      <c r="H351" s="10" t="n"/>
    </row>
    <row r="352">
      <c r="G352" s="10" t="n"/>
      <c r="H352" s="10" t="n"/>
    </row>
    <row r="353">
      <c r="G353" s="10" t="n"/>
      <c r="H353" s="10" t="n"/>
    </row>
    <row r="354">
      <c r="G354" s="10" t="n"/>
      <c r="H354" s="10" t="n"/>
    </row>
    <row r="355">
      <c r="G355" s="10" t="n"/>
      <c r="H355" s="10" t="n"/>
    </row>
    <row r="356">
      <c r="G356" s="10" t="n"/>
      <c r="H356" s="10" t="n"/>
    </row>
    <row r="357">
      <c r="G357" s="10" t="n"/>
      <c r="H357" s="10" t="n"/>
    </row>
    <row r="358">
      <c r="G358" s="10" t="n"/>
      <c r="H358" s="10" t="n"/>
    </row>
    <row r="359">
      <c r="G359" s="10" t="n"/>
      <c r="H359" s="10" t="n"/>
    </row>
    <row r="360">
      <c r="G360" s="10" t="n"/>
      <c r="H360" s="10" t="n"/>
    </row>
    <row r="361">
      <c r="G361" s="10" t="n"/>
      <c r="H361" s="10" t="n"/>
    </row>
    <row r="362">
      <c r="G362" s="10" t="n"/>
      <c r="H362" s="10" t="n"/>
    </row>
    <row r="363">
      <c r="G363" s="10" t="n"/>
      <c r="H363" s="10" t="n"/>
    </row>
    <row r="364">
      <c r="G364" s="10" t="n"/>
      <c r="H364" s="10" t="n"/>
    </row>
    <row r="365">
      <c r="G365" s="10" t="n"/>
      <c r="H365" s="10" t="n"/>
    </row>
    <row r="366">
      <c r="G366" s="10" t="n"/>
      <c r="H366" s="10" t="n"/>
    </row>
    <row r="367">
      <c r="G367" s="10" t="n"/>
      <c r="H367" s="10" t="n"/>
    </row>
    <row r="368">
      <c r="G368" s="10" t="n"/>
      <c r="H368" s="10" t="n"/>
    </row>
    <row r="369">
      <c r="G369" s="10" t="n"/>
      <c r="H369" s="10" t="n"/>
    </row>
    <row r="370">
      <c r="G370" s="10" t="n"/>
      <c r="H370" s="10" t="n"/>
    </row>
    <row r="371">
      <c r="G371" s="10" t="n"/>
      <c r="H371" s="10" t="n"/>
    </row>
    <row r="372">
      <c r="G372" s="10" t="n"/>
      <c r="H372" s="10" t="n"/>
    </row>
    <row r="373">
      <c r="G373" s="10" t="n"/>
      <c r="H373" s="10" t="n"/>
    </row>
    <row r="374">
      <c r="G374" s="10" t="n"/>
      <c r="H374" s="10" t="n"/>
    </row>
    <row r="375">
      <c r="G375" s="10" t="n"/>
      <c r="H375" s="10" t="n"/>
    </row>
    <row r="376">
      <c r="G376" s="10" t="n"/>
      <c r="H376" s="10" t="n"/>
    </row>
    <row r="377">
      <c r="G377" s="10" t="n"/>
      <c r="H377" s="10" t="n"/>
    </row>
    <row r="378">
      <c r="G378" s="10" t="n"/>
      <c r="H378" s="10" t="n"/>
    </row>
    <row r="379">
      <c r="G379" s="10" t="n"/>
      <c r="H379" s="10" t="n"/>
    </row>
    <row r="380">
      <c r="G380" s="10" t="n"/>
      <c r="H380" s="10" t="n"/>
    </row>
    <row r="381">
      <c r="G381" s="10" t="n"/>
      <c r="H381" s="10" t="n"/>
    </row>
    <row r="382">
      <c r="G382" s="10" t="n"/>
      <c r="H382" s="10" t="n"/>
    </row>
    <row r="383">
      <c r="G383" s="10" t="n"/>
      <c r="H383" s="10" t="n"/>
    </row>
    <row r="384">
      <c r="G384" s="10" t="n"/>
      <c r="H384" s="10" t="n"/>
    </row>
    <row r="385">
      <c r="G385" s="10" t="n"/>
      <c r="H385" s="10" t="n"/>
    </row>
    <row r="386">
      <c r="G386" s="10" t="n"/>
      <c r="H386" s="10" t="n"/>
    </row>
    <row r="387">
      <c r="G387" s="10" t="n"/>
      <c r="H387" s="10" t="n"/>
    </row>
    <row r="388">
      <c r="G388" s="10" t="n"/>
      <c r="H388" s="10" t="n"/>
    </row>
    <row r="389">
      <c r="G389" s="10" t="n"/>
      <c r="H389" s="10" t="n"/>
    </row>
    <row r="390">
      <c r="G390" s="10" t="n"/>
      <c r="H390" s="10" t="n"/>
    </row>
    <row r="391">
      <c r="G391" s="10" t="n"/>
      <c r="H391" s="10" t="n"/>
    </row>
    <row r="392">
      <c r="G392" s="10" t="n"/>
      <c r="H392" s="10" t="n"/>
    </row>
    <row r="393">
      <c r="G393" s="10" t="n"/>
      <c r="H393" s="10" t="n"/>
    </row>
    <row r="394">
      <c r="G394" s="10" t="n"/>
      <c r="H394" s="10" t="n"/>
    </row>
    <row r="395">
      <c r="G395" s="10" t="n"/>
      <c r="H395" s="10" t="n"/>
    </row>
    <row r="396">
      <c r="G396" s="10" t="n"/>
      <c r="H396" s="10" t="n"/>
    </row>
    <row r="397">
      <c r="G397" s="10" t="n"/>
      <c r="H397" s="10" t="n"/>
    </row>
    <row r="398">
      <c r="G398" s="10" t="n"/>
      <c r="H398" s="10" t="n"/>
    </row>
    <row r="399">
      <c r="G399" s="10" t="n"/>
      <c r="H399" s="10" t="n"/>
    </row>
    <row r="400">
      <c r="G400" s="10" t="n"/>
      <c r="H400" s="10" t="n"/>
    </row>
    <row r="401">
      <c r="G401" s="10" t="n"/>
      <c r="H401" s="10" t="n"/>
    </row>
    <row r="402">
      <c r="G402" s="10" t="n"/>
      <c r="H402" s="10" t="n"/>
    </row>
    <row r="403">
      <c r="G403" s="10" t="n"/>
      <c r="H403" s="10" t="n"/>
    </row>
    <row r="404">
      <c r="G404" s="10" t="n"/>
      <c r="H404" s="10" t="n"/>
    </row>
    <row r="405">
      <c r="G405" s="10" t="n"/>
      <c r="H405" s="10" t="n"/>
    </row>
    <row r="406">
      <c r="G406" s="10" t="n"/>
      <c r="H406" s="10" t="n"/>
    </row>
    <row r="407">
      <c r="G407" s="10" t="n"/>
      <c r="H407" s="10" t="n"/>
    </row>
    <row r="408">
      <c r="G408" s="10" t="n"/>
      <c r="H408" s="10" t="n"/>
    </row>
    <row r="409">
      <c r="G409" s="10" t="n"/>
      <c r="H409" s="10" t="n"/>
    </row>
    <row r="410">
      <c r="G410" s="10" t="n"/>
      <c r="H410" s="10" t="n"/>
    </row>
    <row r="411">
      <c r="G411" s="10" t="n"/>
      <c r="H411" s="10" t="n"/>
    </row>
    <row r="412">
      <c r="G412" s="10" t="n"/>
      <c r="H412" s="10" t="n"/>
    </row>
    <row r="413">
      <c r="G413" s="10" t="n"/>
      <c r="H413" s="10" t="n"/>
    </row>
    <row r="414">
      <c r="G414" s="10" t="n"/>
      <c r="H414" s="10" t="n"/>
    </row>
    <row r="415">
      <c r="G415" s="10" t="n"/>
      <c r="H415" s="10" t="n"/>
    </row>
    <row r="416">
      <c r="G416" s="10" t="n"/>
      <c r="H416" s="10" t="n"/>
    </row>
    <row r="417">
      <c r="G417" s="10" t="n"/>
      <c r="H417" s="10" t="n"/>
    </row>
    <row r="418">
      <c r="G418" s="10" t="n"/>
      <c r="H418" s="10" t="n"/>
    </row>
    <row r="419">
      <c r="G419" s="10" t="n"/>
      <c r="H419" s="10" t="n"/>
    </row>
    <row r="420">
      <c r="G420" s="10" t="n"/>
      <c r="H420" s="10" t="n"/>
    </row>
    <row r="421">
      <c r="G421" s="10" t="n"/>
      <c r="H421" s="10" t="n"/>
    </row>
    <row r="422">
      <c r="G422" s="10" t="n"/>
      <c r="H422" s="10" t="n"/>
    </row>
    <row r="423">
      <c r="G423" s="10" t="n"/>
      <c r="H423" s="10" t="n"/>
    </row>
    <row r="424">
      <c r="G424" s="10" t="n"/>
      <c r="H424" s="10" t="n"/>
    </row>
    <row r="425">
      <c r="G425" s="10" t="n"/>
      <c r="H425" s="10" t="n"/>
    </row>
    <row r="426">
      <c r="G426" s="10" t="n"/>
      <c r="H426" s="10" t="n"/>
    </row>
    <row r="427">
      <c r="G427" s="10" t="n"/>
      <c r="H427" s="10" t="n"/>
    </row>
    <row r="428">
      <c r="G428" s="10" t="n"/>
      <c r="H428" s="10" t="n"/>
    </row>
    <row r="429">
      <c r="G429" s="10" t="n"/>
      <c r="H429" s="10" t="n"/>
    </row>
    <row r="430">
      <c r="G430" s="10" t="n"/>
      <c r="H430" s="10" t="n"/>
    </row>
    <row r="431">
      <c r="G431" s="10" t="n"/>
      <c r="H431" s="10" t="n"/>
    </row>
    <row r="432">
      <c r="G432" s="10" t="n"/>
      <c r="H432" s="10" t="n"/>
    </row>
    <row r="433">
      <c r="G433" s="10" t="n"/>
      <c r="H433" s="10" t="n"/>
    </row>
    <row r="434">
      <c r="G434" s="10" t="n"/>
      <c r="H434" s="10" t="n"/>
    </row>
    <row r="435">
      <c r="G435" s="10" t="n"/>
      <c r="H435" s="10" t="n"/>
    </row>
    <row r="436">
      <c r="G436" s="10" t="n"/>
      <c r="H436" s="10" t="n"/>
    </row>
    <row r="437">
      <c r="G437" s="10" t="n"/>
      <c r="H437" s="10" t="n"/>
    </row>
    <row r="438">
      <c r="G438" s="10" t="n"/>
      <c r="H438" s="10" t="n"/>
    </row>
    <row r="439">
      <c r="G439" s="10" t="n"/>
      <c r="H439" s="10" t="n"/>
    </row>
    <row r="440">
      <c r="G440" s="10" t="n"/>
      <c r="H440" s="10" t="n"/>
    </row>
    <row r="441">
      <c r="G441" s="10" t="n"/>
      <c r="H441" s="10" t="n"/>
    </row>
    <row r="442">
      <c r="G442" s="10" t="n"/>
      <c r="H442" s="10" t="n"/>
    </row>
    <row r="443">
      <c r="G443" s="10" t="n"/>
      <c r="H443" s="10" t="n"/>
    </row>
    <row r="444">
      <c r="G444" s="10" t="n"/>
      <c r="H444" s="10" t="n"/>
    </row>
    <row r="445">
      <c r="G445" s="10" t="n"/>
      <c r="H445" s="10" t="n"/>
    </row>
    <row r="446">
      <c r="G446" s="10" t="n"/>
      <c r="H446" s="10" t="n"/>
    </row>
    <row r="447">
      <c r="G447" s="10" t="n"/>
      <c r="H447" s="10" t="n"/>
    </row>
    <row r="448">
      <c r="G448" s="10" t="n"/>
      <c r="H448" s="10" t="n"/>
    </row>
    <row r="449">
      <c r="G449" s="10" t="n"/>
      <c r="H449" s="10" t="n"/>
    </row>
    <row r="450">
      <c r="G450" s="10" t="n"/>
      <c r="H450" s="10" t="n"/>
    </row>
    <row r="451">
      <c r="G451" s="10" t="n"/>
      <c r="H451" s="10" t="n"/>
    </row>
    <row r="452">
      <c r="G452" s="10" t="n"/>
      <c r="H452" s="10" t="n"/>
    </row>
    <row r="453">
      <c r="G453" s="10" t="n"/>
      <c r="H453" s="10" t="n"/>
    </row>
    <row r="454">
      <c r="G454" s="10" t="n"/>
      <c r="H454" s="10" t="n"/>
    </row>
    <row r="455">
      <c r="G455" s="10" t="n"/>
      <c r="H455" s="10" t="n"/>
    </row>
    <row r="456">
      <c r="G456" s="10" t="n"/>
      <c r="H456" s="10" t="n"/>
    </row>
    <row r="457">
      <c r="G457" s="10" t="n"/>
      <c r="H457" s="10" t="n"/>
    </row>
    <row r="458">
      <c r="G458" s="10" t="n"/>
      <c r="H458" s="10" t="n"/>
    </row>
    <row r="459">
      <c r="G459" s="10" t="n"/>
      <c r="H459" s="10" t="n"/>
    </row>
    <row r="460">
      <c r="G460" s="10" t="n"/>
      <c r="H460" s="10" t="n"/>
    </row>
    <row r="461">
      <c r="G461" s="10" t="n"/>
      <c r="H461" s="10" t="n"/>
    </row>
    <row r="462">
      <c r="G462" s="10" t="n"/>
      <c r="H462" s="10" t="n"/>
    </row>
    <row r="463">
      <c r="G463" s="10" t="n"/>
      <c r="H463" s="10" t="n"/>
    </row>
    <row r="464">
      <c r="G464" s="10" t="n"/>
      <c r="H464" s="10" t="n"/>
    </row>
    <row r="465">
      <c r="G465" s="10" t="n"/>
      <c r="H465" s="10" t="n"/>
    </row>
    <row r="466">
      <c r="G466" s="10" t="n"/>
      <c r="H466" s="10" t="n"/>
    </row>
    <row r="467">
      <c r="G467" s="10" t="n"/>
      <c r="H467" s="10" t="n"/>
    </row>
    <row r="468">
      <c r="G468" s="10" t="n"/>
      <c r="H468" s="10" t="n"/>
    </row>
    <row r="469">
      <c r="G469" s="10" t="n"/>
      <c r="H469" s="10" t="n"/>
    </row>
    <row r="470">
      <c r="G470" s="10" t="n"/>
      <c r="H470" s="10" t="n"/>
    </row>
    <row r="471">
      <c r="G471" s="10" t="n"/>
      <c r="H471" s="10" t="n"/>
    </row>
    <row r="472">
      <c r="G472" s="10" t="n"/>
      <c r="H472" s="10" t="n"/>
    </row>
    <row r="473">
      <c r="G473" s="10" t="n"/>
      <c r="H473" s="10" t="n"/>
    </row>
    <row r="474">
      <c r="G474" s="10" t="n"/>
      <c r="H474" s="10" t="n"/>
    </row>
    <row r="475">
      <c r="G475" s="10" t="n"/>
      <c r="H475" s="10" t="n"/>
    </row>
    <row r="476">
      <c r="G476" s="10" t="n"/>
      <c r="H476" s="10" t="n"/>
    </row>
    <row r="477">
      <c r="G477" s="10" t="n"/>
      <c r="H477" s="10" t="n"/>
    </row>
    <row r="478">
      <c r="G478" s="10" t="n"/>
      <c r="H478" s="10" t="n"/>
    </row>
    <row r="479">
      <c r="G479" s="10" t="n"/>
      <c r="H479" s="10" t="n"/>
    </row>
    <row r="480">
      <c r="G480" s="10" t="n"/>
      <c r="H480" s="10" t="n"/>
    </row>
    <row r="481">
      <c r="G481" s="10" t="n"/>
      <c r="H481" s="10" t="n"/>
    </row>
    <row r="482">
      <c r="G482" s="10" t="n"/>
      <c r="H482" s="10" t="n"/>
    </row>
    <row r="483">
      <c r="G483" s="10" t="n"/>
      <c r="H483" s="10" t="n"/>
    </row>
    <row r="484">
      <c r="G484" s="10" t="n"/>
      <c r="H484" s="10" t="n"/>
    </row>
    <row r="485">
      <c r="G485" s="10" t="n"/>
      <c r="H485" s="10" t="n"/>
    </row>
    <row r="486">
      <c r="G486" s="10" t="n"/>
      <c r="H486" s="10" t="n"/>
    </row>
    <row r="487">
      <c r="G487" s="10" t="n"/>
      <c r="H487" s="10" t="n"/>
    </row>
    <row r="488">
      <c r="G488" s="10" t="n"/>
      <c r="H488" s="10" t="n"/>
    </row>
    <row r="489">
      <c r="G489" s="10" t="n"/>
      <c r="H489" s="10" t="n"/>
    </row>
    <row r="490">
      <c r="G490" s="10" t="n"/>
      <c r="H490" s="10" t="n"/>
    </row>
    <row r="491">
      <c r="G491" s="10" t="n"/>
      <c r="H491" s="10" t="n"/>
    </row>
    <row r="492">
      <c r="G492" s="10" t="n"/>
      <c r="H492" s="10" t="n"/>
    </row>
    <row r="493">
      <c r="G493" s="10" t="n"/>
      <c r="H493" s="10" t="n"/>
    </row>
    <row r="494">
      <c r="G494" s="10" t="n"/>
      <c r="H494" s="10" t="n"/>
    </row>
    <row r="495">
      <c r="G495" s="10" t="n"/>
      <c r="H495" s="10" t="n"/>
    </row>
    <row r="496">
      <c r="G496" s="10" t="n"/>
      <c r="H496" s="10" t="n"/>
    </row>
    <row r="497">
      <c r="G497" s="10" t="n"/>
      <c r="H497" s="10" t="n"/>
    </row>
    <row r="498">
      <c r="G498" s="10" t="n"/>
      <c r="H498" s="10" t="n"/>
    </row>
    <row r="499">
      <c r="G499" s="10" t="n"/>
      <c r="H499" s="10" t="n"/>
    </row>
    <row r="500">
      <c r="G500" s="10" t="n"/>
      <c r="H500" s="10" t="n"/>
    </row>
    <row r="501">
      <c r="G501" s="10" t="n"/>
      <c r="H501" s="10" t="n"/>
    </row>
    <row r="502">
      <c r="G502" s="10" t="n"/>
      <c r="H502" s="10" t="n"/>
    </row>
    <row r="503">
      <c r="G503" s="10" t="n"/>
      <c r="H503" s="10" t="n"/>
    </row>
    <row r="504">
      <c r="G504" s="10" t="n"/>
      <c r="H504" s="10" t="n"/>
    </row>
    <row r="505">
      <c r="G505" s="10" t="n"/>
      <c r="H505" s="10" t="n"/>
    </row>
    <row r="506">
      <c r="G506" s="10" t="n"/>
      <c r="H506" s="10" t="n"/>
    </row>
    <row r="507">
      <c r="G507" s="10" t="n"/>
      <c r="H507" s="10" t="n"/>
    </row>
    <row r="508">
      <c r="G508" s="10" t="n"/>
      <c r="H508" s="10" t="n"/>
    </row>
    <row r="509">
      <c r="G509" s="10" t="n"/>
      <c r="H509" s="10" t="n"/>
    </row>
    <row r="510">
      <c r="G510" s="10" t="n"/>
      <c r="H510" s="10" t="n"/>
    </row>
    <row r="511">
      <c r="G511" s="10" t="n"/>
      <c r="H511" s="10" t="n"/>
    </row>
    <row r="512">
      <c r="G512" s="10" t="n"/>
      <c r="H512" s="10" t="n"/>
    </row>
    <row r="513">
      <c r="G513" s="10" t="n"/>
      <c r="H513" s="10" t="n"/>
    </row>
    <row r="514">
      <c r="G514" s="10" t="n"/>
      <c r="H514" s="10" t="n"/>
    </row>
    <row r="515">
      <c r="G515" s="10" t="n"/>
      <c r="H515" s="10" t="n"/>
    </row>
    <row r="516">
      <c r="G516" s="10" t="n"/>
      <c r="H516" s="10" t="n"/>
    </row>
    <row r="517">
      <c r="G517" s="10" t="n"/>
      <c r="H517" s="10" t="n"/>
    </row>
    <row r="518">
      <c r="G518" s="10" t="n"/>
      <c r="H518" s="10" t="n"/>
    </row>
    <row r="519">
      <c r="G519" s="10" t="n"/>
      <c r="H519" s="10" t="n"/>
    </row>
    <row r="520">
      <c r="G520" s="10" t="n"/>
      <c r="H520" s="10" t="n"/>
    </row>
    <row r="521">
      <c r="G521" s="10" t="n"/>
      <c r="H521" s="10" t="n"/>
    </row>
    <row r="522">
      <c r="G522" s="10" t="n"/>
      <c r="H522" s="10" t="n"/>
    </row>
    <row r="523">
      <c r="G523" s="10" t="n"/>
      <c r="H523" s="10" t="n"/>
    </row>
    <row r="524">
      <c r="G524" s="10" t="n"/>
      <c r="H524" s="10" t="n"/>
    </row>
    <row r="525">
      <c r="G525" s="10" t="n"/>
      <c r="H525" s="10" t="n"/>
    </row>
    <row r="526">
      <c r="G526" s="10" t="n"/>
      <c r="H526" s="10" t="n"/>
    </row>
    <row r="527">
      <c r="G527" s="10" t="n"/>
      <c r="H527" s="10" t="n"/>
    </row>
    <row r="528">
      <c r="G528" s="10" t="n"/>
      <c r="H528" s="10" t="n"/>
    </row>
    <row r="529">
      <c r="G529" s="10" t="n"/>
      <c r="H529" s="10" t="n"/>
    </row>
    <row r="530">
      <c r="G530" s="10" t="n"/>
      <c r="H530" s="10" t="n"/>
    </row>
    <row r="531">
      <c r="G531" s="10" t="n"/>
      <c r="H531" s="10" t="n"/>
    </row>
    <row r="532">
      <c r="G532" s="10" t="n"/>
      <c r="H532" s="10" t="n"/>
    </row>
    <row r="533">
      <c r="G533" s="10" t="n"/>
      <c r="H533" s="10" t="n"/>
    </row>
    <row r="534">
      <c r="G534" s="10" t="n"/>
      <c r="H534" s="10" t="n"/>
    </row>
    <row r="535">
      <c r="G535" s="10" t="n"/>
      <c r="H535" s="10" t="n"/>
    </row>
    <row r="536">
      <c r="G536" s="10" t="n"/>
      <c r="H536" s="10" t="n"/>
    </row>
    <row r="537">
      <c r="G537" s="10" t="n"/>
      <c r="H537" s="10" t="n"/>
    </row>
    <row r="538">
      <c r="G538" s="10" t="n"/>
      <c r="H538" s="10" t="n"/>
    </row>
    <row r="539">
      <c r="G539" s="10" t="n"/>
      <c r="H539" s="10" t="n"/>
    </row>
    <row r="540">
      <c r="G540" s="10" t="n"/>
      <c r="H540" s="10" t="n"/>
    </row>
    <row r="541">
      <c r="G541" s="10" t="n"/>
      <c r="H541" s="10" t="n"/>
    </row>
    <row r="542">
      <c r="G542" s="10" t="n"/>
      <c r="H542" s="10" t="n"/>
    </row>
    <row r="543">
      <c r="G543" s="10" t="n"/>
      <c r="H543" s="10" t="n"/>
    </row>
    <row r="544">
      <c r="G544" s="10" t="n"/>
      <c r="H544" s="10" t="n"/>
    </row>
    <row r="545">
      <c r="G545" s="10" t="n"/>
      <c r="H545" s="10" t="n"/>
    </row>
    <row r="546">
      <c r="G546" s="10" t="n"/>
      <c r="H546" s="10" t="n"/>
    </row>
    <row r="547">
      <c r="G547" s="10" t="n"/>
      <c r="H547" s="10" t="n"/>
    </row>
    <row r="548">
      <c r="G548" s="10" t="n"/>
      <c r="H548" s="10" t="n"/>
    </row>
    <row r="549">
      <c r="G549" s="10" t="n"/>
      <c r="H549" s="10" t="n"/>
    </row>
    <row r="550">
      <c r="G550" s="10" t="n"/>
      <c r="H550" s="10" t="n"/>
    </row>
    <row r="551">
      <c r="G551" s="10" t="n"/>
      <c r="H551" s="10" t="n"/>
    </row>
    <row r="552">
      <c r="G552" s="10" t="n"/>
      <c r="H552" s="10" t="n"/>
    </row>
    <row r="553">
      <c r="G553" s="10" t="n"/>
      <c r="H553" s="10" t="n"/>
    </row>
    <row r="554">
      <c r="G554" s="10" t="n"/>
      <c r="H554" s="10" t="n"/>
    </row>
    <row r="555">
      <c r="G555" s="10" t="n"/>
      <c r="H555" s="10" t="n"/>
    </row>
    <row r="556">
      <c r="G556" s="10" t="n"/>
      <c r="H556" s="10" t="n"/>
    </row>
    <row r="557">
      <c r="G557" s="10" t="n"/>
      <c r="H557" s="10" t="n"/>
    </row>
    <row r="558">
      <c r="G558" s="10" t="n"/>
      <c r="H558" s="10" t="n"/>
    </row>
    <row r="559">
      <c r="G559" s="10" t="n"/>
      <c r="H559" s="10" t="n"/>
    </row>
    <row r="560">
      <c r="G560" s="10" t="n"/>
      <c r="H560" s="10" t="n"/>
    </row>
    <row r="561">
      <c r="G561" s="10" t="n"/>
      <c r="H561" s="10" t="n"/>
    </row>
    <row r="562">
      <c r="G562" s="10" t="n"/>
      <c r="H562" s="10" t="n"/>
    </row>
    <row r="563">
      <c r="G563" s="10" t="n"/>
      <c r="H563" s="10" t="n"/>
    </row>
    <row r="564">
      <c r="G564" s="10" t="n"/>
      <c r="H564" s="10" t="n"/>
    </row>
    <row r="565">
      <c r="G565" s="10" t="n"/>
      <c r="H565" s="10" t="n"/>
    </row>
    <row r="566">
      <c r="G566" s="10" t="n"/>
      <c r="H566" s="10" t="n"/>
    </row>
    <row r="567">
      <c r="G567" s="10" t="n"/>
      <c r="H567" s="10" t="n"/>
    </row>
    <row r="568">
      <c r="G568" s="10" t="n"/>
      <c r="H568" s="10" t="n"/>
    </row>
    <row r="569">
      <c r="G569" s="10" t="n"/>
      <c r="H569" s="10" t="n"/>
    </row>
    <row r="570">
      <c r="G570" s="10" t="n"/>
      <c r="H570" s="10" t="n"/>
    </row>
    <row r="571">
      <c r="G571" s="10" t="n"/>
      <c r="H571" s="10" t="n"/>
    </row>
    <row r="572">
      <c r="G572" s="10" t="n"/>
      <c r="H572" s="10" t="n"/>
    </row>
    <row r="573">
      <c r="G573" s="10" t="n"/>
      <c r="H573" s="10" t="n"/>
    </row>
    <row r="574">
      <c r="G574" s="10" t="n"/>
      <c r="H574" s="10" t="n"/>
    </row>
    <row r="575">
      <c r="G575" s="10" t="n"/>
      <c r="H575" s="10" t="n"/>
    </row>
    <row r="576">
      <c r="G576" s="10" t="n"/>
      <c r="H576" s="10" t="n"/>
    </row>
    <row r="577">
      <c r="G577" s="10" t="n"/>
      <c r="H577" s="10" t="n"/>
    </row>
    <row r="578">
      <c r="G578" s="10" t="n"/>
      <c r="H578" s="10" t="n"/>
    </row>
    <row r="579">
      <c r="G579" s="10" t="n"/>
      <c r="H579" s="10" t="n"/>
    </row>
    <row r="580">
      <c r="G580" s="10" t="n"/>
      <c r="H580" s="10" t="n"/>
    </row>
    <row r="581">
      <c r="G581" s="10" t="n"/>
      <c r="H581" s="10" t="n"/>
    </row>
    <row r="582">
      <c r="G582" s="10" t="n"/>
      <c r="H582" s="10" t="n"/>
    </row>
    <row r="583">
      <c r="G583" s="10" t="n"/>
      <c r="H583" s="10" t="n"/>
    </row>
    <row r="584">
      <c r="G584" s="10" t="n"/>
      <c r="H584" s="10" t="n"/>
    </row>
    <row r="585">
      <c r="G585" s="10" t="n"/>
      <c r="H585" s="10" t="n"/>
    </row>
    <row r="586">
      <c r="G586" s="10" t="n"/>
      <c r="H586" s="10" t="n"/>
    </row>
    <row r="587">
      <c r="G587" s="10" t="n"/>
      <c r="H587" s="10" t="n"/>
    </row>
    <row r="588">
      <c r="G588" s="10" t="n"/>
      <c r="H588" s="10" t="n"/>
    </row>
    <row r="589">
      <c r="G589" s="10" t="n"/>
      <c r="H589" s="10" t="n"/>
    </row>
    <row r="590">
      <c r="G590" s="10" t="n"/>
      <c r="H590" s="10" t="n"/>
    </row>
    <row r="591">
      <c r="G591" s="10" t="n"/>
      <c r="H591" s="10" t="n"/>
    </row>
    <row r="592">
      <c r="G592" s="10" t="n"/>
      <c r="H592" s="10" t="n"/>
    </row>
    <row r="593">
      <c r="G593" s="10" t="n"/>
      <c r="H593" s="10" t="n"/>
    </row>
    <row r="594">
      <c r="G594" s="10" t="n"/>
      <c r="H594" s="10" t="n"/>
    </row>
    <row r="595">
      <c r="G595" s="10" t="n"/>
      <c r="H595" s="10" t="n"/>
    </row>
    <row r="596">
      <c r="G596" s="10" t="n"/>
      <c r="H596" s="10" t="n"/>
    </row>
    <row r="597">
      <c r="G597" s="10" t="n"/>
      <c r="H597" s="10" t="n"/>
    </row>
    <row r="598">
      <c r="G598" s="10" t="n"/>
      <c r="H598" s="10" t="n"/>
    </row>
    <row r="599">
      <c r="G599" s="10" t="n"/>
      <c r="H599" s="10" t="n"/>
    </row>
    <row r="600">
      <c r="G600" s="10" t="n"/>
      <c r="H600" s="10" t="n"/>
    </row>
    <row r="601">
      <c r="G601" s="10" t="n"/>
      <c r="H601" s="10" t="n"/>
    </row>
    <row r="602">
      <c r="G602" s="10" t="n"/>
      <c r="H602" s="10" t="n"/>
    </row>
    <row r="603">
      <c r="G603" s="10" t="n"/>
      <c r="H603" s="10" t="n"/>
    </row>
    <row r="604">
      <c r="G604" s="10" t="n"/>
      <c r="H604" s="10" t="n"/>
    </row>
    <row r="605">
      <c r="G605" s="10" t="n"/>
      <c r="H605" s="10" t="n"/>
    </row>
    <row r="606">
      <c r="G606" s="10" t="n"/>
      <c r="H606" s="10" t="n"/>
    </row>
    <row r="607">
      <c r="G607" s="10" t="n"/>
      <c r="H607" s="10" t="n"/>
    </row>
    <row r="608">
      <c r="G608" s="10" t="n"/>
      <c r="H608" s="10" t="n"/>
    </row>
    <row r="609">
      <c r="G609" s="10" t="n"/>
      <c r="H609" s="10" t="n"/>
    </row>
    <row r="610">
      <c r="G610" s="10" t="n"/>
      <c r="H610" s="10" t="n"/>
    </row>
    <row r="611">
      <c r="G611" s="10" t="n"/>
      <c r="H611" s="10" t="n"/>
    </row>
    <row r="612">
      <c r="G612" s="10" t="n"/>
      <c r="H612" s="10" t="n"/>
    </row>
    <row r="613">
      <c r="G613" s="10" t="n"/>
      <c r="H613" s="10" t="n"/>
    </row>
    <row r="614">
      <c r="G614" s="10" t="n"/>
      <c r="H614" s="10" t="n"/>
    </row>
    <row r="615">
      <c r="G615" s="10" t="n"/>
      <c r="H615" s="10" t="n"/>
    </row>
    <row r="616">
      <c r="G616" s="10" t="n"/>
      <c r="H616" s="10" t="n"/>
    </row>
    <row r="617">
      <c r="G617" s="10" t="n"/>
      <c r="H617" s="10" t="n"/>
    </row>
    <row r="618">
      <c r="G618" s="10" t="n"/>
      <c r="H618" s="10" t="n"/>
    </row>
    <row r="619">
      <c r="G619" s="10" t="n"/>
      <c r="H619" s="10" t="n"/>
    </row>
    <row r="620">
      <c r="G620" s="10" t="n"/>
      <c r="H620" s="10" t="n"/>
    </row>
    <row r="621">
      <c r="G621" s="10" t="n"/>
      <c r="H621" s="10" t="n"/>
    </row>
    <row r="622">
      <c r="G622" s="10" t="n"/>
      <c r="H622" s="10" t="n"/>
    </row>
    <row r="623">
      <c r="G623" s="10" t="n"/>
      <c r="H623" s="10" t="n"/>
    </row>
    <row r="624">
      <c r="G624" s="10" t="n"/>
      <c r="H624" s="10" t="n"/>
    </row>
    <row r="625">
      <c r="G625" s="10" t="n"/>
      <c r="H625" s="10" t="n"/>
    </row>
    <row r="626">
      <c r="G626" s="10" t="n"/>
      <c r="H626" s="10" t="n"/>
    </row>
    <row r="627">
      <c r="G627" s="10" t="n"/>
      <c r="H627" s="10" t="n"/>
    </row>
    <row r="628">
      <c r="G628" s="10" t="n"/>
      <c r="H628" s="10" t="n"/>
    </row>
    <row r="629">
      <c r="G629" s="10" t="n"/>
      <c r="H629" s="10" t="n"/>
    </row>
    <row r="630">
      <c r="G630" s="10" t="n"/>
      <c r="H630" s="10" t="n"/>
    </row>
    <row r="631">
      <c r="G631" s="10" t="n"/>
      <c r="H631" s="10" t="n"/>
    </row>
    <row r="632">
      <c r="G632" s="10" t="n"/>
      <c r="H632" s="10" t="n"/>
    </row>
    <row r="633">
      <c r="G633" s="10" t="n"/>
      <c r="H633" s="10" t="n"/>
    </row>
    <row r="634">
      <c r="G634" s="10" t="n"/>
      <c r="H634" s="10" t="n"/>
    </row>
    <row r="635">
      <c r="G635" s="10" t="n"/>
      <c r="H635" s="10" t="n"/>
    </row>
    <row r="636">
      <c r="G636" s="10" t="n"/>
      <c r="H636" s="10" t="n"/>
    </row>
    <row r="637">
      <c r="G637" s="10" t="n"/>
      <c r="H637" s="10" t="n"/>
    </row>
    <row r="638">
      <c r="G638" s="10" t="n"/>
      <c r="H638" s="10" t="n"/>
    </row>
    <row r="639">
      <c r="G639" s="10" t="n"/>
      <c r="H639" s="10" t="n"/>
    </row>
    <row r="640">
      <c r="G640" s="10" t="n"/>
      <c r="H640" s="10" t="n"/>
    </row>
    <row r="641">
      <c r="G641" s="10" t="n"/>
      <c r="H641" s="10" t="n"/>
    </row>
    <row r="642">
      <c r="G642" s="10" t="n"/>
      <c r="H642" s="10" t="n"/>
    </row>
    <row r="643">
      <c r="G643" s="10" t="n"/>
      <c r="H643" s="10" t="n"/>
    </row>
    <row r="644">
      <c r="G644" s="10" t="n"/>
      <c r="H644" s="10" t="n"/>
    </row>
    <row r="645">
      <c r="G645" s="10" t="n"/>
      <c r="H645" s="10" t="n"/>
    </row>
    <row r="646">
      <c r="G646" s="10" t="n"/>
      <c r="H646" s="10" t="n"/>
    </row>
    <row r="647">
      <c r="G647" s="10" t="n"/>
      <c r="H647" s="10" t="n"/>
    </row>
    <row r="648">
      <c r="G648" s="10" t="n"/>
      <c r="H648" s="10" t="n"/>
    </row>
    <row r="649">
      <c r="G649" s="10" t="n"/>
      <c r="H649" s="10" t="n"/>
    </row>
    <row r="650">
      <c r="G650" s="10" t="n"/>
      <c r="H650" s="10" t="n"/>
    </row>
    <row r="651">
      <c r="G651" s="10" t="n"/>
      <c r="H651" s="10" t="n"/>
    </row>
    <row r="652">
      <c r="G652" s="10" t="n"/>
      <c r="H652" s="10" t="n"/>
    </row>
    <row r="653">
      <c r="G653" s="10" t="n"/>
      <c r="H653" s="10" t="n"/>
    </row>
    <row r="654">
      <c r="G654" s="10" t="n"/>
      <c r="H654" s="10" t="n"/>
    </row>
    <row r="655">
      <c r="G655" s="10" t="n"/>
      <c r="H655" s="10" t="n"/>
    </row>
    <row r="656">
      <c r="G656" s="10" t="n"/>
      <c r="H656" s="10" t="n"/>
    </row>
    <row r="657">
      <c r="G657" s="10" t="n"/>
      <c r="H657" s="10" t="n"/>
    </row>
    <row r="658">
      <c r="G658" s="10" t="n"/>
      <c r="H658" s="10" t="n"/>
    </row>
    <row r="659">
      <c r="G659" s="10" t="n"/>
      <c r="H659" s="10" t="n"/>
    </row>
    <row r="660">
      <c r="G660" s="10" t="n"/>
      <c r="H660" s="10" t="n"/>
    </row>
    <row r="661">
      <c r="G661" s="10" t="n"/>
      <c r="H661" s="10" t="n"/>
    </row>
    <row r="662">
      <c r="G662" s="10" t="n"/>
      <c r="H662" s="10" t="n"/>
    </row>
    <row r="663">
      <c r="G663" s="10" t="n"/>
      <c r="H663" s="10" t="n"/>
    </row>
    <row r="664">
      <c r="G664" s="10" t="n"/>
      <c r="H664" s="10" t="n"/>
    </row>
    <row r="665">
      <c r="G665" s="10" t="n"/>
      <c r="H665" s="10" t="n"/>
    </row>
    <row r="666">
      <c r="G666" s="10" t="n"/>
      <c r="H666" s="10" t="n"/>
    </row>
    <row r="667">
      <c r="G667" s="10" t="n"/>
      <c r="H667" s="10" t="n"/>
    </row>
    <row r="668">
      <c r="G668" s="10" t="n"/>
      <c r="H668" s="10" t="n"/>
    </row>
    <row r="669">
      <c r="G669" s="10" t="n"/>
      <c r="H669" s="10" t="n"/>
    </row>
    <row r="670">
      <c r="G670" s="10" t="n"/>
      <c r="H670" s="10" t="n"/>
    </row>
    <row r="671">
      <c r="G671" s="10" t="n"/>
      <c r="H671" s="10" t="n"/>
    </row>
    <row r="672">
      <c r="G672" s="10" t="n"/>
      <c r="H672" s="10" t="n"/>
    </row>
    <row r="673">
      <c r="G673" s="10" t="n"/>
      <c r="H673" s="10" t="n"/>
    </row>
    <row r="674">
      <c r="G674" s="10" t="n"/>
      <c r="H674" s="10" t="n"/>
    </row>
    <row r="675">
      <c r="G675" s="10" t="n"/>
      <c r="H675" s="10" t="n"/>
    </row>
    <row r="676">
      <c r="G676" s="10" t="n"/>
      <c r="H676" s="10" t="n"/>
    </row>
    <row r="677">
      <c r="G677" s="10" t="n"/>
      <c r="H677" s="10" t="n"/>
    </row>
    <row r="678">
      <c r="G678" s="10" t="n"/>
      <c r="H678" s="10" t="n"/>
    </row>
    <row r="679">
      <c r="G679" s="10" t="n"/>
      <c r="H679" s="10" t="n"/>
    </row>
    <row r="680">
      <c r="G680" s="10" t="n"/>
      <c r="H680" s="10" t="n"/>
    </row>
    <row r="681">
      <c r="G681" s="10" t="n"/>
      <c r="H681" s="10" t="n"/>
    </row>
    <row r="682">
      <c r="G682" s="10" t="n"/>
      <c r="H682" s="10" t="n"/>
    </row>
    <row r="683">
      <c r="G683" s="10" t="n"/>
      <c r="H683" s="10" t="n"/>
    </row>
    <row r="684">
      <c r="G684" s="10" t="n"/>
      <c r="H684" s="10" t="n"/>
    </row>
    <row r="685">
      <c r="G685" s="10" t="n"/>
      <c r="H685" s="10" t="n"/>
    </row>
    <row r="686">
      <c r="G686" s="10" t="n"/>
      <c r="H686" s="10" t="n"/>
    </row>
    <row r="687">
      <c r="G687" s="10" t="n"/>
      <c r="H687" s="10" t="n"/>
    </row>
    <row r="688">
      <c r="G688" s="10" t="n"/>
      <c r="H688" s="10" t="n"/>
    </row>
    <row r="689">
      <c r="G689" s="10" t="n"/>
      <c r="H689" s="10" t="n"/>
    </row>
    <row r="690">
      <c r="G690" s="10" t="n"/>
      <c r="H690" s="10" t="n"/>
    </row>
    <row r="691">
      <c r="G691" s="10" t="n"/>
      <c r="H691" s="10" t="n"/>
    </row>
    <row r="692">
      <c r="G692" s="10" t="n"/>
      <c r="H692" s="10" t="n"/>
    </row>
    <row r="693">
      <c r="G693" s="10" t="n"/>
      <c r="H693" s="10" t="n"/>
    </row>
    <row r="694">
      <c r="G694" s="10" t="n"/>
      <c r="H694" s="10" t="n"/>
    </row>
    <row r="695">
      <c r="G695" s="10" t="n"/>
      <c r="H695" s="10" t="n"/>
    </row>
    <row r="696">
      <c r="G696" s="10" t="n"/>
      <c r="H696" s="10" t="n"/>
    </row>
    <row r="697">
      <c r="G697" s="10" t="n"/>
      <c r="H697" s="10" t="n"/>
    </row>
    <row r="698">
      <c r="G698" s="10" t="n"/>
      <c r="H698" s="10" t="n"/>
    </row>
    <row r="699">
      <c r="G699" s="10" t="n"/>
      <c r="H699" s="10" t="n"/>
    </row>
    <row r="700">
      <c r="G700" s="10" t="n"/>
      <c r="H700" s="10" t="n"/>
    </row>
    <row r="701">
      <c r="G701" s="10" t="n"/>
      <c r="H701" s="10" t="n"/>
    </row>
    <row r="702">
      <c r="G702" s="10" t="n"/>
      <c r="H702" s="10" t="n"/>
    </row>
    <row r="703">
      <c r="G703" s="10" t="n"/>
      <c r="H703" s="10" t="n"/>
    </row>
    <row r="704">
      <c r="G704" s="10" t="n"/>
      <c r="H704" s="10" t="n"/>
    </row>
    <row r="705">
      <c r="G705" s="10" t="n"/>
      <c r="H705" s="10" t="n"/>
    </row>
    <row r="706">
      <c r="G706" s="10" t="n"/>
      <c r="H706" s="10" t="n"/>
    </row>
    <row r="707">
      <c r="G707" s="10" t="n"/>
      <c r="H707" s="10" t="n"/>
    </row>
    <row r="708">
      <c r="G708" s="10" t="n"/>
      <c r="H708" s="10" t="n"/>
    </row>
    <row r="709">
      <c r="G709" s="10" t="n"/>
      <c r="H709" s="10" t="n"/>
    </row>
    <row r="710">
      <c r="G710" s="10" t="n"/>
      <c r="H710" s="10" t="n"/>
    </row>
    <row r="711">
      <c r="G711" s="10" t="n"/>
      <c r="H711" s="10" t="n"/>
    </row>
    <row r="712">
      <c r="G712" s="10" t="n"/>
      <c r="H712" s="10" t="n"/>
    </row>
    <row r="713">
      <c r="G713" s="10" t="n"/>
      <c r="H713" s="10" t="n"/>
    </row>
    <row r="714">
      <c r="G714" s="10" t="n"/>
      <c r="H714" s="10" t="n"/>
    </row>
    <row r="715">
      <c r="G715" s="10" t="n"/>
      <c r="H715" s="10" t="n"/>
    </row>
    <row r="716">
      <c r="G716" s="10" t="n"/>
      <c r="H716" s="10" t="n"/>
    </row>
    <row r="717">
      <c r="G717" s="10" t="n"/>
      <c r="H717" s="10" t="n"/>
    </row>
    <row r="718">
      <c r="G718" s="10" t="n"/>
      <c r="H718" s="10" t="n"/>
    </row>
    <row r="719">
      <c r="G719" s="10" t="n"/>
      <c r="H719" s="10" t="n"/>
    </row>
    <row r="720">
      <c r="G720" s="10" t="n"/>
      <c r="H720" s="10" t="n"/>
    </row>
    <row r="721">
      <c r="G721" s="10" t="n"/>
      <c r="H721" s="10" t="n"/>
    </row>
    <row r="722">
      <c r="G722" s="10" t="n"/>
      <c r="H722" s="10" t="n"/>
    </row>
    <row r="723">
      <c r="G723" s="10" t="n"/>
      <c r="H723" s="10" t="n"/>
    </row>
    <row r="724">
      <c r="G724" s="10" t="n"/>
      <c r="H724" s="10" t="n"/>
    </row>
    <row r="725">
      <c r="G725" s="10" t="n"/>
      <c r="H725" s="10" t="n"/>
    </row>
    <row r="726">
      <c r="G726" s="10" t="n"/>
      <c r="H726" s="10" t="n"/>
    </row>
    <row r="727">
      <c r="G727" s="10" t="n"/>
      <c r="H727" s="10" t="n"/>
    </row>
    <row r="728">
      <c r="G728" s="10" t="n"/>
      <c r="H728" s="10" t="n"/>
    </row>
    <row r="729">
      <c r="G729" s="10" t="n"/>
      <c r="H729" s="10" t="n"/>
    </row>
    <row r="730">
      <c r="G730" s="10" t="n"/>
      <c r="H730" s="10" t="n"/>
    </row>
    <row r="731">
      <c r="G731" s="10" t="n"/>
      <c r="H731" s="10" t="n"/>
    </row>
    <row r="732">
      <c r="G732" s="10" t="n"/>
      <c r="H732" s="10" t="n"/>
    </row>
    <row r="733">
      <c r="G733" s="10" t="n"/>
      <c r="H733" s="10" t="n"/>
    </row>
    <row r="734">
      <c r="G734" s="10" t="n"/>
      <c r="H734" s="10" t="n"/>
    </row>
    <row r="735">
      <c r="G735" s="10" t="n"/>
      <c r="H735" s="10" t="n"/>
    </row>
    <row r="736">
      <c r="G736" s="10" t="n"/>
      <c r="H736" s="10" t="n"/>
    </row>
    <row r="737">
      <c r="G737" s="10" t="n"/>
      <c r="H737" s="10" t="n"/>
    </row>
    <row r="738">
      <c r="G738" s="10" t="n"/>
      <c r="H738" s="10" t="n"/>
    </row>
    <row r="739">
      <c r="G739" s="10" t="n"/>
      <c r="H739" s="10" t="n"/>
    </row>
    <row r="740">
      <c r="G740" s="10" t="n"/>
      <c r="H740" s="10" t="n"/>
    </row>
    <row r="741">
      <c r="G741" s="10" t="n"/>
      <c r="H741" s="10" t="n"/>
    </row>
    <row r="742">
      <c r="G742" s="10" t="n"/>
      <c r="H742" s="10" t="n"/>
    </row>
    <row r="743">
      <c r="G743" s="10" t="n"/>
      <c r="H743" s="10" t="n"/>
    </row>
    <row r="744">
      <c r="G744" s="10" t="n"/>
      <c r="H744" s="10" t="n"/>
    </row>
    <row r="745">
      <c r="G745" s="10" t="n"/>
      <c r="H745" s="10" t="n"/>
    </row>
    <row r="746">
      <c r="G746" s="10" t="n"/>
      <c r="H746" s="10" t="n"/>
    </row>
    <row r="747">
      <c r="G747" s="10" t="n"/>
      <c r="H747" s="10" t="n"/>
    </row>
    <row r="748">
      <c r="G748" s="10" t="n"/>
      <c r="H748" s="10" t="n"/>
    </row>
    <row r="749">
      <c r="G749" s="10" t="n"/>
      <c r="H749" s="10" t="n"/>
    </row>
    <row r="750">
      <c r="G750" s="10" t="n"/>
      <c r="H750" s="10" t="n"/>
    </row>
    <row r="751">
      <c r="G751" s="10" t="n"/>
      <c r="H751" s="10" t="n"/>
    </row>
    <row r="752">
      <c r="G752" s="10" t="n"/>
      <c r="H752" s="10" t="n"/>
    </row>
    <row r="753">
      <c r="G753" s="10" t="n"/>
      <c r="H753" s="10" t="n"/>
    </row>
    <row r="754">
      <c r="G754" s="10" t="n"/>
      <c r="H754" s="10" t="n"/>
    </row>
    <row r="755">
      <c r="G755" s="10" t="n"/>
      <c r="H755" s="10" t="n"/>
    </row>
    <row r="756">
      <c r="G756" s="10" t="n"/>
      <c r="H756" s="10" t="n"/>
    </row>
    <row r="757">
      <c r="G757" s="10" t="n"/>
      <c r="H757" s="10" t="n"/>
    </row>
    <row r="758">
      <c r="G758" s="10" t="n"/>
      <c r="H758" s="10" t="n"/>
    </row>
    <row r="759">
      <c r="G759" s="10" t="n"/>
      <c r="H759" s="10" t="n"/>
    </row>
    <row r="760">
      <c r="G760" s="10" t="n"/>
      <c r="H760" s="10" t="n"/>
    </row>
    <row r="761">
      <c r="G761" s="10" t="n"/>
      <c r="H761" s="10" t="n"/>
    </row>
    <row r="762">
      <c r="G762" s="10" t="n"/>
      <c r="H762" s="10" t="n"/>
    </row>
    <row r="763">
      <c r="G763" s="10" t="n"/>
      <c r="H763" s="10" t="n"/>
    </row>
    <row r="764">
      <c r="G764" s="10" t="n"/>
      <c r="H764" s="10" t="n"/>
    </row>
    <row r="765">
      <c r="G765" s="10" t="n"/>
      <c r="H765" s="10" t="n"/>
    </row>
    <row r="766">
      <c r="G766" s="10" t="n"/>
      <c r="H766" s="10" t="n"/>
    </row>
    <row r="767">
      <c r="G767" s="10" t="n"/>
      <c r="H767" s="10" t="n"/>
    </row>
    <row r="768">
      <c r="G768" s="10" t="n"/>
      <c r="H768" s="10" t="n"/>
    </row>
    <row r="769">
      <c r="G769" s="10" t="n"/>
      <c r="H769" s="10" t="n"/>
    </row>
    <row r="770">
      <c r="G770" s="10" t="n"/>
      <c r="H770" s="10" t="n"/>
    </row>
    <row r="771">
      <c r="G771" s="10" t="n"/>
      <c r="H771" s="10" t="n"/>
    </row>
    <row r="772">
      <c r="G772" s="10" t="n"/>
      <c r="H772" s="10" t="n"/>
    </row>
    <row r="773">
      <c r="G773" s="10" t="n"/>
      <c r="H773" s="10" t="n"/>
    </row>
    <row r="774">
      <c r="G774" s="10" t="n"/>
      <c r="H774" s="10" t="n"/>
    </row>
    <row r="775">
      <c r="G775" s="10" t="n"/>
      <c r="H775" s="10" t="n"/>
    </row>
    <row r="776">
      <c r="G776" s="10" t="n"/>
      <c r="H776" s="10" t="n"/>
    </row>
    <row r="777">
      <c r="G777" s="10" t="n"/>
      <c r="H777" s="10" t="n"/>
    </row>
    <row r="778">
      <c r="G778" s="10" t="n"/>
      <c r="H778" s="10" t="n"/>
    </row>
    <row r="779">
      <c r="G779" s="10" t="n"/>
      <c r="H779" s="10" t="n"/>
    </row>
    <row r="780">
      <c r="G780" s="10" t="n"/>
      <c r="H780" s="10" t="n"/>
    </row>
    <row r="781">
      <c r="G781" s="10" t="n"/>
      <c r="H781" s="10" t="n"/>
    </row>
    <row r="782">
      <c r="G782" s="10" t="n"/>
      <c r="H782" s="10" t="n"/>
    </row>
    <row r="783">
      <c r="G783" s="10" t="n"/>
      <c r="H783" s="10" t="n"/>
    </row>
    <row r="784">
      <c r="G784" s="10" t="n"/>
      <c r="H784" s="10" t="n"/>
    </row>
    <row r="785">
      <c r="G785" s="10" t="n"/>
      <c r="H785" s="10" t="n"/>
    </row>
    <row r="786">
      <c r="G786" s="10" t="n"/>
      <c r="H786" s="10" t="n"/>
    </row>
    <row r="787">
      <c r="G787" s="10" t="n"/>
      <c r="H787" s="10" t="n"/>
    </row>
    <row r="788">
      <c r="G788" s="10" t="n"/>
      <c r="H788" s="10" t="n"/>
    </row>
    <row r="789">
      <c r="G789" s="10" t="n"/>
      <c r="H789" s="10" t="n"/>
    </row>
    <row r="790">
      <c r="G790" s="10" t="n"/>
      <c r="H790" s="10" t="n"/>
    </row>
    <row r="791">
      <c r="G791" s="10" t="n"/>
      <c r="H791" s="10" t="n"/>
    </row>
    <row r="792">
      <c r="G792" s="10" t="n"/>
      <c r="H792" s="10" t="n"/>
    </row>
    <row r="793">
      <c r="G793" s="10" t="n"/>
      <c r="H793" s="10" t="n"/>
    </row>
    <row r="794">
      <c r="G794" s="10" t="n"/>
      <c r="H794" s="10" t="n"/>
    </row>
    <row r="795">
      <c r="G795" s="10" t="n"/>
      <c r="H795" s="10" t="n"/>
    </row>
    <row r="796">
      <c r="G796" s="10" t="n"/>
      <c r="H796" s="10" t="n"/>
    </row>
    <row r="797">
      <c r="G797" s="10" t="n"/>
      <c r="H797" s="10" t="n"/>
    </row>
    <row r="798">
      <c r="G798" s="10" t="n"/>
      <c r="H798" s="10" t="n"/>
    </row>
    <row r="799">
      <c r="G799" s="10" t="n"/>
      <c r="H799" s="10" t="n"/>
    </row>
    <row r="800">
      <c r="G800" s="10" t="n"/>
      <c r="H800" s="10" t="n"/>
    </row>
    <row r="801">
      <c r="G801" s="10" t="n"/>
      <c r="H801" s="10" t="n"/>
    </row>
    <row r="802">
      <c r="G802" s="10" t="n"/>
      <c r="H802" s="10" t="n"/>
    </row>
    <row r="803">
      <c r="G803" s="10" t="n"/>
      <c r="H803" s="10" t="n"/>
    </row>
    <row r="804">
      <c r="G804" s="10" t="n"/>
      <c r="H804" s="10" t="n"/>
    </row>
    <row r="805">
      <c r="G805" s="10" t="n"/>
      <c r="H805" s="10" t="n"/>
    </row>
    <row r="806">
      <c r="G806" s="10" t="n"/>
      <c r="H806" s="10" t="n"/>
    </row>
    <row r="807">
      <c r="G807" s="10" t="n"/>
      <c r="H807" s="10" t="n"/>
    </row>
    <row r="808">
      <c r="G808" s="10" t="n"/>
      <c r="H808" s="10" t="n"/>
    </row>
    <row r="809">
      <c r="G809" s="10" t="n"/>
      <c r="H809" s="10" t="n"/>
    </row>
    <row r="810">
      <c r="G810" s="10" t="n"/>
      <c r="H810" s="10" t="n"/>
    </row>
    <row r="811">
      <c r="G811" s="10" t="n"/>
      <c r="H811" s="10" t="n"/>
    </row>
    <row r="812">
      <c r="G812" s="10" t="n"/>
      <c r="H812" s="10" t="n"/>
    </row>
    <row r="813">
      <c r="G813" s="10" t="n"/>
      <c r="H813" s="10" t="n"/>
    </row>
    <row r="814">
      <c r="G814" s="10" t="n"/>
      <c r="H814" s="10" t="n"/>
    </row>
    <row r="815">
      <c r="G815" s="10" t="n"/>
      <c r="H815" s="10" t="n"/>
    </row>
    <row r="816">
      <c r="G816" s="10" t="n"/>
      <c r="H816" s="10" t="n"/>
    </row>
    <row r="817">
      <c r="G817" s="10" t="n"/>
      <c r="H817" s="10" t="n"/>
    </row>
    <row r="818">
      <c r="G818" s="10" t="n"/>
      <c r="H818" s="10" t="n"/>
    </row>
    <row r="819">
      <c r="G819" s="10" t="n"/>
      <c r="H819" s="10" t="n"/>
    </row>
    <row r="820">
      <c r="G820" s="10" t="n"/>
      <c r="H820" s="10" t="n"/>
    </row>
    <row r="821">
      <c r="G821" s="10" t="n"/>
      <c r="H821" s="10" t="n"/>
    </row>
    <row r="822">
      <c r="G822" s="10" t="n"/>
      <c r="H822" s="10" t="n"/>
    </row>
    <row r="823">
      <c r="G823" s="10" t="n"/>
      <c r="H823" s="10" t="n"/>
    </row>
    <row r="824">
      <c r="G824" s="10" t="n"/>
      <c r="H824" s="10" t="n"/>
    </row>
    <row r="825">
      <c r="G825" s="10" t="n"/>
      <c r="H825" s="10" t="n"/>
    </row>
    <row r="826">
      <c r="G826" s="10" t="n"/>
      <c r="H826" s="10" t="n"/>
    </row>
    <row r="827">
      <c r="G827" s="10" t="n"/>
      <c r="H827" s="10" t="n"/>
    </row>
    <row r="828">
      <c r="G828" s="10" t="n"/>
      <c r="H828" s="10" t="n"/>
    </row>
    <row r="829">
      <c r="G829" s="10" t="n"/>
      <c r="H829" s="10" t="n"/>
    </row>
    <row r="830">
      <c r="G830" s="10" t="n"/>
      <c r="H830" s="10" t="n"/>
    </row>
    <row r="831">
      <c r="G831" s="10" t="n"/>
      <c r="H831" s="10" t="n"/>
    </row>
    <row r="832">
      <c r="G832" s="10" t="n"/>
      <c r="H832" s="10" t="n"/>
    </row>
    <row r="833">
      <c r="G833" s="10" t="n"/>
      <c r="H833" s="10" t="n"/>
    </row>
    <row r="834">
      <c r="G834" s="10" t="n"/>
      <c r="H834" s="10" t="n"/>
    </row>
    <row r="835">
      <c r="G835" s="10" t="n"/>
      <c r="H835" s="10" t="n"/>
    </row>
    <row r="836">
      <c r="G836" s="10" t="n"/>
      <c r="H836" s="10" t="n"/>
    </row>
    <row r="837">
      <c r="G837" s="10" t="n"/>
      <c r="H837" s="10" t="n"/>
    </row>
    <row r="838">
      <c r="G838" s="10" t="n"/>
      <c r="H838" s="10" t="n"/>
    </row>
    <row r="839">
      <c r="G839" s="10" t="n"/>
      <c r="H839" s="10" t="n"/>
    </row>
    <row r="840">
      <c r="G840" s="10" t="n"/>
      <c r="H840" s="10" t="n"/>
    </row>
    <row r="841">
      <c r="G841" s="10" t="n"/>
      <c r="H841" s="10" t="n"/>
    </row>
    <row r="842">
      <c r="G842" s="10" t="n"/>
      <c r="H842" s="10" t="n"/>
    </row>
    <row r="843">
      <c r="G843" s="10" t="n"/>
      <c r="H843" s="10" t="n"/>
    </row>
    <row r="844">
      <c r="G844" s="10" t="n"/>
      <c r="H844" s="10" t="n"/>
    </row>
    <row r="845">
      <c r="G845" s="10" t="n"/>
      <c r="H845" s="10" t="n"/>
    </row>
    <row r="846">
      <c r="G846" s="10" t="n"/>
      <c r="H846" s="10" t="n"/>
    </row>
    <row r="847">
      <c r="G847" s="10" t="n"/>
      <c r="H847" s="10" t="n"/>
    </row>
    <row r="848">
      <c r="G848" s="10" t="n"/>
      <c r="H848" s="10" t="n"/>
    </row>
    <row r="849">
      <c r="G849" s="10" t="n"/>
      <c r="H849" s="10" t="n"/>
    </row>
    <row r="850">
      <c r="G850" s="10" t="n"/>
      <c r="H850" s="10" t="n"/>
    </row>
    <row r="851">
      <c r="G851" s="10" t="n"/>
      <c r="H851" s="10" t="n"/>
    </row>
    <row r="852">
      <c r="G852" s="10" t="n"/>
      <c r="H852" s="10" t="n"/>
    </row>
    <row r="853">
      <c r="G853" s="10" t="n"/>
      <c r="H853" s="10" t="n"/>
    </row>
    <row r="854">
      <c r="G854" s="10" t="n"/>
      <c r="H854" s="10" t="n"/>
    </row>
    <row r="855">
      <c r="G855" s="10" t="n"/>
      <c r="H855" s="10" t="n"/>
    </row>
    <row r="856">
      <c r="G856" s="10" t="n"/>
      <c r="H856" s="10" t="n"/>
    </row>
    <row r="857">
      <c r="G857" s="10" t="n"/>
      <c r="H857" s="10" t="n"/>
    </row>
    <row r="858">
      <c r="G858" s="10" t="n"/>
      <c r="H858" s="10" t="n"/>
    </row>
    <row r="859">
      <c r="G859" s="10" t="n"/>
      <c r="H859" s="10" t="n"/>
    </row>
    <row r="860">
      <c r="G860" s="10" t="n"/>
      <c r="H860" s="10" t="n"/>
    </row>
    <row r="861">
      <c r="G861" s="10" t="n"/>
      <c r="H861" s="10" t="n"/>
    </row>
    <row r="862">
      <c r="G862" s="10" t="n"/>
      <c r="H862" s="10" t="n"/>
    </row>
    <row r="863">
      <c r="G863" s="10" t="n"/>
      <c r="H863" s="10" t="n"/>
    </row>
    <row r="864">
      <c r="G864" s="10" t="n"/>
      <c r="H864" s="10" t="n"/>
    </row>
    <row r="865">
      <c r="G865" s="10" t="n"/>
      <c r="H865" s="10" t="n"/>
    </row>
    <row r="866">
      <c r="G866" s="10" t="n"/>
      <c r="H866" s="10" t="n"/>
    </row>
    <row r="867">
      <c r="G867" s="10" t="n"/>
      <c r="H867" s="10" t="n"/>
    </row>
    <row r="868">
      <c r="G868" s="10" t="n"/>
      <c r="H868" s="10" t="n"/>
    </row>
    <row r="869">
      <c r="G869" s="10" t="n"/>
      <c r="H869" s="10" t="n"/>
    </row>
    <row r="870">
      <c r="G870" s="10" t="n"/>
      <c r="H870" s="10" t="n"/>
    </row>
    <row r="871">
      <c r="G871" s="10" t="n"/>
      <c r="H871" s="10" t="n"/>
    </row>
    <row r="872">
      <c r="G872" s="10" t="n"/>
      <c r="H872" s="10" t="n"/>
    </row>
    <row r="873">
      <c r="G873" s="10" t="n"/>
      <c r="H873" s="10" t="n"/>
    </row>
    <row r="874">
      <c r="G874" s="10" t="n"/>
      <c r="H874" s="10" t="n"/>
    </row>
    <row r="875">
      <c r="G875" s="10" t="n"/>
      <c r="H875" s="10" t="n"/>
    </row>
    <row r="876">
      <c r="G876" s="10" t="n"/>
      <c r="H876" s="10" t="n"/>
    </row>
    <row r="877">
      <c r="G877" s="10" t="n"/>
      <c r="H877" s="10" t="n"/>
    </row>
    <row r="878">
      <c r="G878" s="10" t="n"/>
      <c r="H878" s="10" t="n"/>
    </row>
    <row r="879">
      <c r="G879" s="10" t="n"/>
      <c r="H879" s="10" t="n"/>
    </row>
    <row r="880">
      <c r="G880" s="10" t="n"/>
      <c r="H880" s="10" t="n"/>
    </row>
    <row r="881">
      <c r="G881" s="10" t="n"/>
      <c r="H881" s="10" t="n"/>
    </row>
    <row r="882">
      <c r="G882" s="10" t="n"/>
      <c r="H882" s="10" t="n"/>
    </row>
    <row r="883">
      <c r="G883" s="10" t="n"/>
      <c r="H883" s="10" t="n"/>
    </row>
    <row r="884">
      <c r="G884" s="10" t="n"/>
      <c r="H884" s="10" t="n"/>
    </row>
    <row r="885">
      <c r="G885" s="10" t="n"/>
      <c r="H885" s="10" t="n"/>
    </row>
    <row r="886">
      <c r="G886" s="10" t="n"/>
      <c r="H886" s="10" t="n"/>
    </row>
    <row r="887">
      <c r="G887" s="10" t="n"/>
      <c r="H887" s="10" t="n"/>
    </row>
    <row r="888">
      <c r="G888" s="10" t="n"/>
      <c r="H888" s="10" t="n"/>
    </row>
    <row r="889">
      <c r="G889" s="10" t="n"/>
      <c r="H889" s="10" t="n"/>
    </row>
    <row r="890">
      <c r="G890" s="10" t="n"/>
      <c r="H890" s="10" t="n"/>
    </row>
    <row r="891">
      <c r="G891" s="10" t="n"/>
      <c r="H891" s="10" t="n"/>
    </row>
    <row r="892">
      <c r="G892" s="10" t="n"/>
      <c r="H892" s="10" t="n"/>
    </row>
    <row r="893">
      <c r="G893" s="10" t="n"/>
      <c r="H893" s="10" t="n"/>
    </row>
    <row r="894">
      <c r="G894" s="10" t="n"/>
      <c r="H894" s="10" t="n"/>
    </row>
    <row r="895">
      <c r="G895" s="10" t="n"/>
      <c r="H895" s="10" t="n"/>
    </row>
    <row r="896">
      <c r="G896" s="10" t="n"/>
      <c r="H896" s="10" t="n"/>
    </row>
    <row r="897">
      <c r="G897" s="10" t="n"/>
      <c r="H897" s="10" t="n"/>
    </row>
    <row r="898">
      <c r="G898" s="10" t="n"/>
      <c r="H898" s="10" t="n"/>
    </row>
    <row r="899">
      <c r="G899" s="10" t="n"/>
      <c r="H899" s="10" t="n"/>
    </row>
    <row r="900">
      <c r="G900" s="10" t="n"/>
      <c r="H900" s="10" t="n"/>
    </row>
    <row r="901">
      <c r="G901" s="10" t="n"/>
      <c r="H901" s="10" t="n"/>
    </row>
    <row r="902">
      <c r="G902" s="10" t="n"/>
      <c r="H902" s="10" t="n"/>
    </row>
    <row r="903">
      <c r="G903" s="10" t="n"/>
      <c r="H903" s="10" t="n"/>
    </row>
    <row r="904">
      <c r="G904" s="10" t="n"/>
      <c r="H904" s="10" t="n"/>
    </row>
    <row r="905">
      <c r="G905" s="10" t="n"/>
      <c r="H905" s="10" t="n"/>
    </row>
    <row r="906">
      <c r="G906" s="10" t="n"/>
      <c r="H906" s="10" t="n"/>
    </row>
    <row r="907">
      <c r="G907" s="10" t="n"/>
      <c r="H907" s="10" t="n"/>
    </row>
    <row r="908">
      <c r="G908" s="10" t="n"/>
      <c r="H908" s="10" t="n"/>
    </row>
    <row r="909">
      <c r="G909" s="10" t="n"/>
      <c r="H909" s="10" t="n"/>
    </row>
    <row r="910">
      <c r="G910" s="10" t="n"/>
      <c r="H910" s="10" t="n"/>
    </row>
    <row r="911">
      <c r="G911" s="10" t="n"/>
      <c r="H911" s="10" t="n"/>
    </row>
    <row r="912">
      <c r="G912" s="10" t="n"/>
      <c r="H912" s="10" t="n"/>
    </row>
    <row r="913">
      <c r="G913" s="10" t="n"/>
      <c r="H913" s="10" t="n"/>
    </row>
    <row r="914">
      <c r="G914" s="10" t="n"/>
      <c r="H914" s="10" t="n"/>
    </row>
    <row r="915">
      <c r="G915" s="10" t="n"/>
      <c r="H915" s="10" t="n"/>
    </row>
    <row r="916">
      <c r="G916" s="10" t="n"/>
      <c r="H916" s="10" t="n"/>
    </row>
    <row r="917">
      <c r="G917" s="10" t="n"/>
      <c r="H917" s="10" t="n"/>
    </row>
    <row r="918">
      <c r="G918" s="10" t="n"/>
      <c r="H918" s="10" t="n"/>
    </row>
    <row r="919">
      <c r="G919" s="10" t="n"/>
      <c r="H919" s="10" t="n"/>
    </row>
    <row r="920">
      <c r="G920" s="10" t="n"/>
      <c r="H920" s="10" t="n"/>
    </row>
    <row r="921">
      <c r="G921" s="10" t="n"/>
      <c r="H921" s="10" t="n"/>
    </row>
    <row r="922">
      <c r="G922" s="10" t="n"/>
      <c r="H922" s="10" t="n"/>
    </row>
    <row r="923">
      <c r="G923" s="10" t="n"/>
      <c r="H923" s="10" t="n"/>
    </row>
    <row r="924">
      <c r="G924" s="10" t="n"/>
      <c r="H924" s="10" t="n"/>
    </row>
    <row r="925">
      <c r="G925" s="10" t="n"/>
      <c r="H925" s="10" t="n"/>
    </row>
    <row r="926">
      <c r="G926" s="10" t="n"/>
      <c r="H926" s="10" t="n"/>
    </row>
    <row r="927">
      <c r="G927" s="10" t="n"/>
      <c r="H927" s="10" t="n"/>
    </row>
    <row r="928">
      <c r="G928" s="10" t="n"/>
      <c r="H928" s="10" t="n"/>
    </row>
    <row r="929">
      <c r="G929" s="10" t="n"/>
      <c r="H929" s="10" t="n"/>
    </row>
    <row r="930">
      <c r="G930" s="10" t="n"/>
      <c r="H930" s="10" t="n"/>
    </row>
    <row r="931">
      <c r="G931" s="10" t="n"/>
      <c r="H931" s="10" t="n"/>
    </row>
    <row r="932">
      <c r="G932" s="10" t="n"/>
      <c r="H932" s="10" t="n"/>
    </row>
    <row r="933">
      <c r="G933" s="10" t="n"/>
      <c r="H933" s="10" t="n"/>
    </row>
    <row r="934">
      <c r="G934" s="10" t="n"/>
      <c r="H934" s="10" t="n"/>
    </row>
    <row r="935">
      <c r="G935" s="10" t="n"/>
      <c r="H935" s="10" t="n"/>
    </row>
    <row r="936">
      <c r="G936" s="10" t="n"/>
      <c r="H936" s="10" t="n"/>
    </row>
    <row r="937">
      <c r="G937" s="10" t="n"/>
      <c r="H937" s="10" t="n"/>
    </row>
    <row r="938">
      <c r="G938" s="10" t="n"/>
      <c r="H938" s="10" t="n"/>
    </row>
    <row r="939">
      <c r="G939" s="10" t="n"/>
      <c r="H939" s="10" t="n"/>
    </row>
    <row r="940">
      <c r="G940" s="10" t="n"/>
      <c r="H940" s="10" t="n"/>
    </row>
    <row r="941">
      <c r="G941" s="10" t="n"/>
      <c r="H941" s="10" t="n"/>
    </row>
    <row r="942">
      <c r="G942" s="10" t="n"/>
      <c r="H942" s="10" t="n"/>
    </row>
    <row r="943">
      <c r="G943" s="10" t="n"/>
      <c r="H943" s="10" t="n"/>
    </row>
    <row r="944">
      <c r="G944" s="10" t="n"/>
      <c r="H944" s="10" t="n"/>
    </row>
    <row r="945">
      <c r="G945" s="10" t="n"/>
      <c r="H945" s="10" t="n"/>
    </row>
    <row r="946">
      <c r="G946" s="10" t="n"/>
      <c r="H946" s="10" t="n"/>
    </row>
    <row r="947">
      <c r="G947" s="10" t="n"/>
      <c r="H947" s="10" t="n"/>
    </row>
    <row r="948">
      <c r="G948" s="10" t="n"/>
      <c r="H948" s="10" t="n"/>
    </row>
    <row r="949">
      <c r="G949" s="10" t="n"/>
      <c r="H949" s="10" t="n"/>
    </row>
    <row r="950">
      <c r="G950" s="10" t="n"/>
      <c r="H950" s="10" t="n"/>
    </row>
    <row r="951">
      <c r="G951" s="10" t="n"/>
      <c r="H951" s="10" t="n"/>
    </row>
    <row r="952">
      <c r="G952" s="10" t="n"/>
      <c r="H952" s="10" t="n"/>
    </row>
    <row r="953">
      <c r="G953" s="10" t="n"/>
      <c r="H953" s="10" t="n"/>
    </row>
    <row r="954">
      <c r="G954" s="10" t="n"/>
      <c r="H954" s="10" t="n"/>
    </row>
    <row r="955">
      <c r="G955" s="10" t="n"/>
      <c r="H955" s="10" t="n"/>
    </row>
    <row r="956">
      <c r="G956" s="10" t="n"/>
      <c r="H956" s="10" t="n"/>
    </row>
    <row r="957">
      <c r="G957" s="10" t="n"/>
      <c r="H957" s="10" t="n"/>
    </row>
    <row r="958">
      <c r="G958" s="10" t="n"/>
      <c r="H958" s="10" t="n"/>
    </row>
    <row r="959">
      <c r="G959" s="10" t="n"/>
      <c r="H959" s="10" t="n"/>
    </row>
    <row r="960">
      <c r="G960" s="10" t="n"/>
      <c r="H960" s="10" t="n"/>
    </row>
    <row r="961">
      <c r="G961" s="10" t="n"/>
      <c r="H961" s="10" t="n"/>
    </row>
    <row r="962">
      <c r="G962" s="10" t="n"/>
      <c r="H962" s="10" t="n"/>
    </row>
    <row r="963">
      <c r="G963" s="10" t="n"/>
      <c r="H963" s="10" t="n"/>
    </row>
    <row r="964">
      <c r="G964" s="10" t="n"/>
      <c r="H964" s="10" t="n"/>
    </row>
    <row r="965">
      <c r="G965" s="10" t="n"/>
      <c r="H965" s="10" t="n"/>
    </row>
    <row r="966">
      <c r="G966" s="10" t="n"/>
      <c r="H966" s="10" t="n"/>
    </row>
    <row r="967">
      <c r="G967" s="10" t="n"/>
      <c r="H967" s="10" t="n"/>
    </row>
    <row r="968">
      <c r="G968" s="10" t="n"/>
      <c r="H968" s="10" t="n"/>
    </row>
    <row r="969">
      <c r="G969" s="10" t="n"/>
      <c r="H969" s="10" t="n"/>
    </row>
    <row r="970">
      <c r="G970" s="10" t="n"/>
      <c r="H970" s="10" t="n"/>
    </row>
    <row r="971">
      <c r="G971" s="10" t="n"/>
      <c r="H971" s="10" t="n"/>
    </row>
    <row r="972">
      <c r="G972" s="10" t="n"/>
      <c r="H972" s="10" t="n"/>
    </row>
    <row r="973">
      <c r="G973" s="10" t="n"/>
      <c r="H973" s="10" t="n"/>
    </row>
    <row r="974">
      <c r="G974" s="10" t="n"/>
      <c r="H974" s="10" t="n"/>
    </row>
    <row r="975">
      <c r="G975" s="10" t="n"/>
      <c r="H975" s="10" t="n"/>
    </row>
    <row r="976">
      <c r="G976" s="10" t="n"/>
      <c r="H976" s="10" t="n"/>
    </row>
    <row r="977">
      <c r="G977" s="10" t="n"/>
      <c r="H977" s="10" t="n"/>
    </row>
    <row r="978">
      <c r="G978" s="10" t="n"/>
      <c r="H978" s="10" t="n"/>
    </row>
    <row r="979">
      <c r="G979" s="10" t="n"/>
      <c r="H979" s="10" t="n"/>
    </row>
    <row r="980">
      <c r="G980" s="10" t="n"/>
      <c r="H980" s="10" t="n"/>
    </row>
    <row r="981">
      <c r="G981" s="10" t="n"/>
      <c r="H981" s="10" t="n"/>
    </row>
    <row r="982">
      <c r="G982" s="10" t="n"/>
      <c r="H982" s="10" t="n"/>
    </row>
    <row r="983">
      <c r="G983" s="10" t="n"/>
      <c r="H983" s="10" t="n"/>
    </row>
    <row r="984">
      <c r="G984" s="10" t="n"/>
      <c r="H984" s="10" t="n"/>
    </row>
    <row r="985">
      <c r="G985" s="10" t="n"/>
      <c r="H985" s="10" t="n"/>
    </row>
    <row r="986">
      <c r="G986" s="10" t="n"/>
      <c r="H986" s="10" t="n"/>
    </row>
    <row r="987">
      <c r="G987" s="10" t="n"/>
      <c r="H987" s="10" t="n"/>
    </row>
    <row r="988">
      <c r="G988" s="10" t="n"/>
      <c r="H988" s="10" t="n"/>
    </row>
    <row r="989">
      <c r="G989" s="10" t="n"/>
      <c r="H989" s="10" t="n"/>
    </row>
    <row r="990">
      <c r="G990" s="10" t="n"/>
      <c r="H990" s="10" t="n"/>
    </row>
    <row r="991">
      <c r="G991" s="10" t="n"/>
      <c r="H991" s="10" t="n"/>
    </row>
    <row r="992">
      <c r="G992" s="10" t="n"/>
      <c r="H992" s="10" t="n"/>
    </row>
    <row r="993">
      <c r="G993" s="10" t="n"/>
      <c r="H993" s="10" t="n"/>
    </row>
    <row r="994">
      <c r="G994" s="10" t="n"/>
      <c r="H994" s="10" t="n"/>
    </row>
    <row r="995">
      <c r="G995" s="10" t="n"/>
      <c r="H995" s="10" t="n"/>
    </row>
    <row r="996">
      <c r="G996" s="10" t="n"/>
      <c r="H996" s="10" t="n"/>
    </row>
    <row r="997">
      <c r="G997" s="10" t="n"/>
      <c r="H997" s="10" t="n"/>
    </row>
    <row r="998">
      <c r="G998" s="10" t="n"/>
      <c r="H998" s="10" t="n"/>
    </row>
    <row r="999">
      <c r="G999" s="10" t="n"/>
      <c r="H999" s="10" t="n"/>
    </row>
    <row r="1000">
      <c r="G1000" s="10" t="n"/>
      <c r="H1000" s="10" t="n"/>
    </row>
  </sheetData>
  <dataValidations count="1">
    <dataValidation sqref="I2:I1000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8" customWidth="1" min="5" max="5"/>
    <col width="14" customWidth="1" min="6" max="6"/>
    <col width="17" customWidth="1" min="7" max="7"/>
    <col width="17" customWidth="1" min="8" max="8"/>
    <col width="17" customWidth="1" min="9" max="9"/>
    <col width="14" customWidth="1" min="10" max="10"/>
    <col width="17" customWidth="1" min="11" max="11"/>
    <col width="15" customWidth="1" min="12" max="12"/>
    <col width="16" customWidth="1" min="13" max="13"/>
    <col width="14" customWidth="1" min="14" max="14"/>
  </cols>
  <sheetData>
    <row r="1">
      <c r="A1" s="11" t="inlineStr">
        <is>
          <t>ProductID</t>
        </is>
      </c>
      <c r="B1" s="11" t="inlineStr">
        <is>
          <t>ProductName</t>
        </is>
      </c>
      <c r="C1" s="11" t="inlineStr">
        <is>
          <t>Category</t>
        </is>
      </c>
      <c r="D1" s="11" t="inlineStr">
        <is>
          <t>Unit</t>
        </is>
      </c>
      <c r="E1" s="11" t="inlineStr">
        <is>
          <t>PurchasePrice</t>
        </is>
      </c>
      <c r="F1" s="11" t="inlineStr">
        <is>
          <t>SalePrice</t>
        </is>
      </c>
      <c r="G1" s="11" t="inlineStr">
        <is>
          <t>OpeningStock</t>
        </is>
      </c>
      <c r="H1" s="11" t="inlineStr">
        <is>
          <t>ReorderLevel</t>
        </is>
      </c>
      <c r="I1" s="11" t="inlineStr">
        <is>
          <t>PurchasedQty</t>
        </is>
      </c>
      <c r="J1" s="11" t="inlineStr">
        <is>
          <t>SoldQty</t>
        </is>
      </c>
      <c r="K1" s="11" t="inlineStr">
        <is>
          <t>CurrentStock</t>
        </is>
      </c>
      <c r="L1" s="11" t="inlineStr">
        <is>
          <t>StockValue</t>
        </is>
      </c>
      <c r="M1" s="11" t="inlineStr">
        <is>
          <t>StockStatus</t>
        </is>
      </c>
      <c r="N1" s="11" t="inlineStr">
        <is>
          <t>Status</t>
        </is>
      </c>
    </row>
    <row r="2">
      <c r="A2" t="inlineStr">
        <is>
          <t>P001</t>
        </is>
      </c>
      <c r="B2" t="inlineStr">
        <is>
          <t>Sample Product</t>
        </is>
      </c>
      <c r="C2" t="inlineStr">
        <is>
          <t>General</t>
        </is>
      </c>
      <c r="D2" t="inlineStr">
        <is>
          <t>Nos</t>
        </is>
      </c>
      <c r="E2" s="10" t="n">
        <v>100</v>
      </c>
      <c r="F2" s="10" t="n">
        <v>150</v>
      </c>
      <c r="G2" t="n">
        <v>100</v>
      </c>
      <c r="H2" t="n">
        <v>10</v>
      </c>
      <c r="I2">
        <f>IF(A2="","",SUMIFS(Purchases[Quantity],Purchases[ProductID],A2))</f>
        <v/>
      </c>
      <c r="J2">
        <f>IF(A2="","",SUMIFS(Sales[Quantity],Sales[ProductID],A2))</f>
        <v/>
      </c>
      <c r="K2">
        <f>IF(A2="","",N(G2)+N(I2)-N(J2))</f>
        <v/>
      </c>
      <c r="L2" s="10">
        <f>IF(K2="","",K2*N(F2))</f>
        <v/>
      </c>
      <c r="M2">
        <f>IF(K2="","",IF(K2&lt;=N(H2),"LOW","OK"))</f>
        <v/>
      </c>
      <c r="N2" t="inlineStr">
        <is>
          <t>Active</t>
        </is>
      </c>
    </row>
    <row r="3">
      <c r="E3" s="10" t="n"/>
      <c r="F3" s="10" t="n"/>
      <c r="I3">
        <f>IF(A3="","",SUMIFS(Purchases[Quantity],Purchases[ProductID],A3))</f>
        <v/>
      </c>
      <c r="J3">
        <f>IF(A3="","",SUMIFS(Sales[Quantity],Sales[ProductID],A3))</f>
        <v/>
      </c>
      <c r="K3">
        <f>IF(A3="","",N(G3)+N(I3)-N(J3))</f>
        <v/>
      </c>
      <c r="L3" s="10">
        <f>IF(K3="","",K3*N(F3))</f>
        <v/>
      </c>
      <c r="M3">
        <f>IF(K3="","",IF(K3&lt;=N(H3),"LOW","OK"))</f>
        <v/>
      </c>
    </row>
    <row r="4">
      <c r="E4" s="10" t="n"/>
      <c r="F4" s="10" t="n"/>
      <c r="I4">
        <f>IF(A4="","",SUMIFS(Purchases[Quantity],Purchases[ProductID],A4))</f>
        <v/>
      </c>
      <c r="J4">
        <f>IF(A4="","",SUMIFS(Sales[Quantity],Sales[ProductID],A4))</f>
        <v/>
      </c>
      <c r="K4">
        <f>IF(A4="","",N(G4)+N(I4)-N(J4))</f>
        <v/>
      </c>
      <c r="L4" s="10">
        <f>IF(K4="","",K4*N(F4))</f>
        <v/>
      </c>
      <c r="M4">
        <f>IF(K4="","",IF(K4&lt;=N(H4),"LOW","OK"))</f>
        <v/>
      </c>
    </row>
    <row r="5">
      <c r="E5" s="10" t="n"/>
      <c r="F5" s="10" t="n"/>
      <c r="I5">
        <f>IF(A5="","",SUMIFS(Purchases[Quantity],Purchases[ProductID],A5))</f>
        <v/>
      </c>
      <c r="J5">
        <f>IF(A5="","",SUMIFS(Sales[Quantity],Sales[ProductID],A5))</f>
        <v/>
      </c>
      <c r="K5">
        <f>IF(A5="","",N(G5)+N(I5)-N(J5))</f>
        <v/>
      </c>
      <c r="L5" s="10">
        <f>IF(K5="","",K5*N(F5))</f>
        <v/>
      </c>
      <c r="M5">
        <f>IF(K5="","",IF(K5&lt;=N(H5),"LOW","OK"))</f>
        <v/>
      </c>
    </row>
    <row r="6">
      <c r="E6" s="10" t="n"/>
      <c r="F6" s="10" t="n"/>
      <c r="I6">
        <f>IF(A6="","",SUMIFS(Purchases[Quantity],Purchases[ProductID],A6))</f>
        <v/>
      </c>
      <c r="J6">
        <f>IF(A6="","",SUMIFS(Sales[Quantity],Sales[ProductID],A6))</f>
        <v/>
      </c>
      <c r="K6">
        <f>IF(A6="","",N(G6)+N(I6)-N(J6))</f>
        <v/>
      </c>
      <c r="L6" s="10">
        <f>IF(K6="","",K6*N(F6))</f>
        <v/>
      </c>
      <c r="M6">
        <f>IF(K6="","",IF(K6&lt;=N(H6),"LOW","OK"))</f>
        <v/>
      </c>
    </row>
    <row r="7">
      <c r="E7" s="10" t="n"/>
      <c r="F7" s="10" t="n"/>
      <c r="I7">
        <f>IF(A7="","",SUMIFS(Purchases[Quantity],Purchases[ProductID],A7))</f>
        <v/>
      </c>
      <c r="J7">
        <f>IF(A7="","",SUMIFS(Sales[Quantity],Sales[ProductID],A7))</f>
        <v/>
      </c>
      <c r="K7">
        <f>IF(A7="","",N(G7)+N(I7)-N(J7))</f>
        <v/>
      </c>
      <c r="L7" s="10">
        <f>IF(K7="","",K7*N(F7))</f>
        <v/>
      </c>
      <c r="M7">
        <f>IF(K7="","",IF(K7&lt;=N(H7),"LOW","OK"))</f>
        <v/>
      </c>
    </row>
    <row r="8">
      <c r="E8" s="10" t="n"/>
      <c r="F8" s="10" t="n"/>
      <c r="I8">
        <f>IF(A8="","",SUMIFS(Purchases[Quantity],Purchases[ProductID],A8))</f>
        <v/>
      </c>
      <c r="J8">
        <f>IF(A8="","",SUMIFS(Sales[Quantity],Sales[ProductID],A8))</f>
        <v/>
      </c>
      <c r="K8">
        <f>IF(A8="","",N(G8)+N(I8)-N(J8))</f>
        <v/>
      </c>
      <c r="L8" s="10">
        <f>IF(K8="","",K8*N(F8))</f>
        <v/>
      </c>
      <c r="M8">
        <f>IF(K8="","",IF(K8&lt;=N(H8),"LOW","OK"))</f>
        <v/>
      </c>
    </row>
    <row r="9">
      <c r="E9" s="10" t="n"/>
      <c r="F9" s="10" t="n"/>
      <c r="I9">
        <f>IF(A9="","",SUMIFS(Purchases[Quantity],Purchases[ProductID],A9))</f>
        <v/>
      </c>
      <c r="J9">
        <f>IF(A9="","",SUMIFS(Sales[Quantity],Sales[ProductID],A9))</f>
        <v/>
      </c>
      <c r="K9">
        <f>IF(A9="","",N(G9)+N(I9)-N(J9))</f>
        <v/>
      </c>
      <c r="L9" s="10">
        <f>IF(K9="","",K9*N(F9))</f>
        <v/>
      </c>
      <c r="M9">
        <f>IF(K9="","",IF(K9&lt;=N(H9),"LOW","OK"))</f>
        <v/>
      </c>
    </row>
    <row r="10">
      <c r="E10" s="10" t="n"/>
      <c r="F10" s="10" t="n"/>
      <c r="I10">
        <f>IF(A10="","",SUMIFS(Purchases[Quantity],Purchases[ProductID],A10))</f>
        <v/>
      </c>
      <c r="J10">
        <f>IF(A10="","",SUMIFS(Sales[Quantity],Sales[ProductID],A10))</f>
        <v/>
      </c>
      <c r="K10">
        <f>IF(A10="","",N(G10)+N(I10)-N(J10))</f>
        <v/>
      </c>
      <c r="L10" s="10">
        <f>IF(K10="","",K10*N(F10))</f>
        <v/>
      </c>
      <c r="M10">
        <f>IF(K10="","",IF(K10&lt;=N(H10),"LOW","OK"))</f>
        <v/>
      </c>
    </row>
    <row r="11">
      <c r="E11" s="10" t="n"/>
      <c r="F11" s="10" t="n"/>
      <c r="I11">
        <f>IF(A11="","",SUMIFS(Purchases[Quantity],Purchases[ProductID],A11))</f>
        <v/>
      </c>
      <c r="J11">
        <f>IF(A11="","",SUMIFS(Sales[Quantity],Sales[ProductID],A11))</f>
        <v/>
      </c>
      <c r="K11">
        <f>IF(A11="","",N(G11)+N(I11)-N(J11))</f>
        <v/>
      </c>
      <c r="L11" s="10">
        <f>IF(K11="","",K11*N(F11))</f>
        <v/>
      </c>
      <c r="M11">
        <f>IF(K11="","",IF(K11&lt;=N(H11),"LOW","OK"))</f>
        <v/>
      </c>
    </row>
    <row r="12">
      <c r="E12" s="10" t="n"/>
      <c r="F12" s="10" t="n"/>
      <c r="I12">
        <f>IF(A12="","",SUMIFS(Purchases[Quantity],Purchases[ProductID],A12))</f>
        <v/>
      </c>
      <c r="J12">
        <f>IF(A12="","",SUMIFS(Sales[Quantity],Sales[ProductID],A12))</f>
        <v/>
      </c>
      <c r="K12">
        <f>IF(A12="","",N(G12)+N(I12)-N(J12))</f>
        <v/>
      </c>
      <c r="L12" s="10">
        <f>IF(K12="","",K12*N(F12))</f>
        <v/>
      </c>
      <c r="M12">
        <f>IF(K12="","",IF(K12&lt;=N(H12),"LOW","OK"))</f>
        <v/>
      </c>
    </row>
    <row r="13">
      <c r="E13" s="10" t="n"/>
      <c r="F13" s="10" t="n"/>
      <c r="I13">
        <f>IF(A13="","",SUMIFS(Purchases[Quantity],Purchases[ProductID],A13))</f>
        <v/>
      </c>
      <c r="J13">
        <f>IF(A13="","",SUMIFS(Sales[Quantity],Sales[ProductID],A13))</f>
        <v/>
      </c>
      <c r="K13">
        <f>IF(A13="","",N(G13)+N(I13)-N(J13))</f>
        <v/>
      </c>
      <c r="L13" s="10">
        <f>IF(K13="","",K13*N(F13))</f>
        <v/>
      </c>
      <c r="M13">
        <f>IF(K13="","",IF(K13&lt;=N(H13),"LOW","OK"))</f>
        <v/>
      </c>
    </row>
    <row r="14">
      <c r="E14" s="10" t="n"/>
      <c r="F14" s="10" t="n"/>
      <c r="I14">
        <f>IF(A14="","",SUMIFS(Purchases[Quantity],Purchases[ProductID],A14))</f>
        <v/>
      </c>
      <c r="J14">
        <f>IF(A14="","",SUMIFS(Sales[Quantity],Sales[ProductID],A14))</f>
        <v/>
      </c>
      <c r="K14">
        <f>IF(A14="","",N(G14)+N(I14)-N(J14))</f>
        <v/>
      </c>
      <c r="L14" s="10">
        <f>IF(K14="","",K14*N(F14))</f>
        <v/>
      </c>
      <c r="M14">
        <f>IF(K14="","",IF(K14&lt;=N(H14),"LOW","OK"))</f>
        <v/>
      </c>
    </row>
    <row r="15">
      <c r="E15" s="10" t="n"/>
      <c r="F15" s="10" t="n"/>
      <c r="I15">
        <f>IF(A15="","",SUMIFS(Purchases[Quantity],Purchases[ProductID],A15))</f>
        <v/>
      </c>
      <c r="J15">
        <f>IF(A15="","",SUMIFS(Sales[Quantity],Sales[ProductID],A15))</f>
        <v/>
      </c>
      <c r="K15">
        <f>IF(A15="","",N(G15)+N(I15)-N(J15))</f>
        <v/>
      </c>
      <c r="L15" s="10">
        <f>IF(K15="","",K15*N(F15))</f>
        <v/>
      </c>
      <c r="M15">
        <f>IF(K15="","",IF(K15&lt;=N(H15),"LOW","OK"))</f>
        <v/>
      </c>
    </row>
    <row r="16">
      <c r="E16" s="10" t="n"/>
      <c r="F16" s="10" t="n"/>
      <c r="I16">
        <f>IF(A16="","",SUMIFS(Purchases[Quantity],Purchases[ProductID],A16))</f>
        <v/>
      </c>
      <c r="J16">
        <f>IF(A16="","",SUMIFS(Sales[Quantity],Sales[ProductID],A16))</f>
        <v/>
      </c>
      <c r="K16">
        <f>IF(A16="","",N(G16)+N(I16)-N(J16))</f>
        <v/>
      </c>
      <c r="L16" s="10">
        <f>IF(K16="","",K16*N(F16))</f>
        <v/>
      </c>
      <c r="M16">
        <f>IF(K16="","",IF(K16&lt;=N(H16),"LOW","OK"))</f>
        <v/>
      </c>
    </row>
    <row r="17">
      <c r="E17" s="10" t="n"/>
      <c r="F17" s="10" t="n"/>
      <c r="I17">
        <f>IF(A17="","",SUMIFS(Purchases[Quantity],Purchases[ProductID],A17))</f>
        <v/>
      </c>
      <c r="J17">
        <f>IF(A17="","",SUMIFS(Sales[Quantity],Sales[ProductID],A17))</f>
        <v/>
      </c>
      <c r="K17">
        <f>IF(A17="","",N(G17)+N(I17)-N(J17))</f>
        <v/>
      </c>
      <c r="L17" s="10">
        <f>IF(K17="","",K17*N(F17))</f>
        <v/>
      </c>
      <c r="M17">
        <f>IF(K17="","",IF(K17&lt;=N(H17),"LOW","OK"))</f>
        <v/>
      </c>
    </row>
    <row r="18">
      <c r="E18" s="10" t="n"/>
      <c r="F18" s="10" t="n"/>
      <c r="I18">
        <f>IF(A18="","",SUMIFS(Purchases[Quantity],Purchases[ProductID],A18))</f>
        <v/>
      </c>
      <c r="J18">
        <f>IF(A18="","",SUMIFS(Sales[Quantity],Sales[ProductID],A18))</f>
        <v/>
      </c>
      <c r="K18">
        <f>IF(A18="","",N(G18)+N(I18)-N(J18))</f>
        <v/>
      </c>
      <c r="L18" s="10">
        <f>IF(K18="","",K18*N(F18))</f>
        <v/>
      </c>
      <c r="M18">
        <f>IF(K18="","",IF(K18&lt;=N(H18),"LOW","OK"))</f>
        <v/>
      </c>
    </row>
    <row r="19">
      <c r="E19" s="10" t="n"/>
      <c r="F19" s="10" t="n"/>
      <c r="I19">
        <f>IF(A19="","",SUMIFS(Purchases[Quantity],Purchases[ProductID],A19))</f>
        <v/>
      </c>
      <c r="J19">
        <f>IF(A19="","",SUMIFS(Sales[Quantity],Sales[ProductID],A19))</f>
        <v/>
      </c>
      <c r="K19">
        <f>IF(A19="","",N(G19)+N(I19)-N(J19))</f>
        <v/>
      </c>
      <c r="L19" s="10">
        <f>IF(K19="","",K19*N(F19))</f>
        <v/>
      </c>
      <c r="M19">
        <f>IF(K19="","",IF(K19&lt;=N(H19),"LOW","OK"))</f>
        <v/>
      </c>
    </row>
    <row r="20">
      <c r="E20" s="10" t="n"/>
      <c r="F20" s="10" t="n"/>
      <c r="I20">
        <f>IF(A20="","",SUMIFS(Purchases[Quantity],Purchases[ProductID],A20))</f>
        <v/>
      </c>
      <c r="J20">
        <f>IF(A20="","",SUMIFS(Sales[Quantity],Sales[ProductID],A20))</f>
        <v/>
      </c>
      <c r="K20">
        <f>IF(A20="","",N(G20)+N(I20)-N(J20))</f>
        <v/>
      </c>
      <c r="L20" s="10">
        <f>IF(K20="","",K20*N(F20))</f>
        <v/>
      </c>
      <c r="M20">
        <f>IF(K20="","",IF(K20&lt;=N(H20),"LOW","OK"))</f>
        <v/>
      </c>
    </row>
    <row r="21">
      <c r="E21" s="10" t="n"/>
      <c r="F21" s="10" t="n"/>
      <c r="I21">
        <f>IF(A21="","",SUMIFS(Purchases[Quantity],Purchases[ProductID],A21))</f>
        <v/>
      </c>
      <c r="J21">
        <f>IF(A21="","",SUMIFS(Sales[Quantity],Sales[ProductID],A21))</f>
        <v/>
      </c>
      <c r="K21">
        <f>IF(A21="","",N(G21)+N(I21)-N(J21))</f>
        <v/>
      </c>
      <c r="L21" s="10">
        <f>IF(K21="","",K21*N(F21))</f>
        <v/>
      </c>
      <c r="M21">
        <f>IF(K21="","",IF(K21&lt;=N(H21),"LOW","OK"))</f>
        <v/>
      </c>
    </row>
    <row r="22">
      <c r="E22" s="10" t="n"/>
      <c r="F22" s="10" t="n"/>
      <c r="I22">
        <f>IF(A22="","",SUMIFS(Purchases[Quantity],Purchases[ProductID],A22))</f>
        <v/>
      </c>
      <c r="J22">
        <f>IF(A22="","",SUMIFS(Sales[Quantity],Sales[ProductID],A22))</f>
        <v/>
      </c>
      <c r="K22">
        <f>IF(A22="","",N(G22)+N(I22)-N(J22))</f>
        <v/>
      </c>
      <c r="L22" s="10">
        <f>IF(K22="","",K22*N(F22))</f>
        <v/>
      </c>
      <c r="M22">
        <f>IF(K22="","",IF(K22&lt;=N(H22),"LOW","OK"))</f>
        <v/>
      </c>
    </row>
    <row r="23">
      <c r="E23" s="10" t="n"/>
      <c r="F23" s="10" t="n"/>
      <c r="I23">
        <f>IF(A23="","",SUMIFS(Purchases[Quantity],Purchases[ProductID],A23))</f>
        <v/>
      </c>
      <c r="J23">
        <f>IF(A23="","",SUMIFS(Sales[Quantity],Sales[ProductID],A23))</f>
        <v/>
      </c>
      <c r="K23">
        <f>IF(A23="","",N(G23)+N(I23)-N(J23))</f>
        <v/>
      </c>
      <c r="L23" s="10">
        <f>IF(K23="","",K23*N(F23))</f>
        <v/>
      </c>
      <c r="M23">
        <f>IF(K23="","",IF(K23&lt;=N(H23),"LOW","OK"))</f>
        <v/>
      </c>
    </row>
    <row r="24">
      <c r="E24" s="10" t="n"/>
      <c r="F24" s="10" t="n"/>
      <c r="I24">
        <f>IF(A24="","",SUMIFS(Purchases[Quantity],Purchases[ProductID],A24))</f>
        <v/>
      </c>
      <c r="J24">
        <f>IF(A24="","",SUMIFS(Sales[Quantity],Sales[ProductID],A24))</f>
        <v/>
      </c>
      <c r="K24">
        <f>IF(A24="","",N(G24)+N(I24)-N(J24))</f>
        <v/>
      </c>
      <c r="L24" s="10">
        <f>IF(K24="","",K24*N(F24))</f>
        <v/>
      </c>
      <c r="M24">
        <f>IF(K24="","",IF(K24&lt;=N(H24),"LOW","OK"))</f>
        <v/>
      </c>
    </row>
    <row r="25">
      <c r="E25" s="10" t="n"/>
      <c r="F25" s="10" t="n"/>
      <c r="I25">
        <f>IF(A25="","",SUMIFS(Purchases[Quantity],Purchases[ProductID],A25))</f>
        <v/>
      </c>
      <c r="J25">
        <f>IF(A25="","",SUMIFS(Sales[Quantity],Sales[ProductID],A25))</f>
        <v/>
      </c>
      <c r="K25">
        <f>IF(A25="","",N(G25)+N(I25)-N(J25))</f>
        <v/>
      </c>
      <c r="L25" s="10">
        <f>IF(K25="","",K25*N(F25))</f>
        <v/>
      </c>
      <c r="M25">
        <f>IF(K25="","",IF(K25&lt;=N(H25),"LOW","OK"))</f>
        <v/>
      </c>
    </row>
    <row r="26">
      <c r="E26" s="10" t="n"/>
      <c r="F26" s="10" t="n"/>
      <c r="I26">
        <f>IF(A26="","",SUMIFS(Purchases[Quantity],Purchases[ProductID],A26))</f>
        <v/>
      </c>
      <c r="J26">
        <f>IF(A26="","",SUMIFS(Sales[Quantity],Sales[ProductID],A26))</f>
        <v/>
      </c>
      <c r="K26">
        <f>IF(A26="","",N(G26)+N(I26)-N(J26))</f>
        <v/>
      </c>
      <c r="L26" s="10">
        <f>IF(K26="","",K26*N(F26))</f>
        <v/>
      </c>
      <c r="M26">
        <f>IF(K26="","",IF(K26&lt;=N(H26),"LOW","OK"))</f>
        <v/>
      </c>
    </row>
    <row r="27">
      <c r="E27" s="10" t="n"/>
      <c r="F27" s="10" t="n"/>
      <c r="I27">
        <f>IF(A27="","",SUMIFS(Purchases[Quantity],Purchases[ProductID],A27))</f>
        <v/>
      </c>
      <c r="J27">
        <f>IF(A27="","",SUMIFS(Sales[Quantity],Sales[ProductID],A27))</f>
        <v/>
      </c>
      <c r="K27">
        <f>IF(A27="","",N(G27)+N(I27)-N(J27))</f>
        <v/>
      </c>
      <c r="L27" s="10">
        <f>IF(K27="","",K27*N(F27))</f>
        <v/>
      </c>
      <c r="M27">
        <f>IF(K27="","",IF(K27&lt;=N(H27),"LOW","OK"))</f>
        <v/>
      </c>
    </row>
    <row r="28">
      <c r="E28" s="10" t="n"/>
      <c r="F28" s="10" t="n"/>
      <c r="I28">
        <f>IF(A28="","",SUMIFS(Purchases[Quantity],Purchases[ProductID],A28))</f>
        <v/>
      </c>
      <c r="J28">
        <f>IF(A28="","",SUMIFS(Sales[Quantity],Sales[ProductID],A28))</f>
        <v/>
      </c>
      <c r="K28">
        <f>IF(A28="","",N(G28)+N(I28)-N(J28))</f>
        <v/>
      </c>
      <c r="L28" s="10">
        <f>IF(K28="","",K28*N(F28))</f>
        <v/>
      </c>
      <c r="M28">
        <f>IF(K28="","",IF(K28&lt;=N(H28),"LOW","OK"))</f>
        <v/>
      </c>
    </row>
    <row r="29">
      <c r="E29" s="10" t="n"/>
      <c r="F29" s="10" t="n"/>
      <c r="I29">
        <f>IF(A29="","",SUMIFS(Purchases[Quantity],Purchases[ProductID],A29))</f>
        <v/>
      </c>
      <c r="J29">
        <f>IF(A29="","",SUMIFS(Sales[Quantity],Sales[ProductID],A29))</f>
        <v/>
      </c>
      <c r="K29">
        <f>IF(A29="","",N(G29)+N(I29)-N(J29))</f>
        <v/>
      </c>
      <c r="L29" s="10">
        <f>IF(K29="","",K29*N(F29))</f>
        <v/>
      </c>
      <c r="M29">
        <f>IF(K29="","",IF(K29&lt;=N(H29),"LOW","OK"))</f>
        <v/>
      </c>
    </row>
    <row r="30">
      <c r="E30" s="10" t="n"/>
      <c r="F30" s="10" t="n"/>
      <c r="I30">
        <f>IF(A30="","",SUMIFS(Purchases[Quantity],Purchases[ProductID],A30))</f>
        <v/>
      </c>
      <c r="J30">
        <f>IF(A30="","",SUMIFS(Sales[Quantity],Sales[ProductID],A30))</f>
        <v/>
      </c>
      <c r="K30">
        <f>IF(A30="","",N(G30)+N(I30)-N(J30))</f>
        <v/>
      </c>
      <c r="L30" s="10">
        <f>IF(K30="","",K30*N(F30))</f>
        <v/>
      </c>
      <c r="M30">
        <f>IF(K30="","",IF(K30&lt;=N(H30),"LOW","OK"))</f>
        <v/>
      </c>
    </row>
    <row r="31">
      <c r="E31" s="10" t="n"/>
      <c r="F31" s="10" t="n"/>
      <c r="I31">
        <f>IF(A31="","",SUMIFS(Purchases[Quantity],Purchases[ProductID],A31))</f>
        <v/>
      </c>
      <c r="J31">
        <f>IF(A31="","",SUMIFS(Sales[Quantity],Sales[ProductID],A31))</f>
        <v/>
      </c>
      <c r="K31">
        <f>IF(A31="","",N(G31)+N(I31)-N(J31))</f>
        <v/>
      </c>
      <c r="L31" s="10">
        <f>IF(K31="","",K31*N(F31))</f>
        <v/>
      </c>
      <c r="M31">
        <f>IF(K31="","",IF(K31&lt;=N(H31),"LOW","OK"))</f>
        <v/>
      </c>
    </row>
    <row r="32">
      <c r="E32" s="10" t="n"/>
      <c r="F32" s="10" t="n"/>
      <c r="I32">
        <f>IF(A32="","",SUMIFS(Purchases[Quantity],Purchases[ProductID],A32))</f>
        <v/>
      </c>
      <c r="J32">
        <f>IF(A32="","",SUMIFS(Sales[Quantity],Sales[ProductID],A32))</f>
        <v/>
      </c>
      <c r="K32">
        <f>IF(A32="","",N(G32)+N(I32)-N(J32))</f>
        <v/>
      </c>
      <c r="L32" s="10">
        <f>IF(K32="","",K32*N(F32))</f>
        <v/>
      </c>
      <c r="M32">
        <f>IF(K32="","",IF(K32&lt;=N(H32),"LOW","OK"))</f>
        <v/>
      </c>
    </row>
    <row r="33">
      <c r="E33" s="10" t="n"/>
      <c r="F33" s="10" t="n"/>
      <c r="I33">
        <f>IF(A33="","",SUMIFS(Purchases[Quantity],Purchases[ProductID],A33))</f>
        <v/>
      </c>
      <c r="J33">
        <f>IF(A33="","",SUMIFS(Sales[Quantity],Sales[ProductID],A33))</f>
        <v/>
      </c>
      <c r="K33">
        <f>IF(A33="","",N(G33)+N(I33)-N(J33))</f>
        <v/>
      </c>
      <c r="L33" s="10">
        <f>IF(K33="","",K33*N(F33))</f>
        <v/>
      </c>
      <c r="M33">
        <f>IF(K33="","",IF(K33&lt;=N(H33),"LOW","OK"))</f>
        <v/>
      </c>
    </row>
    <row r="34">
      <c r="E34" s="10" t="n"/>
      <c r="F34" s="10" t="n"/>
      <c r="I34">
        <f>IF(A34="","",SUMIFS(Purchases[Quantity],Purchases[ProductID],A34))</f>
        <v/>
      </c>
      <c r="J34">
        <f>IF(A34="","",SUMIFS(Sales[Quantity],Sales[ProductID],A34))</f>
        <v/>
      </c>
      <c r="K34">
        <f>IF(A34="","",N(G34)+N(I34)-N(J34))</f>
        <v/>
      </c>
      <c r="L34" s="10">
        <f>IF(K34="","",K34*N(F34))</f>
        <v/>
      </c>
      <c r="M34">
        <f>IF(K34="","",IF(K34&lt;=N(H34),"LOW","OK"))</f>
        <v/>
      </c>
    </row>
    <row r="35">
      <c r="E35" s="10" t="n"/>
      <c r="F35" s="10" t="n"/>
      <c r="I35">
        <f>IF(A35="","",SUMIFS(Purchases[Quantity],Purchases[ProductID],A35))</f>
        <v/>
      </c>
      <c r="J35">
        <f>IF(A35="","",SUMIFS(Sales[Quantity],Sales[ProductID],A35))</f>
        <v/>
      </c>
      <c r="K35">
        <f>IF(A35="","",N(G35)+N(I35)-N(J35))</f>
        <v/>
      </c>
      <c r="L35" s="10">
        <f>IF(K35="","",K35*N(F35))</f>
        <v/>
      </c>
      <c r="M35">
        <f>IF(K35="","",IF(K35&lt;=N(H35),"LOW","OK"))</f>
        <v/>
      </c>
    </row>
    <row r="36">
      <c r="E36" s="10" t="n"/>
      <c r="F36" s="10" t="n"/>
      <c r="I36">
        <f>IF(A36="","",SUMIFS(Purchases[Quantity],Purchases[ProductID],A36))</f>
        <v/>
      </c>
      <c r="J36">
        <f>IF(A36="","",SUMIFS(Sales[Quantity],Sales[ProductID],A36))</f>
        <v/>
      </c>
      <c r="K36">
        <f>IF(A36="","",N(G36)+N(I36)-N(J36))</f>
        <v/>
      </c>
      <c r="L36" s="10">
        <f>IF(K36="","",K36*N(F36))</f>
        <v/>
      </c>
      <c r="M36">
        <f>IF(K36="","",IF(K36&lt;=N(H36),"LOW","OK"))</f>
        <v/>
      </c>
    </row>
    <row r="37">
      <c r="E37" s="10" t="n"/>
      <c r="F37" s="10" t="n"/>
      <c r="I37">
        <f>IF(A37="","",SUMIFS(Purchases[Quantity],Purchases[ProductID],A37))</f>
        <v/>
      </c>
      <c r="J37">
        <f>IF(A37="","",SUMIFS(Sales[Quantity],Sales[ProductID],A37))</f>
        <v/>
      </c>
      <c r="K37">
        <f>IF(A37="","",N(G37)+N(I37)-N(J37))</f>
        <v/>
      </c>
      <c r="L37" s="10">
        <f>IF(K37="","",K37*N(F37))</f>
        <v/>
      </c>
      <c r="M37">
        <f>IF(K37="","",IF(K37&lt;=N(H37),"LOW","OK"))</f>
        <v/>
      </c>
    </row>
    <row r="38">
      <c r="E38" s="10" t="n"/>
      <c r="F38" s="10" t="n"/>
      <c r="I38">
        <f>IF(A38="","",SUMIFS(Purchases[Quantity],Purchases[ProductID],A38))</f>
        <v/>
      </c>
      <c r="J38">
        <f>IF(A38="","",SUMIFS(Sales[Quantity],Sales[ProductID],A38))</f>
        <v/>
      </c>
      <c r="K38">
        <f>IF(A38="","",N(G38)+N(I38)-N(J38))</f>
        <v/>
      </c>
      <c r="L38" s="10">
        <f>IF(K38="","",K38*N(F38))</f>
        <v/>
      </c>
      <c r="M38">
        <f>IF(K38="","",IF(K38&lt;=N(H38),"LOW","OK"))</f>
        <v/>
      </c>
    </row>
    <row r="39">
      <c r="E39" s="10" t="n"/>
      <c r="F39" s="10" t="n"/>
      <c r="I39">
        <f>IF(A39="","",SUMIFS(Purchases[Quantity],Purchases[ProductID],A39))</f>
        <v/>
      </c>
      <c r="J39">
        <f>IF(A39="","",SUMIFS(Sales[Quantity],Sales[ProductID],A39))</f>
        <v/>
      </c>
      <c r="K39">
        <f>IF(A39="","",N(G39)+N(I39)-N(J39))</f>
        <v/>
      </c>
      <c r="L39" s="10">
        <f>IF(K39="","",K39*N(F39))</f>
        <v/>
      </c>
      <c r="M39">
        <f>IF(K39="","",IF(K39&lt;=N(H39),"LOW","OK"))</f>
        <v/>
      </c>
    </row>
    <row r="40">
      <c r="E40" s="10" t="n"/>
      <c r="F40" s="10" t="n"/>
      <c r="I40">
        <f>IF(A40="","",SUMIFS(Purchases[Quantity],Purchases[ProductID],A40))</f>
        <v/>
      </c>
      <c r="J40">
        <f>IF(A40="","",SUMIFS(Sales[Quantity],Sales[ProductID],A40))</f>
        <v/>
      </c>
      <c r="K40">
        <f>IF(A40="","",N(G40)+N(I40)-N(J40))</f>
        <v/>
      </c>
      <c r="L40" s="10">
        <f>IF(K40="","",K40*N(F40))</f>
        <v/>
      </c>
      <c r="M40">
        <f>IF(K40="","",IF(K40&lt;=N(H40),"LOW","OK"))</f>
        <v/>
      </c>
    </row>
    <row r="41">
      <c r="E41" s="10" t="n"/>
      <c r="F41" s="10" t="n"/>
      <c r="I41">
        <f>IF(A41="","",SUMIFS(Purchases[Quantity],Purchases[ProductID],A41))</f>
        <v/>
      </c>
      <c r="J41">
        <f>IF(A41="","",SUMIFS(Sales[Quantity],Sales[ProductID],A41))</f>
        <v/>
      </c>
      <c r="K41">
        <f>IF(A41="","",N(G41)+N(I41)-N(J41))</f>
        <v/>
      </c>
      <c r="L41" s="10">
        <f>IF(K41="","",K41*N(F41))</f>
        <v/>
      </c>
      <c r="M41">
        <f>IF(K41="","",IF(K41&lt;=N(H41),"LOW","OK"))</f>
        <v/>
      </c>
    </row>
    <row r="42">
      <c r="E42" s="10" t="n"/>
      <c r="F42" s="10" t="n"/>
      <c r="I42">
        <f>IF(A42="","",SUMIFS(Purchases[Quantity],Purchases[ProductID],A42))</f>
        <v/>
      </c>
      <c r="J42">
        <f>IF(A42="","",SUMIFS(Sales[Quantity],Sales[ProductID],A42))</f>
        <v/>
      </c>
      <c r="K42">
        <f>IF(A42="","",N(G42)+N(I42)-N(J42))</f>
        <v/>
      </c>
      <c r="L42" s="10">
        <f>IF(K42="","",K42*N(F42))</f>
        <v/>
      </c>
      <c r="M42">
        <f>IF(K42="","",IF(K42&lt;=N(H42),"LOW","OK"))</f>
        <v/>
      </c>
    </row>
    <row r="43">
      <c r="E43" s="10" t="n"/>
      <c r="F43" s="10" t="n"/>
      <c r="I43">
        <f>IF(A43="","",SUMIFS(Purchases[Quantity],Purchases[ProductID],A43))</f>
        <v/>
      </c>
      <c r="J43">
        <f>IF(A43="","",SUMIFS(Sales[Quantity],Sales[ProductID],A43))</f>
        <v/>
      </c>
      <c r="K43">
        <f>IF(A43="","",N(G43)+N(I43)-N(J43))</f>
        <v/>
      </c>
      <c r="L43" s="10">
        <f>IF(K43="","",K43*N(F43))</f>
        <v/>
      </c>
      <c r="M43">
        <f>IF(K43="","",IF(K43&lt;=N(H43),"LOW","OK"))</f>
        <v/>
      </c>
    </row>
    <row r="44">
      <c r="E44" s="10" t="n"/>
      <c r="F44" s="10" t="n"/>
      <c r="I44">
        <f>IF(A44="","",SUMIFS(Purchases[Quantity],Purchases[ProductID],A44))</f>
        <v/>
      </c>
      <c r="J44">
        <f>IF(A44="","",SUMIFS(Sales[Quantity],Sales[ProductID],A44))</f>
        <v/>
      </c>
      <c r="K44">
        <f>IF(A44="","",N(G44)+N(I44)-N(J44))</f>
        <v/>
      </c>
      <c r="L44" s="10">
        <f>IF(K44="","",K44*N(F44))</f>
        <v/>
      </c>
      <c r="M44">
        <f>IF(K44="","",IF(K44&lt;=N(H44),"LOW","OK"))</f>
        <v/>
      </c>
    </row>
    <row r="45">
      <c r="E45" s="10" t="n"/>
      <c r="F45" s="10" t="n"/>
      <c r="I45">
        <f>IF(A45="","",SUMIFS(Purchases[Quantity],Purchases[ProductID],A45))</f>
        <v/>
      </c>
      <c r="J45">
        <f>IF(A45="","",SUMIFS(Sales[Quantity],Sales[ProductID],A45))</f>
        <v/>
      </c>
      <c r="K45">
        <f>IF(A45="","",N(G45)+N(I45)-N(J45))</f>
        <v/>
      </c>
      <c r="L45" s="10">
        <f>IF(K45="","",K45*N(F45))</f>
        <v/>
      </c>
      <c r="M45">
        <f>IF(K45="","",IF(K45&lt;=N(H45),"LOW","OK"))</f>
        <v/>
      </c>
    </row>
    <row r="46">
      <c r="E46" s="10" t="n"/>
      <c r="F46" s="10" t="n"/>
      <c r="I46">
        <f>IF(A46="","",SUMIFS(Purchases[Quantity],Purchases[ProductID],A46))</f>
        <v/>
      </c>
      <c r="J46">
        <f>IF(A46="","",SUMIFS(Sales[Quantity],Sales[ProductID],A46))</f>
        <v/>
      </c>
      <c r="K46">
        <f>IF(A46="","",N(G46)+N(I46)-N(J46))</f>
        <v/>
      </c>
      <c r="L46" s="10">
        <f>IF(K46="","",K46*N(F46))</f>
        <v/>
      </c>
      <c r="M46">
        <f>IF(K46="","",IF(K46&lt;=N(H46),"LOW","OK"))</f>
        <v/>
      </c>
    </row>
    <row r="47">
      <c r="E47" s="10" t="n"/>
      <c r="F47" s="10" t="n"/>
      <c r="I47">
        <f>IF(A47="","",SUMIFS(Purchases[Quantity],Purchases[ProductID],A47))</f>
        <v/>
      </c>
      <c r="J47">
        <f>IF(A47="","",SUMIFS(Sales[Quantity],Sales[ProductID],A47))</f>
        <v/>
      </c>
      <c r="K47">
        <f>IF(A47="","",N(G47)+N(I47)-N(J47))</f>
        <v/>
      </c>
      <c r="L47" s="10">
        <f>IF(K47="","",K47*N(F47))</f>
        <v/>
      </c>
      <c r="M47">
        <f>IF(K47="","",IF(K47&lt;=N(H47),"LOW","OK"))</f>
        <v/>
      </c>
    </row>
    <row r="48">
      <c r="E48" s="10" t="n"/>
      <c r="F48" s="10" t="n"/>
      <c r="I48">
        <f>IF(A48="","",SUMIFS(Purchases[Quantity],Purchases[ProductID],A48))</f>
        <v/>
      </c>
      <c r="J48">
        <f>IF(A48="","",SUMIFS(Sales[Quantity],Sales[ProductID],A48))</f>
        <v/>
      </c>
      <c r="K48">
        <f>IF(A48="","",N(G48)+N(I48)-N(J48))</f>
        <v/>
      </c>
      <c r="L48" s="10">
        <f>IF(K48="","",K48*N(F48))</f>
        <v/>
      </c>
      <c r="M48">
        <f>IF(K48="","",IF(K48&lt;=N(H48),"LOW","OK"))</f>
        <v/>
      </c>
    </row>
    <row r="49">
      <c r="E49" s="10" t="n"/>
      <c r="F49" s="10" t="n"/>
      <c r="I49">
        <f>IF(A49="","",SUMIFS(Purchases[Quantity],Purchases[ProductID],A49))</f>
        <v/>
      </c>
      <c r="J49">
        <f>IF(A49="","",SUMIFS(Sales[Quantity],Sales[ProductID],A49))</f>
        <v/>
      </c>
      <c r="K49">
        <f>IF(A49="","",N(G49)+N(I49)-N(J49))</f>
        <v/>
      </c>
      <c r="L49" s="10">
        <f>IF(K49="","",K49*N(F49))</f>
        <v/>
      </c>
      <c r="M49">
        <f>IF(K49="","",IF(K49&lt;=N(H49),"LOW","OK"))</f>
        <v/>
      </c>
    </row>
    <row r="50">
      <c r="E50" s="10" t="n"/>
      <c r="F50" s="10" t="n"/>
      <c r="I50">
        <f>IF(A50="","",SUMIFS(Purchases[Quantity],Purchases[ProductID],A50))</f>
        <v/>
      </c>
      <c r="J50">
        <f>IF(A50="","",SUMIFS(Sales[Quantity],Sales[ProductID],A50))</f>
        <v/>
      </c>
      <c r="K50">
        <f>IF(A50="","",N(G50)+N(I50)-N(J50))</f>
        <v/>
      </c>
      <c r="L50" s="10">
        <f>IF(K50="","",K50*N(F50))</f>
        <v/>
      </c>
      <c r="M50">
        <f>IF(K50="","",IF(K50&lt;=N(H50),"LOW","OK"))</f>
        <v/>
      </c>
    </row>
    <row r="51">
      <c r="E51" s="10" t="n"/>
      <c r="F51" s="10" t="n"/>
      <c r="I51">
        <f>IF(A51="","",SUMIFS(Purchases[Quantity],Purchases[ProductID],A51))</f>
        <v/>
      </c>
      <c r="J51">
        <f>IF(A51="","",SUMIFS(Sales[Quantity],Sales[ProductID],A51))</f>
        <v/>
      </c>
      <c r="K51">
        <f>IF(A51="","",N(G51)+N(I51)-N(J51))</f>
        <v/>
      </c>
      <c r="L51" s="10">
        <f>IF(K51="","",K51*N(F51))</f>
        <v/>
      </c>
      <c r="M51">
        <f>IF(K51="","",IF(K51&lt;=N(H51),"LOW","OK"))</f>
        <v/>
      </c>
    </row>
    <row r="52">
      <c r="E52" s="10" t="n"/>
      <c r="F52" s="10" t="n"/>
      <c r="I52">
        <f>IF(A52="","",SUMIFS(Purchases[Quantity],Purchases[ProductID],A52))</f>
        <v/>
      </c>
      <c r="J52">
        <f>IF(A52="","",SUMIFS(Sales[Quantity],Sales[ProductID],A52))</f>
        <v/>
      </c>
      <c r="K52">
        <f>IF(A52="","",N(G52)+N(I52)-N(J52))</f>
        <v/>
      </c>
      <c r="L52" s="10">
        <f>IF(K52="","",K52*N(F52))</f>
        <v/>
      </c>
      <c r="M52">
        <f>IF(K52="","",IF(K52&lt;=N(H52),"LOW","OK"))</f>
        <v/>
      </c>
    </row>
    <row r="53">
      <c r="E53" s="10" t="n"/>
      <c r="F53" s="10" t="n"/>
      <c r="I53">
        <f>IF(A53="","",SUMIFS(Purchases[Quantity],Purchases[ProductID],A53))</f>
        <v/>
      </c>
      <c r="J53">
        <f>IF(A53="","",SUMIFS(Sales[Quantity],Sales[ProductID],A53))</f>
        <v/>
      </c>
      <c r="K53">
        <f>IF(A53="","",N(G53)+N(I53)-N(J53))</f>
        <v/>
      </c>
      <c r="L53" s="10">
        <f>IF(K53="","",K53*N(F53))</f>
        <v/>
      </c>
      <c r="M53">
        <f>IF(K53="","",IF(K53&lt;=N(H53),"LOW","OK"))</f>
        <v/>
      </c>
    </row>
    <row r="54">
      <c r="E54" s="10" t="n"/>
      <c r="F54" s="10" t="n"/>
      <c r="I54">
        <f>IF(A54="","",SUMIFS(Purchases[Quantity],Purchases[ProductID],A54))</f>
        <v/>
      </c>
      <c r="J54">
        <f>IF(A54="","",SUMIFS(Sales[Quantity],Sales[ProductID],A54))</f>
        <v/>
      </c>
      <c r="K54">
        <f>IF(A54="","",N(G54)+N(I54)-N(J54))</f>
        <v/>
      </c>
      <c r="L54" s="10">
        <f>IF(K54="","",K54*N(F54))</f>
        <v/>
      </c>
      <c r="M54">
        <f>IF(K54="","",IF(K54&lt;=N(H54),"LOW","OK"))</f>
        <v/>
      </c>
    </row>
    <row r="55">
      <c r="E55" s="10" t="n"/>
      <c r="F55" s="10" t="n"/>
      <c r="I55">
        <f>IF(A55="","",SUMIFS(Purchases[Quantity],Purchases[ProductID],A55))</f>
        <v/>
      </c>
      <c r="J55">
        <f>IF(A55="","",SUMIFS(Sales[Quantity],Sales[ProductID],A55))</f>
        <v/>
      </c>
      <c r="K55">
        <f>IF(A55="","",N(G55)+N(I55)-N(J55))</f>
        <v/>
      </c>
      <c r="L55" s="10">
        <f>IF(K55="","",K55*N(F55))</f>
        <v/>
      </c>
      <c r="M55">
        <f>IF(K55="","",IF(K55&lt;=N(H55),"LOW","OK"))</f>
        <v/>
      </c>
    </row>
    <row r="56">
      <c r="E56" s="10" t="n"/>
      <c r="F56" s="10" t="n"/>
      <c r="I56">
        <f>IF(A56="","",SUMIFS(Purchases[Quantity],Purchases[ProductID],A56))</f>
        <v/>
      </c>
      <c r="J56">
        <f>IF(A56="","",SUMIFS(Sales[Quantity],Sales[ProductID],A56))</f>
        <v/>
      </c>
      <c r="K56">
        <f>IF(A56="","",N(G56)+N(I56)-N(J56))</f>
        <v/>
      </c>
      <c r="L56" s="10">
        <f>IF(K56="","",K56*N(F56))</f>
        <v/>
      </c>
      <c r="M56">
        <f>IF(K56="","",IF(K56&lt;=N(H56),"LOW","OK"))</f>
        <v/>
      </c>
    </row>
    <row r="57">
      <c r="E57" s="10" t="n"/>
      <c r="F57" s="10" t="n"/>
      <c r="I57">
        <f>IF(A57="","",SUMIFS(Purchases[Quantity],Purchases[ProductID],A57))</f>
        <v/>
      </c>
      <c r="J57">
        <f>IF(A57="","",SUMIFS(Sales[Quantity],Sales[ProductID],A57))</f>
        <v/>
      </c>
      <c r="K57">
        <f>IF(A57="","",N(G57)+N(I57)-N(J57))</f>
        <v/>
      </c>
      <c r="L57" s="10">
        <f>IF(K57="","",K57*N(F57))</f>
        <v/>
      </c>
      <c r="M57">
        <f>IF(K57="","",IF(K57&lt;=N(H57),"LOW","OK"))</f>
        <v/>
      </c>
    </row>
    <row r="58">
      <c r="E58" s="10" t="n"/>
      <c r="F58" s="10" t="n"/>
      <c r="I58">
        <f>IF(A58="","",SUMIFS(Purchases[Quantity],Purchases[ProductID],A58))</f>
        <v/>
      </c>
      <c r="J58">
        <f>IF(A58="","",SUMIFS(Sales[Quantity],Sales[ProductID],A58))</f>
        <v/>
      </c>
      <c r="K58">
        <f>IF(A58="","",N(G58)+N(I58)-N(J58))</f>
        <v/>
      </c>
      <c r="L58" s="10">
        <f>IF(K58="","",K58*N(F58))</f>
        <v/>
      </c>
      <c r="M58">
        <f>IF(K58="","",IF(K58&lt;=N(H58),"LOW","OK"))</f>
        <v/>
      </c>
    </row>
    <row r="59">
      <c r="E59" s="10" t="n"/>
      <c r="F59" s="10" t="n"/>
      <c r="I59">
        <f>IF(A59="","",SUMIFS(Purchases[Quantity],Purchases[ProductID],A59))</f>
        <v/>
      </c>
      <c r="J59">
        <f>IF(A59="","",SUMIFS(Sales[Quantity],Sales[ProductID],A59))</f>
        <v/>
      </c>
      <c r="K59">
        <f>IF(A59="","",N(G59)+N(I59)-N(J59))</f>
        <v/>
      </c>
      <c r="L59" s="10">
        <f>IF(K59="","",K59*N(F59))</f>
        <v/>
      </c>
      <c r="M59">
        <f>IF(K59="","",IF(K59&lt;=N(H59),"LOW","OK"))</f>
        <v/>
      </c>
    </row>
    <row r="60">
      <c r="E60" s="10" t="n"/>
      <c r="F60" s="10" t="n"/>
      <c r="I60">
        <f>IF(A60="","",SUMIFS(Purchases[Quantity],Purchases[ProductID],A60))</f>
        <v/>
      </c>
      <c r="J60">
        <f>IF(A60="","",SUMIFS(Sales[Quantity],Sales[ProductID],A60))</f>
        <v/>
      </c>
      <c r="K60">
        <f>IF(A60="","",N(G60)+N(I60)-N(J60))</f>
        <v/>
      </c>
      <c r="L60" s="10">
        <f>IF(K60="","",K60*N(F60))</f>
        <v/>
      </c>
      <c r="M60">
        <f>IF(K60="","",IF(K60&lt;=N(H60),"LOW","OK"))</f>
        <v/>
      </c>
    </row>
    <row r="61">
      <c r="E61" s="10" t="n"/>
      <c r="F61" s="10" t="n"/>
      <c r="I61">
        <f>IF(A61="","",SUMIFS(Purchases[Quantity],Purchases[ProductID],A61))</f>
        <v/>
      </c>
      <c r="J61">
        <f>IF(A61="","",SUMIFS(Sales[Quantity],Sales[ProductID],A61))</f>
        <v/>
      </c>
      <c r="K61">
        <f>IF(A61="","",N(G61)+N(I61)-N(J61))</f>
        <v/>
      </c>
      <c r="L61" s="10">
        <f>IF(K61="","",K61*N(F61))</f>
        <v/>
      </c>
      <c r="M61">
        <f>IF(K61="","",IF(K61&lt;=N(H61),"LOW","OK"))</f>
        <v/>
      </c>
    </row>
    <row r="62">
      <c r="E62" s="10" t="n"/>
      <c r="F62" s="10" t="n"/>
      <c r="I62">
        <f>IF(A62="","",SUMIFS(Purchases[Quantity],Purchases[ProductID],A62))</f>
        <v/>
      </c>
      <c r="J62">
        <f>IF(A62="","",SUMIFS(Sales[Quantity],Sales[ProductID],A62))</f>
        <v/>
      </c>
      <c r="K62">
        <f>IF(A62="","",N(G62)+N(I62)-N(J62))</f>
        <v/>
      </c>
      <c r="L62" s="10">
        <f>IF(K62="","",K62*N(F62))</f>
        <v/>
      </c>
      <c r="M62">
        <f>IF(K62="","",IF(K62&lt;=N(H62),"LOW","OK"))</f>
        <v/>
      </c>
    </row>
    <row r="63">
      <c r="E63" s="10" t="n"/>
      <c r="F63" s="10" t="n"/>
      <c r="I63">
        <f>IF(A63="","",SUMIFS(Purchases[Quantity],Purchases[ProductID],A63))</f>
        <v/>
      </c>
      <c r="J63">
        <f>IF(A63="","",SUMIFS(Sales[Quantity],Sales[ProductID],A63))</f>
        <v/>
      </c>
      <c r="K63">
        <f>IF(A63="","",N(G63)+N(I63)-N(J63))</f>
        <v/>
      </c>
      <c r="L63" s="10">
        <f>IF(K63="","",K63*N(F63))</f>
        <v/>
      </c>
      <c r="M63">
        <f>IF(K63="","",IF(K63&lt;=N(H63),"LOW","OK"))</f>
        <v/>
      </c>
    </row>
    <row r="64">
      <c r="E64" s="10" t="n"/>
      <c r="F64" s="10" t="n"/>
      <c r="I64">
        <f>IF(A64="","",SUMIFS(Purchases[Quantity],Purchases[ProductID],A64))</f>
        <v/>
      </c>
      <c r="J64">
        <f>IF(A64="","",SUMIFS(Sales[Quantity],Sales[ProductID],A64))</f>
        <v/>
      </c>
      <c r="K64">
        <f>IF(A64="","",N(G64)+N(I64)-N(J64))</f>
        <v/>
      </c>
      <c r="L64" s="10">
        <f>IF(K64="","",K64*N(F64))</f>
        <v/>
      </c>
      <c r="M64">
        <f>IF(K64="","",IF(K64&lt;=N(H64),"LOW","OK"))</f>
        <v/>
      </c>
    </row>
    <row r="65">
      <c r="E65" s="10" t="n"/>
      <c r="F65" s="10" t="n"/>
      <c r="I65">
        <f>IF(A65="","",SUMIFS(Purchases[Quantity],Purchases[ProductID],A65))</f>
        <v/>
      </c>
      <c r="J65">
        <f>IF(A65="","",SUMIFS(Sales[Quantity],Sales[ProductID],A65))</f>
        <v/>
      </c>
      <c r="K65">
        <f>IF(A65="","",N(G65)+N(I65)-N(J65))</f>
        <v/>
      </c>
      <c r="L65" s="10">
        <f>IF(K65="","",K65*N(F65))</f>
        <v/>
      </c>
      <c r="M65">
        <f>IF(K65="","",IF(K65&lt;=N(H65),"LOW","OK"))</f>
        <v/>
      </c>
    </row>
    <row r="66">
      <c r="E66" s="10" t="n"/>
      <c r="F66" s="10" t="n"/>
      <c r="I66">
        <f>IF(A66="","",SUMIFS(Purchases[Quantity],Purchases[ProductID],A66))</f>
        <v/>
      </c>
      <c r="J66">
        <f>IF(A66="","",SUMIFS(Sales[Quantity],Sales[ProductID],A66))</f>
        <v/>
      </c>
      <c r="K66">
        <f>IF(A66="","",N(G66)+N(I66)-N(J66))</f>
        <v/>
      </c>
      <c r="L66" s="10">
        <f>IF(K66="","",K66*N(F66))</f>
        <v/>
      </c>
      <c r="M66">
        <f>IF(K66="","",IF(K66&lt;=N(H66),"LOW","OK"))</f>
        <v/>
      </c>
    </row>
    <row r="67">
      <c r="E67" s="10" t="n"/>
      <c r="F67" s="10" t="n"/>
      <c r="I67">
        <f>IF(A67="","",SUMIFS(Purchases[Quantity],Purchases[ProductID],A67))</f>
        <v/>
      </c>
      <c r="J67">
        <f>IF(A67="","",SUMIFS(Sales[Quantity],Sales[ProductID],A67))</f>
        <v/>
      </c>
      <c r="K67">
        <f>IF(A67="","",N(G67)+N(I67)-N(J67))</f>
        <v/>
      </c>
      <c r="L67" s="10">
        <f>IF(K67="","",K67*N(F67))</f>
        <v/>
      </c>
      <c r="M67">
        <f>IF(K67="","",IF(K67&lt;=N(H67),"LOW","OK"))</f>
        <v/>
      </c>
    </row>
    <row r="68">
      <c r="E68" s="10" t="n"/>
      <c r="F68" s="10" t="n"/>
      <c r="I68">
        <f>IF(A68="","",SUMIFS(Purchases[Quantity],Purchases[ProductID],A68))</f>
        <v/>
      </c>
      <c r="J68">
        <f>IF(A68="","",SUMIFS(Sales[Quantity],Sales[ProductID],A68))</f>
        <v/>
      </c>
      <c r="K68">
        <f>IF(A68="","",N(G68)+N(I68)-N(J68))</f>
        <v/>
      </c>
      <c r="L68" s="10">
        <f>IF(K68="","",K68*N(F68))</f>
        <v/>
      </c>
      <c r="M68">
        <f>IF(K68="","",IF(K68&lt;=N(H68),"LOW","OK"))</f>
        <v/>
      </c>
    </row>
    <row r="69">
      <c r="E69" s="10" t="n"/>
      <c r="F69" s="10" t="n"/>
      <c r="I69">
        <f>IF(A69="","",SUMIFS(Purchases[Quantity],Purchases[ProductID],A69))</f>
        <v/>
      </c>
      <c r="J69">
        <f>IF(A69="","",SUMIFS(Sales[Quantity],Sales[ProductID],A69))</f>
        <v/>
      </c>
      <c r="K69">
        <f>IF(A69="","",N(G69)+N(I69)-N(J69))</f>
        <v/>
      </c>
      <c r="L69" s="10">
        <f>IF(K69="","",K69*N(F69))</f>
        <v/>
      </c>
      <c r="M69">
        <f>IF(K69="","",IF(K69&lt;=N(H69),"LOW","OK"))</f>
        <v/>
      </c>
    </row>
    <row r="70">
      <c r="E70" s="10" t="n"/>
      <c r="F70" s="10" t="n"/>
      <c r="I70">
        <f>IF(A70="","",SUMIFS(Purchases[Quantity],Purchases[ProductID],A70))</f>
        <v/>
      </c>
      <c r="J70">
        <f>IF(A70="","",SUMIFS(Sales[Quantity],Sales[ProductID],A70))</f>
        <v/>
      </c>
      <c r="K70">
        <f>IF(A70="","",N(G70)+N(I70)-N(J70))</f>
        <v/>
      </c>
      <c r="L70" s="10">
        <f>IF(K70="","",K70*N(F70))</f>
        <v/>
      </c>
      <c r="M70">
        <f>IF(K70="","",IF(K70&lt;=N(H70),"LOW","OK"))</f>
        <v/>
      </c>
    </row>
    <row r="71">
      <c r="E71" s="10" t="n"/>
      <c r="F71" s="10" t="n"/>
      <c r="I71">
        <f>IF(A71="","",SUMIFS(Purchases[Quantity],Purchases[ProductID],A71))</f>
        <v/>
      </c>
      <c r="J71">
        <f>IF(A71="","",SUMIFS(Sales[Quantity],Sales[ProductID],A71))</f>
        <v/>
      </c>
      <c r="K71">
        <f>IF(A71="","",N(G71)+N(I71)-N(J71))</f>
        <v/>
      </c>
      <c r="L71" s="10">
        <f>IF(K71="","",K71*N(F71))</f>
        <v/>
      </c>
      <c r="M71">
        <f>IF(K71="","",IF(K71&lt;=N(H71),"LOW","OK"))</f>
        <v/>
      </c>
    </row>
    <row r="72">
      <c r="E72" s="10" t="n"/>
      <c r="F72" s="10" t="n"/>
      <c r="I72">
        <f>IF(A72="","",SUMIFS(Purchases[Quantity],Purchases[ProductID],A72))</f>
        <v/>
      </c>
      <c r="J72">
        <f>IF(A72="","",SUMIFS(Sales[Quantity],Sales[ProductID],A72))</f>
        <v/>
      </c>
      <c r="K72">
        <f>IF(A72="","",N(G72)+N(I72)-N(J72))</f>
        <v/>
      </c>
      <c r="L72" s="10">
        <f>IF(K72="","",K72*N(F72))</f>
        <v/>
      </c>
      <c r="M72">
        <f>IF(K72="","",IF(K72&lt;=N(H72),"LOW","OK"))</f>
        <v/>
      </c>
    </row>
    <row r="73">
      <c r="E73" s="10" t="n"/>
      <c r="F73" s="10" t="n"/>
      <c r="I73">
        <f>IF(A73="","",SUMIFS(Purchases[Quantity],Purchases[ProductID],A73))</f>
        <v/>
      </c>
      <c r="J73">
        <f>IF(A73="","",SUMIFS(Sales[Quantity],Sales[ProductID],A73))</f>
        <v/>
      </c>
      <c r="K73">
        <f>IF(A73="","",N(G73)+N(I73)-N(J73))</f>
        <v/>
      </c>
      <c r="L73" s="10">
        <f>IF(K73="","",K73*N(F73))</f>
        <v/>
      </c>
      <c r="M73">
        <f>IF(K73="","",IF(K73&lt;=N(H73),"LOW","OK"))</f>
        <v/>
      </c>
    </row>
    <row r="74">
      <c r="E74" s="10" t="n"/>
      <c r="F74" s="10" t="n"/>
      <c r="I74">
        <f>IF(A74="","",SUMIFS(Purchases[Quantity],Purchases[ProductID],A74))</f>
        <v/>
      </c>
      <c r="J74">
        <f>IF(A74="","",SUMIFS(Sales[Quantity],Sales[ProductID],A74))</f>
        <v/>
      </c>
      <c r="K74">
        <f>IF(A74="","",N(G74)+N(I74)-N(J74))</f>
        <v/>
      </c>
      <c r="L74" s="10">
        <f>IF(K74="","",K74*N(F74))</f>
        <v/>
      </c>
      <c r="M74">
        <f>IF(K74="","",IF(K74&lt;=N(H74),"LOW","OK"))</f>
        <v/>
      </c>
    </row>
    <row r="75">
      <c r="E75" s="10" t="n"/>
      <c r="F75" s="10" t="n"/>
      <c r="I75">
        <f>IF(A75="","",SUMIFS(Purchases[Quantity],Purchases[ProductID],A75))</f>
        <v/>
      </c>
      <c r="J75">
        <f>IF(A75="","",SUMIFS(Sales[Quantity],Sales[ProductID],A75))</f>
        <v/>
      </c>
      <c r="K75">
        <f>IF(A75="","",N(G75)+N(I75)-N(J75))</f>
        <v/>
      </c>
      <c r="L75" s="10">
        <f>IF(K75="","",K75*N(F75))</f>
        <v/>
      </c>
      <c r="M75">
        <f>IF(K75="","",IF(K75&lt;=N(H75),"LOW","OK"))</f>
        <v/>
      </c>
    </row>
    <row r="76">
      <c r="E76" s="10" t="n"/>
      <c r="F76" s="10" t="n"/>
      <c r="I76">
        <f>IF(A76="","",SUMIFS(Purchases[Quantity],Purchases[ProductID],A76))</f>
        <v/>
      </c>
      <c r="J76">
        <f>IF(A76="","",SUMIFS(Sales[Quantity],Sales[ProductID],A76))</f>
        <v/>
      </c>
      <c r="K76">
        <f>IF(A76="","",N(G76)+N(I76)-N(J76))</f>
        <v/>
      </c>
      <c r="L76" s="10">
        <f>IF(K76="","",K76*N(F76))</f>
        <v/>
      </c>
      <c r="M76">
        <f>IF(K76="","",IF(K76&lt;=N(H76),"LOW","OK"))</f>
        <v/>
      </c>
    </row>
    <row r="77">
      <c r="E77" s="10" t="n"/>
      <c r="F77" s="10" t="n"/>
      <c r="I77">
        <f>IF(A77="","",SUMIFS(Purchases[Quantity],Purchases[ProductID],A77))</f>
        <v/>
      </c>
      <c r="J77">
        <f>IF(A77="","",SUMIFS(Sales[Quantity],Sales[ProductID],A77))</f>
        <v/>
      </c>
      <c r="K77">
        <f>IF(A77="","",N(G77)+N(I77)-N(J77))</f>
        <v/>
      </c>
      <c r="L77" s="10">
        <f>IF(K77="","",K77*N(F77))</f>
        <v/>
      </c>
      <c r="M77">
        <f>IF(K77="","",IF(K77&lt;=N(H77),"LOW","OK"))</f>
        <v/>
      </c>
    </row>
    <row r="78">
      <c r="E78" s="10" t="n"/>
      <c r="F78" s="10" t="n"/>
      <c r="I78">
        <f>IF(A78="","",SUMIFS(Purchases[Quantity],Purchases[ProductID],A78))</f>
        <v/>
      </c>
      <c r="J78">
        <f>IF(A78="","",SUMIFS(Sales[Quantity],Sales[ProductID],A78))</f>
        <v/>
      </c>
      <c r="K78">
        <f>IF(A78="","",N(G78)+N(I78)-N(J78))</f>
        <v/>
      </c>
      <c r="L78" s="10">
        <f>IF(K78="","",K78*N(F78))</f>
        <v/>
      </c>
      <c r="M78">
        <f>IF(K78="","",IF(K78&lt;=N(H78),"LOW","OK"))</f>
        <v/>
      </c>
    </row>
    <row r="79">
      <c r="E79" s="10" t="n"/>
      <c r="F79" s="10" t="n"/>
      <c r="I79">
        <f>IF(A79="","",SUMIFS(Purchases[Quantity],Purchases[ProductID],A79))</f>
        <v/>
      </c>
      <c r="J79">
        <f>IF(A79="","",SUMIFS(Sales[Quantity],Sales[ProductID],A79))</f>
        <v/>
      </c>
      <c r="K79">
        <f>IF(A79="","",N(G79)+N(I79)-N(J79))</f>
        <v/>
      </c>
      <c r="L79" s="10">
        <f>IF(K79="","",K79*N(F79))</f>
        <v/>
      </c>
      <c r="M79">
        <f>IF(K79="","",IF(K79&lt;=N(H79),"LOW","OK"))</f>
        <v/>
      </c>
    </row>
    <row r="80">
      <c r="E80" s="10" t="n"/>
      <c r="F80" s="10" t="n"/>
      <c r="I80">
        <f>IF(A80="","",SUMIFS(Purchases[Quantity],Purchases[ProductID],A80))</f>
        <v/>
      </c>
      <c r="J80">
        <f>IF(A80="","",SUMIFS(Sales[Quantity],Sales[ProductID],A80))</f>
        <v/>
      </c>
      <c r="K80">
        <f>IF(A80="","",N(G80)+N(I80)-N(J80))</f>
        <v/>
      </c>
      <c r="L80" s="10">
        <f>IF(K80="","",K80*N(F80))</f>
        <v/>
      </c>
      <c r="M80">
        <f>IF(K80="","",IF(K80&lt;=N(H80),"LOW","OK"))</f>
        <v/>
      </c>
    </row>
    <row r="81">
      <c r="E81" s="10" t="n"/>
      <c r="F81" s="10" t="n"/>
      <c r="I81">
        <f>IF(A81="","",SUMIFS(Purchases[Quantity],Purchases[ProductID],A81))</f>
        <v/>
      </c>
      <c r="J81">
        <f>IF(A81="","",SUMIFS(Sales[Quantity],Sales[ProductID],A81))</f>
        <v/>
      </c>
      <c r="K81">
        <f>IF(A81="","",N(G81)+N(I81)-N(J81))</f>
        <v/>
      </c>
      <c r="L81" s="10">
        <f>IF(K81="","",K81*N(F81))</f>
        <v/>
      </c>
      <c r="M81">
        <f>IF(K81="","",IF(K81&lt;=N(H81),"LOW","OK"))</f>
        <v/>
      </c>
    </row>
    <row r="82">
      <c r="E82" s="10" t="n"/>
      <c r="F82" s="10" t="n"/>
      <c r="I82">
        <f>IF(A82="","",SUMIFS(Purchases[Quantity],Purchases[ProductID],A82))</f>
        <v/>
      </c>
      <c r="J82">
        <f>IF(A82="","",SUMIFS(Sales[Quantity],Sales[ProductID],A82))</f>
        <v/>
      </c>
      <c r="K82">
        <f>IF(A82="","",N(G82)+N(I82)-N(J82))</f>
        <v/>
      </c>
      <c r="L82" s="10">
        <f>IF(K82="","",K82*N(F82))</f>
        <v/>
      </c>
      <c r="M82">
        <f>IF(K82="","",IF(K82&lt;=N(H82),"LOW","OK"))</f>
        <v/>
      </c>
    </row>
    <row r="83">
      <c r="E83" s="10" t="n"/>
      <c r="F83" s="10" t="n"/>
      <c r="I83">
        <f>IF(A83="","",SUMIFS(Purchases[Quantity],Purchases[ProductID],A83))</f>
        <v/>
      </c>
      <c r="J83">
        <f>IF(A83="","",SUMIFS(Sales[Quantity],Sales[ProductID],A83))</f>
        <v/>
      </c>
      <c r="K83">
        <f>IF(A83="","",N(G83)+N(I83)-N(J83))</f>
        <v/>
      </c>
      <c r="L83" s="10">
        <f>IF(K83="","",K83*N(F83))</f>
        <v/>
      </c>
      <c r="M83">
        <f>IF(K83="","",IF(K83&lt;=N(H83),"LOW","OK"))</f>
        <v/>
      </c>
    </row>
    <row r="84">
      <c r="E84" s="10" t="n"/>
      <c r="F84" s="10" t="n"/>
      <c r="I84">
        <f>IF(A84="","",SUMIFS(Purchases[Quantity],Purchases[ProductID],A84))</f>
        <v/>
      </c>
      <c r="J84">
        <f>IF(A84="","",SUMIFS(Sales[Quantity],Sales[ProductID],A84))</f>
        <v/>
      </c>
      <c r="K84">
        <f>IF(A84="","",N(G84)+N(I84)-N(J84))</f>
        <v/>
      </c>
      <c r="L84" s="10">
        <f>IF(K84="","",K84*N(F84))</f>
        <v/>
      </c>
      <c r="M84">
        <f>IF(K84="","",IF(K84&lt;=N(H84),"LOW","OK"))</f>
        <v/>
      </c>
    </row>
    <row r="85">
      <c r="E85" s="10" t="n"/>
      <c r="F85" s="10" t="n"/>
      <c r="I85">
        <f>IF(A85="","",SUMIFS(Purchases[Quantity],Purchases[ProductID],A85))</f>
        <v/>
      </c>
      <c r="J85">
        <f>IF(A85="","",SUMIFS(Sales[Quantity],Sales[ProductID],A85))</f>
        <v/>
      </c>
      <c r="K85">
        <f>IF(A85="","",N(G85)+N(I85)-N(J85))</f>
        <v/>
      </c>
      <c r="L85" s="10">
        <f>IF(K85="","",K85*N(F85))</f>
        <v/>
      </c>
      <c r="M85">
        <f>IF(K85="","",IF(K85&lt;=N(H85),"LOW","OK"))</f>
        <v/>
      </c>
    </row>
    <row r="86">
      <c r="E86" s="10" t="n"/>
      <c r="F86" s="10" t="n"/>
      <c r="I86">
        <f>IF(A86="","",SUMIFS(Purchases[Quantity],Purchases[ProductID],A86))</f>
        <v/>
      </c>
      <c r="J86">
        <f>IF(A86="","",SUMIFS(Sales[Quantity],Sales[ProductID],A86))</f>
        <v/>
      </c>
      <c r="K86">
        <f>IF(A86="","",N(G86)+N(I86)-N(J86))</f>
        <v/>
      </c>
      <c r="L86" s="10">
        <f>IF(K86="","",K86*N(F86))</f>
        <v/>
      </c>
      <c r="M86">
        <f>IF(K86="","",IF(K86&lt;=N(H86),"LOW","OK"))</f>
        <v/>
      </c>
    </row>
    <row r="87">
      <c r="E87" s="10" t="n"/>
      <c r="F87" s="10" t="n"/>
      <c r="I87">
        <f>IF(A87="","",SUMIFS(Purchases[Quantity],Purchases[ProductID],A87))</f>
        <v/>
      </c>
      <c r="J87">
        <f>IF(A87="","",SUMIFS(Sales[Quantity],Sales[ProductID],A87))</f>
        <v/>
      </c>
      <c r="K87">
        <f>IF(A87="","",N(G87)+N(I87)-N(J87))</f>
        <v/>
      </c>
      <c r="L87" s="10">
        <f>IF(K87="","",K87*N(F87))</f>
        <v/>
      </c>
      <c r="M87">
        <f>IF(K87="","",IF(K87&lt;=N(H87),"LOW","OK"))</f>
        <v/>
      </c>
    </row>
    <row r="88">
      <c r="E88" s="10" t="n"/>
      <c r="F88" s="10" t="n"/>
      <c r="I88">
        <f>IF(A88="","",SUMIFS(Purchases[Quantity],Purchases[ProductID],A88))</f>
        <v/>
      </c>
      <c r="J88">
        <f>IF(A88="","",SUMIFS(Sales[Quantity],Sales[ProductID],A88))</f>
        <v/>
      </c>
      <c r="K88">
        <f>IF(A88="","",N(G88)+N(I88)-N(J88))</f>
        <v/>
      </c>
      <c r="L88" s="10">
        <f>IF(K88="","",K88*N(F88))</f>
        <v/>
      </c>
      <c r="M88">
        <f>IF(K88="","",IF(K88&lt;=N(H88),"LOW","OK"))</f>
        <v/>
      </c>
    </row>
    <row r="89">
      <c r="E89" s="10" t="n"/>
      <c r="F89" s="10" t="n"/>
      <c r="I89">
        <f>IF(A89="","",SUMIFS(Purchases[Quantity],Purchases[ProductID],A89))</f>
        <v/>
      </c>
      <c r="J89">
        <f>IF(A89="","",SUMIFS(Sales[Quantity],Sales[ProductID],A89))</f>
        <v/>
      </c>
      <c r="K89">
        <f>IF(A89="","",N(G89)+N(I89)-N(J89))</f>
        <v/>
      </c>
      <c r="L89" s="10">
        <f>IF(K89="","",K89*N(F89))</f>
        <v/>
      </c>
      <c r="M89">
        <f>IF(K89="","",IF(K89&lt;=N(H89),"LOW","OK"))</f>
        <v/>
      </c>
    </row>
    <row r="90">
      <c r="E90" s="10" t="n"/>
      <c r="F90" s="10" t="n"/>
      <c r="I90">
        <f>IF(A90="","",SUMIFS(Purchases[Quantity],Purchases[ProductID],A90))</f>
        <v/>
      </c>
      <c r="J90">
        <f>IF(A90="","",SUMIFS(Sales[Quantity],Sales[ProductID],A90))</f>
        <v/>
      </c>
      <c r="K90">
        <f>IF(A90="","",N(G90)+N(I90)-N(J90))</f>
        <v/>
      </c>
      <c r="L90" s="10">
        <f>IF(K90="","",K90*N(F90))</f>
        <v/>
      </c>
      <c r="M90">
        <f>IF(K90="","",IF(K90&lt;=N(H90),"LOW","OK"))</f>
        <v/>
      </c>
    </row>
    <row r="91">
      <c r="E91" s="10" t="n"/>
      <c r="F91" s="10" t="n"/>
      <c r="I91">
        <f>IF(A91="","",SUMIFS(Purchases[Quantity],Purchases[ProductID],A91))</f>
        <v/>
      </c>
      <c r="J91">
        <f>IF(A91="","",SUMIFS(Sales[Quantity],Sales[ProductID],A91))</f>
        <v/>
      </c>
      <c r="K91">
        <f>IF(A91="","",N(G91)+N(I91)-N(J91))</f>
        <v/>
      </c>
      <c r="L91" s="10">
        <f>IF(K91="","",K91*N(F91))</f>
        <v/>
      </c>
      <c r="M91">
        <f>IF(K91="","",IF(K91&lt;=N(H91),"LOW","OK"))</f>
        <v/>
      </c>
    </row>
    <row r="92">
      <c r="E92" s="10" t="n"/>
      <c r="F92" s="10" t="n"/>
      <c r="I92">
        <f>IF(A92="","",SUMIFS(Purchases[Quantity],Purchases[ProductID],A92))</f>
        <v/>
      </c>
      <c r="J92">
        <f>IF(A92="","",SUMIFS(Sales[Quantity],Sales[ProductID],A92))</f>
        <v/>
      </c>
      <c r="K92">
        <f>IF(A92="","",N(G92)+N(I92)-N(J92))</f>
        <v/>
      </c>
      <c r="L92" s="10">
        <f>IF(K92="","",K92*N(F92))</f>
        <v/>
      </c>
      <c r="M92">
        <f>IF(K92="","",IF(K92&lt;=N(H92),"LOW","OK"))</f>
        <v/>
      </c>
    </row>
    <row r="93">
      <c r="E93" s="10" t="n"/>
      <c r="F93" s="10" t="n"/>
      <c r="I93">
        <f>IF(A93="","",SUMIFS(Purchases[Quantity],Purchases[ProductID],A93))</f>
        <v/>
      </c>
      <c r="J93">
        <f>IF(A93="","",SUMIFS(Sales[Quantity],Sales[ProductID],A93))</f>
        <v/>
      </c>
      <c r="K93">
        <f>IF(A93="","",N(G93)+N(I93)-N(J93))</f>
        <v/>
      </c>
      <c r="L93" s="10">
        <f>IF(K93="","",K93*N(F93))</f>
        <v/>
      </c>
      <c r="M93">
        <f>IF(K93="","",IF(K93&lt;=N(H93),"LOW","OK"))</f>
        <v/>
      </c>
    </row>
    <row r="94">
      <c r="E94" s="10" t="n"/>
      <c r="F94" s="10" t="n"/>
      <c r="I94">
        <f>IF(A94="","",SUMIFS(Purchases[Quantity],Purchases[ProductID],A94))</f>
        <v/>
      </c>
      <c r="J94">
        <f>IF(A94="","",SUMIFS(Sales[Quantity],Sales[ProductID],A94))</f>
        <v/>
      </c>
      <c r="K94">
        <f>IF(A94="","",N(G94)+N(I94)-N(J94))</f>
        <v/>
      </c>
      <c r="L94" s="10">
        <f>IF(K94="","",K94*N(F94))</f>
        <v/>
      </c>
      <c r="M94">
        <f>IF(K94="","",IF(K94&lt;=N(H94),"LOW","OK"))</f>
        <v/>
      </c>
    </row>
    <row r="95">
      <c r="E95" s="10" t="n"/>
      <c r="F95" s="10" t="n"/>
      <c r="I95">
        <f>IF(A95="","",SUMIFS(Purchases[Quantity],Purchases[ProductID],A95))</f>
        <v/>
      </c>
      <c r="J95">
        <f>IF(A95="","",SUMIFS(Sales[Quantity],Sales[ProductID],A95))</f>
        <v/>
      </c>
      <c r="K95">
        <f>IF(A95="","",N(G95)+N(I95)-N(J95))</f>
        <v/>
      </c>
      <c r="L95" s="10">
        <f>IF(K95="","",K95*N(F95))</f>
        <v/>
      </c>
      <c r="M95">
        <f>IF(K95="","",IF(K95&lt;=N(H95),"LOW","OK"))</f>
        <v/>
      </c>
    </row>
    <row r="96">
      <c r="E96" s="10" t="n"/>
      <c r="F96" s="10" t="n"/>
      <c r="I96">
        <f>IF(A96="","",SUMIFS(Purchases[Quantity],Purchases[ProductID],A96))</f>
        <v/>
      </c>
      <c r="J96">
        <f>IF(A96="","",SUMIFS(Sales[Quantity],Sales[ProductID],A96))</f>
        <v/>
      </c>
      <c r="K96">
        <f>IF(A96="","",N(G96)+N(I96)-N(J96))</f>
        <v/>
      </c>
      <c r="L96" s="10">
        <f>IF(K96="","",K96*N(F96))</f>
        <v/>
      </c>
      <c r="M96">
        <f>IF(K96="","",IF(K96&lt;=N(H96),"LOW","OK"))</f>
        <v/>
      </c>
    </row>
    <row r="97">
      <c r="E97" s="10" t="n"/>
      <c r="F97" s="10" t="n"/>
      <c r="I97">
        <f>IF(A97="","",SUMIFS(Purchases[Quantity],Purchases[ProductID],A97))</f>
        <v/>
      </c>
      <c r="J97">
        <f>IF(A97="","",SUMIFS(Sales[Quantity],Sales[ProductID],A97))</f>
        <v/>
      </c>
      <c r="K97">
        <f>IF(A97="","",N(G97)+N(I97)-N(J97))</f>
        <v/>
      </c>
      <c r="L97" s="10">
        <f>IF(K97="","",K97*N(F97))</f>
        <v/>
      </c>
      <c r="M97">
        <f>IF(K97="","",IF(K97&lt;=N(H97),"LOW","OK"))</f>
        <v/>
      </c>
    </row>
    <row r="98">
      <c r="E98" s="10" t="n"/>
      <c r="F98" s="10" t="n"/>
      <c r="I98">
        <f>IF(A98="","",SUMIFS(Purchases[Quantity],Purchases[ProductID],A98))</f>
        <v/>
      </c>
      <c r="J98">
        <f>IF(A98="","",SUMIFS(Sales[Quantity],Sales[ProductID],A98))</f>
        <v/>
      </c>
      <c r="K98">
        <f>IF(A98="","",N(G98)+N(I98)-N(J98))</f>
        <v/>
      </c>
      <c r="L98" s="10">
        <f>IF(K98="","",K98*N(F98))</f>
        <v/>
      </c>
      <c r="M98">
        <f>IF(K98="","",IF(K98&lt;=N(H98),"LOW","OK"))</f>
        <v/>
      </c>
    </row>
    <row r="99">
      <c r="E99" s="10" t="n"/>
      <c r="F99" s="10" t="n"/>
      <c r="I99">
        <f>IF(A99="","",SUMIFS(Purchases[Quantity],Purchases[ProductID],A99))</f>
        <v/>
      </c>
      <c r="J99">
        <f>IF(A99="","",SUMIFS(Sales[Quantity],Sales[ProductID],A99))</f>
        <v/>
      </c>
      <c r="K99">
        <f>IF(A99="","",N(G99)+N(I99)-N(J99))</f>
        <v/>
      </c>
      <c r="L99" s="10">
        <f>IF(K99="","",K99*N(F99))</f>
        <v/>
      </c>
      <c r="M99">
        <f>IF(K99="","",IF(K99&lt;=N(H99),"LOW","OK"))</f>
        <v/>
      </c>
    </row>
    <row r="100">
      <c r="E100" s="10" t="n"/>
      <c r="F100" s="10" t="n"/>
      <c r="I100">
        <f>IF(A100="","",SUMIFS(Purchases[Quantity],Purchases[ProductID],A100))</f>
        <v/>
      </c>
      <c r="J100">
        <f>IF(A100="","",SUMIFS(Sales[Quantity],Sales[ProductID],A100))</f>
        <v/>
      </c>
      <c r="K100">
        <f>IF(A100="","",N(G100)+N(I100)-N(J100))</f>
        <v/>
      </c>
      <c r="L100" s="10">
        <f>IF(K100="","",K100*N(F100))</f>
        <v/>
      </c>
      <c r="M100">
        <f>IF(K100="","",IF(K100&lt;=N(H100),"LOW","OK"))</f>
        <v/>
      </c>
    </row>
    <row r="101">
      <c r="E101" s="10" t="n"/>
      <c r="F101" s="10" t="n"/>
      <c r="I101">
        <f>IF(A101="","",SUMIFS(Purchases[Quantity],Purchases[ProductID],A101))</f>
        <v/>
      </c>
      <c r="J101">
        <f>IF(A101="","",SUMIFS(Sales[Quantity],Sales[ProductID],A101))</f>
        <v/>
      </c>
      <c r="K101">
        <f>IF(A101="","",N(G101)+N(I101)-N(J101))</f>
        <v/>
      </c>
      <c r="L101" s="10">
        <f>IF(K101="","",K101*N(F101))</f>
        <v/>
      </c>
      <c r="M101">
        <f>IF(K101="","",IF(K101&lt;=N(H101),"LOW","OK"))</f>
        <v/>
      </c>
    </row>
    <row r="102">
      <c r="E102" s="10" t="n"/>
      <c r="F102" s="10" t="n"/>
      <c r="I102">
        <f>IF(A102="","",SUMIFS(Purchases[Quantity],Purchases[ProductID],A102))</f>
        <v/>
      </c>
      <c r="J102">
        <f>IF(A102="","",SUMIFS(Sales[Quantity],Sales[ProductID],A102))</f>
        <v/>
      </c>
      <c r="K102">
        <f>IF(A102="","",N(G102)+N(I102)-N(J102))</f>
        <v/>
      </c>
      <c r="L102" s="10">
        <f>IF(K102="","",K102*N(F102))</f>
        <v/>
      </c>
      <c r="M102">
        <f>IF(K102="","",IF(K102&lt;=N(H102),"LOW","OK"))</f>
        <v/>
      </c>
    </row>
    <row r="103">
      <c r="E103" s="10" t="n"/>
      <c r="F103" s="10" t="n"/>
      <c r="I103">
        <f>IF(A103="","",SUMIFS(Purchases[Quantity],Purchases[ProductID],A103))</f>
        <v/>
      </c>
      <c r="J103">
        <f>IF(A103="","",SUMIFS(Sales[Quantity],Sales[ProductID],A103))</f>
        <v/>
      </c>
      <c r="K103">
        <f>IF(A103="","",N(G103)+N(I103)-N(J103))</f>
        <v/>
      </c>
      <c r="L103" s="10">
        <f>IF(K103="","",K103*N(F103))</f>
        <v/>
      </c>
      <c r="M103">
        <f>IF(K103="","",IF(K103&lt;=N(H103),"LOW","OK"))</f>
        <v/>
      </c>
    </row>
    <row r="104">
      <c r="E104" s="10" t="n"/>
      <c r="F104" s="10" t="n"/>
      <c r="I104">
        <f>IF(A104="","",SUMIFS(Purchases[Quantity],Purchases[ProductID],A104))</f>
        <v/>
      </c>
      <c r="J104">
        <f>IF(A104="","",SUMIFS(Sales[Quantity],Sales[ProductID],A104))</f>
        <v/>
      </c>
      <c r="K104">
        <f>IF(A104="","",N(G104)+N(I104)-N(J104))</f>
        <v/>
      </c>
      <c r="L104" s="10">
        <f>IF(K104="","",K104*N(F104))</f>
        <v/>
      </c>
      <c r="M104">
        <f>IF(K104="","",IF(K104&lt;=N(H104),"LOW","OK"))</f>
        <v/>
      </c>
    </row>
    <row r="105">
      <c r="E105" s="10" t="n"/>
      <c r="F105" s="10" t="n"/>
      <c r="I105">
        <f>IF(A105="","",SUMIFS(Purchases[Quantity],Purchases[ProductID],A105))</f>
        <v/>
      </c>
      <c r="J105">
        <f>IF(A105="","",SUMIFS(Sales[Quantity],Sales[ProductID],A105))</f>
        <v/>
      </c>
      <c r="K105">
        <f>IF(A105="","",N(G105)+N(I105)-N(J105))</f>
        <v/>
      </c>
      <c r="L105" s="10">
        <f>IF(K105="","",K105*N(F105))</f>
        <v/>
      </c>
      <c r="M105">
        <f>IF(K105="","",IF(K105&lt;=N(H105),"LOW","OK"))</f>
        <v/>
      </c>
    </row>
    <row r="106">
      <c r="E106" s="10" t="n"/>
      <c r="F106" s="10" t="n"/>
      <c r="I106">
        <f>IF(A106="","",SUMIFS(Purchases[Quantity],Purchases[ProductID],A106))</f>
        <v/>
      </c>
      <c r="J106">
        <f>IF(A106="","",SUMIFS(Sales[Quantity],Sales[ProductID],A106))</f>
        <v/>
      </c>
      <c r="K106">
        <f>IF(A106="","",N(G106)+N(I106)-N(J106))</f>
        <v/>
      </c>
      <c r="L106" s="10">
        <f>IF(K106="","",K106*N(F106))</f>
        <v/>
      </c>
      <c r="M106">
        <f>IF(K106="","",IF(K106&lt;=N(H106),"LOW","OK"))</f>
        <v/>
      </c>
    </row>
    <row r="107">
      <c r="E107" s="10" t="n"/>
      <c r="F107" s="10" t="n"/>
      <c r="I107">
        <f>IF(A107="","",SUMIFS(Purchases[Quantity],Purchases[ProductID],A107))</f>
        <v/>
      </c>
      <c r="J107">
        <f>IF(A107="","",SUMIFS(Sales[Quantity],Sales[ProductID],A107))</f>
        <v/>
      </c>
      <c r="K107">
        <f>IF(A107="","",N(G107)+N(I107)-N(J107))</f>
        <v/>
      </c>
      <c r="L107" s="10">
        <f>IF(K107="","",K107*N(F107))</f>
        <v/>
      </c>
      <c r="M107">
        <f>IF(K107="","",IF(K107&lt;=N(H107),"LOW","OK"))</f>
        <v/>
      </c>
    </row>
    <row r="108">
      <c r="E108" s="10" t="n"/>
      <c r="F108" s="10" t="n"/>
      <c r="I108">
        <f>IF(A108="","",SUMIFS(Purchases[Quantity],Purchases[ProductID],A108))</f>
        <v/>
      </c>
      <c r="J108">
        <f>IF(A108="","",SUMIFS(Sales[Quantity],Sales[ProductID],A108))</f>
        <v/>
      </c>
      <c r="K108">
        <f>IF(A108="","",N(G108)+N(I108)-N(J108))</f>
        <v/>
      </c>
      <c r="L108" s="10">
        <f>IF(K108="","",K108*N(F108))</f>
        <v/>
      </c>
      <c r="M108">
        <f>IF(K108="","",IF(K108&lt;=N(H108),"LOW","OK"))</f>
        <v/>
      </c>
    </row>
    <row r="109">
      <c r="E109" s="10" t="n"/>
      <c r="F109" s="10" t="n"/>
      <c r="I109">
        <f>IF(A109="","",SUMIFS(Purchases[Quantity],Purchases[ProductID],A109))</f>
        <v/>
      </c>
      <c r="J109">
        <f>IF(A109="","",SUMIFS(Sales[Quantity],Sales[ProductID],A109))</f>
        <v/>
      </c>
      <c r="K109">
        <f>IF(A109="","",N(G109)+N(I109)-N(J109))</f>
        <v/>
      </c>
      <c r="L109" s="10">
        <f>IF(K109="","",K109*N(F109))</f>
        <v/>
      </c>
      <c r="M109">
        <f>IF(K109="","",IF(K109&lt;=N(H109),"LOW","OK"))</f>
        <v/>
      </c>
    </row>
    <row r="110">
      <c r="E110" s="10" t="n"/>
      <c r="F110" s="10" t="n"/>
      <c r="I110">
        <f>IF(A110="","",SUMIFS(Purchases[Quantity],Purchases[ProductID],A110))</f>
        <v/>
      </c>
      <c r="J110">
        <f>IF(A110="","",SUMIFS(Sales[Quantity],Sales[ProductID],A110))</f>
        <v/>
      </c>
      <c r="K110">
        <f>IF(A110="","",N(G110)+N(I110)-N(J110))</f>
        <v/>
      </c>
      <c r="L110" s="10">
        <f>IF(K110="","",K110*N(F110))</f>
        <v/>
      </c>
      <c r="M110">
        <f>IF(K110="","",IF(K110&lt;=N(H110),"LOW","OK"))</f>
        <v/>
      </c>
    </row>
    <row r="111">
      <c r="E111" s="10" t="n"/>
      <c r="F111" s="10" t="n"/>
      <c r="I111">
        <f>IF(A111="","",SUMIFS(Purchases[Quantity],Purchases[ProductID],A111))</f>
        <v/>
      </c>
      <c r="J111">
        <f>IF(A111="","",SUMIFS(Sales[Quantity],Sales[ProductID],A111))</f>
        <v/>
      </c>
      <c r="K111">
        <f>IF(A111="","",N(G111)+N(I111)-N(J111))</f>
        <v/>
      </c>
      <c r="L111" s="10">
        <f>IF(K111="","",K111*N(F111))</f>
        <v/>
      </c>
      <c r="M111">
        <f>IF(K111="","",IF(K111&lt;=N(H111),"LOW","OK"))</f>
        <v/>
      </c>
    </row>
    <row r="112">
      <c r="E112" s="10" t="n"/>
      <c r="F112" s="10" t="n"/>
      <c r="I112">
        <f>IF(A112="","",SUMIFS(Purchases[Quantity],Purchases[ProductID],A112))</f>
        <v/>
      </c>
      <c r="J112">
        <f>IF(A112="","",SUMIFS(Sales[Quantity],Sales[ProductID],A112))</f>
        <v/>
      </c>
      <c r="K112">
        <f>IF(A112="","",N(G112)+N(I112)-N(J112))</f>
        <v/>
      </c>
      <c r="L112" s="10">
        <f>IF(K112="","",K112*N(F112))</f>
        <v/>
      </c>
      <c r="M112">
        <f>IF(K112="","",IF(K112&lt;=N(H112),"LOW","OK"))</f>
        <v/>
      </c>
    </row>
    <row r="113">
      <c r="E113" s="10" t="n"/>
      <c r="F113" s="10" t="n"/>
      <c r="I113">
        <f>IF(A113="","",SUMIFS(Purchases[Quantity],Purchases[ProductID],A113))</f>
        <v/>
      </c>
      <c r="J113">
        <f>IF(A113="","",SUMIFS(Sales[Quantity],Sales[ProductID],A113))</f>
        <v/>
      </c>
      <c r="K113">
        <f>IF(A113="","",N(G113)+N(I113)-N(J113))</f>
        <v/>
      </c>
      <c r="L113" s="10">
        <f>IF(K113="","",K113*N(F113))</f>
        <v/>
      </c>
      <c r="M113">
        <f>IF(K113="","",IF(K113&lt;=N(H113),"LOW","OK"))</f>
        <v/>
      </c>
    </row>
    <row r="114">
      <c r="E114" s="10" t="n"/>
      <c r="F114" s="10" t="n"/>
      <c r="I114">
        <f>IF(A114="","",SUMIFS(Purchases[Quantity],Purchases[ProductID],A114))</f>
        <v/>
      </c>
      <c r="J114">
        <f>IF(A114="","",SUMIFS(Sales[Quantity],Sales[ProductID],A114))</f>
        <v/>
      </c>
      <c r="K114">
        <f>IF(A114="","",N(G114)+N(I114)-N(J114))</f>
        <v/>
      </c>
      <c r="L114" s="10">
        <f>IF(K114="","",K114*N(F114))</f>
        <v/>
      </c>
      <c r="M114">
        <f>IF(K114="","",IF(K114&lt;=N(H114),"LOW","OK"))</f>
        <v/>
      </c>
    </row>
    <row r="115">
      <c r="E115" s="10" t="n"/>
      <c r="F115" s="10" t="n"/>
      <c r="I115">
        <f>IF(A115="","",SUMIFS(Purchases[Quantity],Purchases[ProductID],A115))</f>
        <v/>
      </c>
      <c r="J115">
        <f>IF(A115="","",SUMIFS(Sales[Quantity],Sales[ProductID],A115))</f>
        <v/>
      </c>
      <c r="K115">
        <f>IF(A115="","",N(G115)+N(I115)-N(J115))</f>
        <v/>
      </c>
      <c r="L115" s="10">
        <f>IF(K115="","",K115*N(F115))</f>
        <v/>
      </c>
      <c r="M115">
        <f>IF(K115="","",IF(K115&lt;=N(H115),"LOW","OK"))</f>
        <v/>
      </c>
    </row>
    <row r="116">
      <c r="E116" s="10" t="n"/>
      <c r="F116" s="10" t="n"/>
      <c r="I116">
        <f>IF(A116="","",SUMIFS(Purchases[Quantity],Purchases[ProductID],A116))</f>
        <v/>
      </c>
      <c r="J116">
        <f>IF(A116="","",SUMIFS(Sales[Quantity],Sales[ProductID],A116))</f>
        <v/>
      </c>
      <c r="K116">
        <f>IF(A116="","",N(G116)+N(I116)-N(J116))</f>
        <v/>
      </c>
      <c r="L116" s="10">
        <f>IF(K116="","",K116*N(F116))</f>
        <v/>
      </c>
      <c r="M116">
        <f>IF(K116="","",IF(K116&lt;=N(H116),"LOW","OK"))</f>
        <v/>
      </c>
    </row>
    <row r="117">
      <c r="E117" s="10" t="n"/>
      <c r="F117" s="10" t="n"/>
      <c r="I117">
        <f>IF(A117="","",SUMIFS(Purchases[Quantity],Purchases[ProductID],A117))</f>
        <v/>
      </c>
      <c r="J117">
        <f>IF(A117="","",SUMIFS(Sales[Quantity],Sales[ProductID],A117))</f>
        <v/>
      </c>
      <c r="K117">
        <f>IF(A117="","",N(G117)+N(I117)-N(J117))</f>
        <v/>
      </c>
      <c r="L117" s="10">
        <f>IF(K117="","",K117*N(F117))</f>
        <v/>
      </c>
      <c r="M117">
        <f>IF(K117="","",IF(K117&lt;=N(H117),"LOW","OK"))</f>
        <v/>
      </c>
    </row>
    <row r="118">
      <c r="E118" s="10" t="n"/>
      <c r="F118" s="10" t="n"/>
      <c r="I118">
        <f>IF(A118="","",SUMIFS(Purchases[Quantity],Purchases[ProductID],A118))</f>
        <v/>
      </c>
      <c r="J118">
        <f>IF(A118="","",SUMIFS(Sales[Quantity],Sales[ProductID],A118))</f>
        <v/>
      </c>
      <c r="K118">
        <f>IF(A118="","",N(G118)+N(I118)-N(J118))</f>
        <v/>
      </c>
      <c r="L118" s="10">
        <f>IF(K118="","",K118*N(F118))</f>
        <v/>
      </c>
      <c r="M118">
        <f>IF(K118="","",IF(K118&lt;=N(H118),"LOW","OK"))</f>
        <v/>
      </c>
    </row>
    <row r="119">
      <c r="E119" s="10" t="n"/>
      <c r="F119" s="10" t="n"/>
      <c r="I119">
        <f>IF(A119="","",SUMIFS(Purchases[Quantity],Purchases[ProductID],A119))</f>
        <v/>
      </c>
      <c r="J119">
        <f>IF(A119="","",SUMIFS(Sales[Quantity],Sales[ProductID],A119))</f>
        <v/>
      </c>
      <c r="K119">
        <f>IF(A119="","",N(G119)+N(I119)-N(J119))</f>
        <v/>
      </c>
      <c r="L119" s="10">
        <f>IF(K119="","",K119*N(F119))</f>
        <v/>
      </c>
      <c r="M119">
        <f>IF(K119="","",IF(K119&lt;=N(H119),"LOW","OK"))</f>
        <v/>
      </c>
    </row>
    <row r="120">
      <c r="E120" s="10" t="n"/>
      <c r="F120" s="10" t="n"/>
      <c r="I120">
        <f>IF(A120="","",SUMIFS(Purchases[Quantity],Purchases[ProductID],A120))</f>
        <v/>
      </c>
      <c r="J120">
        <f>IF(A120="","",SUMIFS(Sales[Quantity],Sales[ProductID],A120))</f>
        <v/>
      </c>
      <c r="K120">
        <f>IF(A120="","",N(G120)+N(I120)-N(J120))</f>
        <v/>
      </c>
      <c r="L120" s="10">
        <f>IF(K120="","",K120*N(F120))</f>
        <v/>
      </c>
      <c r="M120">
        <f>IF(K120="","",IF(K120&lt;=N(H120),"LOW","OK"))</f>
        <v/>
      </c>
    </row>
    <row r="121">
      <c r="E121" s="10" t="n"/>
      <c r="F121" s="10" t="n"/>
      <c r="I121">
        <f>IF(A121="","",SUMIFS(Purchases[Quantity],Purchases[ProductID],A121))</f>
        <v/>
      </c>
      <c r="J121">
        <f>IF(A121="","",SUMIFS(Sales[Quantity],Sales[ProductID],A121))</f>
        <v/>
      </c>
      <c r="K121">
        <f>IF(A121="","",N(G121)+N(I121)-N(J121))</f>
        <v/>
      </c>
      <c r="L121" s="10">
        <f>IF(K121="","",K121*N(F121))</f>
        <v/>
      </c>
      <c r="M121">
        <f>IF(K121="","",IF(K121&lt;=N(H121),"LOW","OK"))</f>
        <v/>
      </c>
    </row>
    <row r="122">
      <c r="E122" s="10" t="n"/>
      <c r="F122" s="10" t="n"/>
      <c r="I122">
        <f>IF(A122="","",SUMIFS(Purchases[Quantity],Purchases[ProductID],A122))</f>
        <v/>
      </c>
      <c r="J122">
        <f>IF(A122="","",SUMIFS(Sales[Quantity],Sales[ProductID],A122))</f>
        <v/>
      </c>
      <c r="K122">
        <f>IF(A122="","",N(G122)+N(I122)-N(J122))</f>
        <v/>
      </c>
      <c r="L122" s="10">
        <f>IF(K122="","",K122*N(F122))</f>
        <v/>
      </c>
      <c r="M122">
        <f>IF(K122="","",IF(K122&lt;=N(H122),"LOW","OK"))</f>
        <v/>
      </c>
    </row>
    <row r="123">
      <c r="E123" s="10" t="n"/>
      <c r="F123" s="10" t="n"/>
      <c r="I123">
        <f>IF(A123="","",SUMIFS(Purchases[Quantity],Purchases[ProductID],A123))</f>
        <v/>
      </c>
      <c r="J123">
        <f>IF(A123="","",SUMIFS(Sales[Quantity],Sales[ProductID],A123))</f>
        <v/>
      </c>
      <c r="K123">
        <f>IF(A123="","",N(G123)+N(I123)-N(J123))</f>
        <v/>
      </c>
      <c r="L123" s="10">
        <f>IF(K123="","",K123*N(F123))</f>
        <v/>
      </c>
      <c r="M123">
        <f>IF(K123="","",IF(K123&lt;=N(H123),"LOW","OK"))</f>
        <v/>
      </c>
    </row>
    <row r="124">
      <c r="E124" s="10" t="n"/>
      <c r="F124" s="10" t="n"/>
      <c r="I124">
        <f>IF(A124="","",SUMIFS(Purchases[Quantity],Purchases[ProductID],A124))</f>
        <v/>
      </c>
      <c r="J124">
        <f>IF(A124="","",SUMIFS(Sales[Quantity],Sales[ProductID],A124))</f>
        <v/>
      </c>
      <c r="K124">
        <f>IF(A124="","",N(G124)+N(I124)-N(J124))</f>
        <v/>
      </c>
      <c r="L124" s="10">
        <f>IF(K124="","",K124*N(F124))</f>
        <v/>
      </c>
      <c r="M124">
        <f>IF(K124="","",IF(K124&lt;=N(H124),"LOW","OK"))</f>
        <v/>
      </c>
    </row>
    <row r="125">
      <c r="E125" s="10" t="n"/>
      <c r="F125" s="10" t="n"/>
      <c r="I125">
        <f>IF(A125="","",SUMIFS(Purchases[Quantity],Purchases[ProductID],A125))</f>
        <v/>
      </c>
      <c r="J125">
        <f>IF(A125="","",SUMIFS(Sales[Quantity],Sales[ProductID],A125))</f>
        <v/>
      </c>
      <c r="K125">
        <f>IF(A125="","",N(G125)+N(I125)-N(J125))</f>
        <v/>
      </c>
      <c r="L125" s="10">
        <f>IF(K125="","",K125*N(F125))</f>
        <v/>
      </c>
      <c r="M125">
        <f>IF(K125="","",IF(K125&lt;=N(H125),"LOW","OK"))</f>
        <v/>
      </c>
    </row>
    <row r="126">
      <c r="E126" s="10" t="n"/>
      <c r="F126" s="10" t="n"/>
      <c r="I126">
        <f>IF(A126="","",SUMIFS(Purchases[Quantity],Purchases[ProductID],A126))</f>
        <v/>
      </c>
      <c r="J126">
        <f>IF(A126="","",SUMIFS(Sales[Quantity],Sales[ProductID],A126))</f>
        <v/>
      </c>
      <c r="K126">
        <f>IF(A126="","",N(G126)+N(I126)-N(J126))</f>
        <v/>
      </c>
      <c r="L126" s="10">
        <f>IF(K126="","",K126*N(F126))</f>
        <v/>
      </c>
      <c r="M126">
        <f>IF(K126="","",IF(K126&lt;=N(H126),"LOW","OK"))</f>
        <v/>
      </c>
    </row>
    <row r="127">
      <c r="E127" s="10" t="n"/>
      <c r="F127" s="10" t="n"/>
      <c r="I127">
        <f>IF(A127="","",SUMIFS(Purchases[Quantity],Purchases[ProductID],A127))</f>
        <v/>
      </c>
      <c r="J127">
        <f>IF(A127="","",SUMIFS(Sales[Quantity],Sales[ProductID],A127))</f>
        <v/>
      </c>
      <c r="K127">
        <f>IF(A127="","",N(G127)+N(I127)-N(J127))</f>
        <v/>
      </c>
      <c r="L127" s="10">
        <f>IF(K127="","",K127*N(F127))</f>
        <v/>
      </c>
      <c r="M127">
        <f>IF(K127="","",IF(K127&lt;=N(H127),"LOW","OK"))</f>
        <v/>
      </c>
    </row>
    <row r="128">
      <c r="E128" s="10" t="n"/>
      <c r="F128" s="10" t="n"/>
      <c r="I128">
        <f>IF(A128="","",SUMIFS(Purchases[Quantity],Purchases[ProductID],A128))</f>
        <v/>
      </c>
      <c r="J128">
        <f>IF(A128="","",SUMIFS(Sales[Quantity],Sales[ProductID],A128))</f>
        <v/>
      </c>
      <c r="K128">
        <f>IF(A128="","",N(G128)+N(I128)-N(J128))</f>
        <v/>
      </c>
      <c r="L128" s="10">
        <f>IF(K128="","",K128*N(F128))</f>
        <v/>
      </c>
      <c r="M128">
        <f>IF(K128="","",IF(K128&lt;=N(H128),"LOW","OK"))</f>
        <v/>
      </c>
    </row>
    <row r="129">
      <c r="E129" s="10" t="n"/>
      <c r="F129" s="10" t="n"/>
      <c r="I129">
        <f>IF(A129="","",SUMIFS(Purchases[Quantity],Purchases[ProductID],A129))</f>
        <v/>
      </c>
      <c r="J129">
        <f>IF(A129="","",SUMIFS(Sales[Quantity],Sales[ProductID],A129))</f>
        <v/>
      </c>
      <c r="K129">
        <f>IF(A129="","",N(G129)+N(I129)-N(J129))</f>
        <v/>
      </c>
      <c r="L129" s="10">
        <f>IF(K129="","",K129*N(F129))</f>
        <v/>
      </c>
      <c r="M129">
        <f>IF(K129="","",IF(K129&lt;=N(H129),"LOW","OK"))</f>
        <v/>
      </c>
    </row>
    <row r="130">
      <c r="E130" s="10" t="n"/>
      <c r="F130" s="10" t="n"/>
      <c r="I130">
        <f>IF(A130="","",SUMIFS(Purchases[Quantity],Purchases[ProductID],A130))</f>
        <v/>
      </c>
      <c r="J130">
        <f>IF(A130="","",SUMIFS(Sales[Quantity],Sales[ProductID],A130))</f>
        <v/>
      </c>
      <c r="K130">
        <f>IF(A130="","",N(G130)+N(I130)-N(J130))</f>
        <v/>
      </c>
      <c r="L130" s="10">
        <f>IF(K130="","",K130*N(F130))</f>
        <v/>
      </c>
      <c r="M130">
        <f>IF(K130="","",IF(K130&lt;=N(H130),"LOW","OK"))</f>
        <v/>
      </c>
    </row>
    <row r="131">
      <c r="E131" s="10" t="n"/>
      <c r="F131" s="10" t="n"/>
      <c r="I131">
        <f>IF(A131="","",SUMIFS(Purchases[Quantity],Purchases[ProductID],A131))</f>
        <v/>
      </c>
      <c r="J131">
        <f>IF(A131="","",SUMIFS(Sales[Quantity],Sales[ProductID],A131))</f>
        <v/>
      </c>
      <c r="K131">
        <f>IF(A131="","",N(G131)+N(I131)-N(J131))</f>
        <v/>
      </c>
      <c r="L131" s="10">
        <f>IF(K131="","",K131*N(F131))</f>
        <v/>
      </c>
      <c r="M131">
        <f>IF(K131="","",IF(K131&lt;=N(H131),"LOW","OK"))</f>
        <v/>
      </c>
    </row>
    <row r="132">
      <c r="E132" s="10" t="n"/>
      <c r="F132" s="10" t="n"/>
      <c r="I132">
        <f>IF(A132="","",SUMIFS(Purchases[Quantity],Purchases[ProductID],A132))</f>
        <v/>
      </c>
      <c r="J132">
        <f>IF(A132="","",SUMIFS(Sales[Quantity],Sales[ProductID],A132))</f>
        <v/>
      </c>
      <c r="K132">
        <f>IF(A132="","",N(G132)+N(I132)-N(J132))</f>
        <v/>
      </c>
      <c r="L132" s="10">
        <f>IF(K132="","",K132*N(F132))</f>
        <v/>
      </c>
      <c r="M132">
        <f>IF(K132="","",IF(K132&lt;=N(H132),"LOW","OK"))</f>
        <v/>
      </c>
    </row>
    <row r="133">
      <c r="E133" s="10" t="n"/>
      <c r="F133" s="10" t="n"/>
      <c r="I133">
        <f>IF(A133="","",SUMIFS(Purchases[Quantity],Purchases[ProductID],A133))</f>
        <v/>
      </c>
      <c r="J133">
        <f>IF(A133="","",SUMIFS(Sales[Quantity],Sales[ProductID],A133))</f>
        <v/>
      </c>
      <c r="K133">
        <f>IF(A133="","",N(G133)+N(I133)-N(J133))</f>
        <v/>
      </c>
      <c r="L133" s="10">
        <f>IF(K133="","",K133*N(F133))</f>
        <v/>
      </c>
      <c r="M133">
        <f>IF(K133="","",IF(K133&lt;=N(H133),"LOW","OK"))</f>
        <v/>
      </c>
    </row>
    <row r="134">
      <c r="E134" s="10" t="n"/>
      <c r="F134" s="10" t="n"/>
      <c r="I134">
        <f>IF(A134="","",SUMIFS(Purchases[Quantity],Purchases[ProductID],A134))</f>
        <v/>
      </c>
      <c r="J134">
        <f>IF(A134="","",SUMIFS(Sales[Quantity],Sales[ProductID],A134))</f>
        <v/>
      </c>
      <c r="K134">
        <f>IF(A134="","",N(G134)+N(I134)-N(J134))</f>
        <v/>
      </c>
      <c r="L134" s="10">
        <f>IF(K134="","",K134*N(F134))</f>
        <v/>
      </c>
      <c r="M134">
        <f>IF(K134="","",IF(K134&lt;=N(H134),"LOW","OK"))</f>
        <v/>
      </c>
    </row>
    <row r="135">
      <c r="E135" s="10" t="n"/>
      <c r="F135" s="10" t="n"/>
      <c r="I135">
        <f>IF(A135="","",SUMIFS(Purchases[Quantity],Purchases[ProductID],A135))</f>
        <v/>
      </c>
      <c r="J135">
        <f>IF(A135="","",SUMIFS(Sales[Quantity],Sales[ProductID],A135))</f>
        <v/>
      </c>
      <c r="K135">
        <f>IF(A135="","",N(G135)+N(I135)-N(J135))</f>
        <v/>
      </c>
      <c r="L135" s="10">
        <f>IF(K135="","",K135*N(F135))</f>
        <v/>
      </c>
      <c r="M135">
        <f>IF(K135="","",IF(K135&lt;=N(H135),"LOW","OK"))</f>
        <v/>
      </c>
    </row>
    <row r="136">
      <c r="E136" s="10" t="n"/>
      <c r="F136" s="10" t="n"/>
      <c r="I136">
        <f>IF(A136="","",SUMIFS(Purchases[Quantity],Purchases[ProductID],A136))</f>
        <v/>
      </c>
      <c r="J136">
        <f>IF(A136="","",SUMIFS(Sales[Quantity],Sales[ProductID],A136))</f>
        <v/>
      </c>
      <c r="K136">
        <f>IF(A136="","",N(G136)+N(I136)-N(J136))</f>
        <v/>
      </c>
      <c r="L136" s="10">
        <f>IF(K136="","",K136*N(F136))</f>
        <v/>
      </c>
      <c r="M136">
        <f>IF(K136="","",IF(K136&lt;=N(H136),"LOW","OK"))</f>
        <v/>
      </c>
    </row>
    <row r="137">
      <c r="E137" s="10" t="n"/>
      <c r="F137" s="10" t="n"/>
      <c r="I137">
        <f>IF(A137="","",SUMIFS(Purchases[Quantity],Purchases[ProductID],A137))</f>
        <v/>
      </c>
      <c r="J137">
        <f>IF(A137="","",SUMIFS(Sales[Quantity],Sales[ProductID],A137))</f>
        <v/>
      </c>
      <c r="K137">
        <f>IF(A137="","",N(G137)+N(I137)-N(J137))</f>
        <v/>
      </c>
      <c r="L137" s="10">
        <f>IF(K137="","",K137*N(F137))</f>
        <v/>
      </c>
      <c r="M137">
        <f>IF(K137="","",IF(K137&lt;=N(H137),"LOW","OK"))</f>
        <v/>
      </c>
    </row>
    <row r="138">
      <c r="E138" s="10" t="n"/>
      <c r="F138" s="10" t="n"/>
      <c r="I138">
        <f>IF(A138="","",SUMIFS(Purchases[Quantity],Purchases[ProductID],A138))</f>
        <v/>
      </c>
      <c r="J138">
        <f>IF(A138="","",SUMIFS(Sales[Quantity],Sales[ProductID],A138))</f>
        <v/>
      </c>
      <c r="K138">
        <f>IF(A138="","",N(G138)+N(I138)-N(J138))</f>
        <v/>
      </c>
      <c r="L138" s="10">
        <f>IF(K138="","",K138*N(F138))</f>
        <v/>
      </c>
      <c r="M138">
        <f>IF(K138="","",IF(K138&lt;=N(H138),"LOW","OK"))</f>
        <v/>
      </c>
    </row>
    <row r="139">
      <c r="E139" s="10" t="n"/>
      <c r="F139" s="10" t="n"/>
      <c r="I139">
        <f>IF(A139="","",SUMIFS(Purchases[Quantity],Purchases[ProductID],A139))</f>
        <v/>
      </c>
      <c r="J139">
        <f>IF(A139="","",SUMIFS(Sales[Quantity],Sales[ProductID],A139))</f>
        <v/>
      </c>
      <c r="K139">
        <f>IF(A139="","",N(G139)+N(I139)-N(J139))</f>
        <v/>
      </c>
      <c r="L139" s="10">
        <f>IF(K139="","",K139*N(F139))</f>
        <v/>
      </c>
      <c r="M139">
        <f>IF(K139="","",IF(K139&lt;=N(H139),"LOW","OK"))</f>
        <v/>
      </c>
    </row>
    <row r="140">
      <c r="E140" s="10" t="n"/>
      <c r="F140" s="10" t="n"/>
      <c r="I140">
        <f>IF(A140="","",SUMIFS(Purchases[Quantity],Purchases[ProductID],A140))</f>
        <v/>
      </c>
      <c r="J140">
        <f>IF(A140="","",SUMIFS(Sales[Quantity],Sales[ProductID],A140))</f>
        <v/>
      </c>
      <c r="K140">
        <f>IF(A140="","",N(G140)+N(I140)-N(J140))</f>
        <v/>
      </c>
      <c r="L140" s="10">
        <f>IF(K140="","",K140*N(F140))</f>
        <v/>
      </c>
      <c r="M140">
        <f>IF(K140="","",IF(K140&lt;=N(H140),"LOW","OK"))</f>
        <v/>
      </c>
    </row>
    <row r="141">
      <c r="E141" s="10" t="n"/>
      <c r="F141" s="10" t="n"/>
      <c r="I141">
        <f>IF(A141="","",SUMIFS(Purchases[Quantity],Purchases[ProductID],A141))</f>
        <v/>
      </c>
      <c r="J141">
        <f>IF(A141="","",SUMIFS(Sales[Quantity],Sales[ProductID],A141))</f>
        <v/>
      </c>
      <c r="K141">
        <f>IF(A141="","",N(G141)+N(I141)-N(J141))</f>
        <v/>
      </c>
      <c r="L141" s="10">
        <f>IF(K141="","",K141*N(F141))</f>
        <v/>
      </c>
      <c r="M141">
        <f>IF(K141="","",IF(K141&lt;=N(H141),"LOW","OK"))</f>
        <v/>
      </c>
    </row>
    <row r="142">
      <c r="E142" s="10" t="n"/>
      <c r="F142" s="10" t="n"/>
      <c r="I142">
        <f>IF(A142="","",SUMIFS(Purchases[Quantity],Purchases[ProductID],A142))</f>
        <v/>
      </c>
      <c r="J142">
        <f>IF(A142="","",SUMIFS(Sales[Quantity],Sales[ProductID],A142))</f>
        <v/>
      </c>
      <c r="K142">
        <f>IF(A142="","",N(G142)+N(I142)-N(J142))</f>
        <v/>
      </c>
      <c r="L142" s="10">
        <f>IF(K142="","",K142*N(F142))</f>
        <v/>
      </c>
      <c r="M142">
        <f>IF(K142="","",IF(K142&lt;=N(H142),"LOW","OK"))</f>
        <v/>
      </c>
    </row>
    <row r="143">
      <c r="E143" s="10" t="n"/>
      <c r="F143" s="10" t="n"/>
      <c r="I143">
        <f>IF(A143="","",SUMIFS(Purchases[Quantity],Purchases[ProductID],A143))</f>
        <v/>
      </c>
      <c r="J143">
        <f>IF(A143="","",SUMIFS(Sales[Quantity],Sales[ProductID],A143))</f>
        <v/>
      </c>
      <c r="K143">
        <f>IF(A143="","",N(G143)+N(I143)-N(J143))</f>
        <v/>
      </c>
      <c r="L143" s="10">
        <f>IF(K143="","",K143*N(F143))</f>
        <v/>
      </c>
      <c r="M143">
        <f>IF(K143="","",IF(K143&lt;=N(H143),"LOW","OK"))</f>
        <v/>
      </c>
    </row>
    <row r="144">
      <c r="E144" s="10" t="n"/>
      <c r="F144" s="10" t="n"/>
      <c r="I144">
        <f>IF(A144="","",SUMIFS(Purchases[Quantity],Purchases[ProductID],A144))</f>
        <v/>
      </c>
      <c r="J144">
        <f>IF(A144="","",SUMIFS(Sales[Quantity],Sales[ProductID],A144))</f>
        <v/>
      </c>
      <c r="K144">
        <f>IF(A144="","",N(G144)+N(I144)-N(J144))</f>
        <v/>
      </c>
      <c r="L144" s="10">
        <f>IF(K144="","",K144*N(F144))</f>
        <v/>
      </c>
      <c r="M144">
        <f>IF(K144="","",IF(K144&lt;=N(H144),"LOW","OK"))</f>
        <v/>
      </c>
    </row>
    <row r="145">
      <c r="E145" s="10" t="n"/>
      <c r="F145" s="10" t="n"/>
      <c r="I145">
        <f>IF(A145="","",SUMIFS(Purchases[Quantity],Purchases[ProductID],A145))</f>
        <v/>
      </c>
      <c r="J145">
        <f>IF(A145="","",SUMIFS(Sales[Quantity],Sales[ProductID],A145))</f>
        <v/>
      </c>
      <c r="K145">
        <f>IF(A145="","",N(G145)+N(I145)-N(J145))</f>
        <v/>
      </c>
      <c r="L145" s="10">
        <f>IF(K145="","",K145*N(F145))</f>
        <v/>
      </c>
      <c r="M145">
        <f>IF(K145="","",IF(K145&lt;=N(H145),"LOW","OK"))</f>
        <v/>
      </c>
    </row>
    <row r="146">
      <c r="E146" s="10" t="n"/>
      <c r="F146" s="10" t="n"/>
      <c r="I146">
        <f>IF(A146="","",SUMIFS(Purchases[Quantity],Purchases[ProductID],A146))</f>
        <v/>
      </c>
      <c r="J146">
        <f>IF(A146="","",SUMIFS(Sales[Quantity],Sales[ProductID],A146))</f>
        <v/>
      </c>
      <c r="K146">
        <f>IF(A146="","",N(G146)+N(I146)-N(J146))</f>
        <v/>
      </c>
      <c r="L146" s="10">
        <f>IF(K146="","",K146*N(F146))</f>
        <v/>
      </c>
      <c r="M146">
        <f>IF(K146="","",IF(K146&lt;=N(H146),"LOW","OK"))</f>
        <v/>
      </c>
    </row>
    <row r="147">
      <c r="E147" s="10" t="n"/>
      <c r="F147" s="10" t="n"/>
      <c r="I147">
        <f>IF(A147="","",SUMIFS(Purchases[Quantity],Purchases[ProductID],A147))</f>
        <v/>
      </c>
      <c r="J147">
        <f>IF(A147="","",SUMIFS(Sales[Quantity],Sales[ProductID],A147))</f>
        <v/>
      </c>
      <c r="K147">
        <f>IF(A147="","",N(G147)+N(I147)-N(J147))</f>
        <v/>
      </c>
      <c r="L147" s="10">
        <f>IF(K147="","",K147*N(F147))</f>
        <v/>
      </c>
      <c r="M147">
        <f>IF(K147="","",IF(K147&lt;=N(H147),"LOW","OK"))</f>
        <v/>
      </c>
    </row>
    <row r="148">
      <c r="E148" s="10" t="n"/>
      <c r="F148" s="10" t="n"/>
      <c r="I148">
        <f>IF(A148="","",SUMIFS(Purchases[Quantity],Purchases[ProductID],A148))</f>
        <v/>
      </c>
      <c r="J148">
        <f>IF(A148="","",SUMIFS(Sales[Quantity],Sales[ProductID],A148))</f>
        <v/>
      </c>
      <c r="K148">
        <f>IF(A148="","",N(G148)+N(I148)-N(J148))</f>
        <v/>
      </c>
      <c r="L148" s="10">
        <f>IF(K148="","",K148*N(F148))</f>
        <v/>
      </c>
      <c r="M148">
        <f>IF(K148="","",IF(K148&lt;=N(H148),"LOW","OK"))</f>
        <v/>
      </c>
    </row>
    <row r="149">
      <c r="E149" s="10" t="n"/>
      <c r="F149" s="10" t="n"/>
      <c r="I149">
        <f>IF(A149="","",SUMIFS(Purchases[Quantity],Purchases[ProductID],A149))</f>
        <v/>
      </c>
      <c r="J149">
        <f>IF(A149="","",SUMIFS(Sales[Quantity],Sales[ProductID],A149))</f>
        <v/>
      </c>
      <c r="K149">
        <f>IF(A149="","",N(G149)+N(I149)-N(J149))</f>
        <v/>
      </c>
      <c r="L149" s="10">
        <f>IF(K149="","",K149*N(F149))</f>
        <v/>
      </c>
      <c r="M149">
        <f>IF(K149="","",IF(K149&lt;=N(H149),"LOW","OK"))</f>
        <v/>
      </c>
    </row>
    <row r="150">
      <c r="E150" s="10" t="n"/>
      <c r="F150" s="10" t="n"/>
      <c r="I150">
        <f>IF(A150="","",SUMIFS(Purchases[Quantity],Purchases[ProductID],A150))</f>
        <v/>
      </c>
      <c r="J150">
        <f>IF(A150="","",SUMIFS(Sales[Quantity],Sales[ProductID],A150))</f>
        <v/>
      </c>
      <c r="K150">
        <f>IF(A150="","",N(G150)+N(I150)-N(J150))</f>
        <v/>
      </c>
      <c r="L150" s="10">
        <f>IF(K150="","",K150*N(F150))</f>
        <v/>
      </c>
      <c r="M150">
        <f>IF(K150="","",IF(K150&lt;=N(H150),"LOW","OK"))</f>
        <v/>
      </c>
    </row>
    <row r="151">
      <c r="E151" s="10" t="n"/>
      <c r="F151" s="10" t="n"/>
      <c r="I151">
        <f>IF(A151="","",SUMIFS(Purchases[Quantity],Purchases[ProductID],A151))</f>
        <v/>
      </c>
      <c r="J151">
        <f>IF(A151="","",SUMIFS(Sales[Quantity],Sales[ProductID],A151))</f>
        <v/>
      </c>
      <c r="K151">
        <f>IF(A151="","",N(G151)+N(I151)-N(J151))</f>
        <v/>
      </c>
      <c r="L151" s="10">
        <f>IF(K151="","",K151*N(F151))</f>
        <v/>
      </c>
      <c r="M151">
        <f>IF(K151="","",IF(K151&lt;=N(H151),"LOW","OK"))</f>
        <v/>
      </c>
    </row>
    <row r="152">
      <c r="E152" s="10" t="n"/>
      <c r="F152" s="10" t="n"/>
      <c r="I152">
        <f>IF(A152="","",SUMIFS(Purchases[Quantity],Purchases[ProductID],A152))</f>
        <v/>
      </c>
      <c r="J152">
        <f>IF(A152="","",SUMIFS(Sales[Quantity],Sales[ProductID],A152))</f>
        <v/>
      </c>
      <c r="K152">
        <f>IF(A152="","",N(G152)+N(I152)-N(J152))</f>
        <v/>
      </c>
      <c r="L152" s="10">
        <f>IF(K152="","",K152*N(F152))</f>
        <v/>
      </c>
      <c r="M152">
        <f>IF(K152="","",IF(K152&lt;=N(H152),"LOW","OK"))</f>
        <v/>
      </c>
    </row>
    <row r="153">
      <c r="E153" s="10" t="n"/>
      <c r="F153" s="10" t="n"/>
      <c r="I153">
        <f>IF(A153="","",SUMIFS(Purchases[Quantity],Purchases[ProductID],A153))</f>
        <v/>
      </c>
      <c r="J153">
        <f>IF(A153="","",SUMIFS(Sales[Quantity],Sales[ProductID],A153))</f>
        <v/>
      </c>
      <c r="K153">
        <f>IF(A153="","",N(G153)+N(I153)-N(J153))</f>
        <v/>
      </c>
      <c r="L153" s="10">
        <f>IF(K153="","",K153*N(F153))</f>
        <v/>
      </c>
      <c r="M153">
        <f>IF(K153="","",IF(K153&lt;=N(H153),"LOW","OK"))</f>
        <v/>
      </c>
    </row>
    <row r="154">
      <c r="E154" s="10" t="n"/>
      <c r="F154" s="10" t="n"/>
      <c r="I154">
        <f>IF(A154="","",SUMIFS(Purchases[Quantity],Purchases[ProductID],A154))</f>
        <v/>
      </c>
      <c r="J154">
        <f>IF(A154="","",SUMIFS(Sales[Quantity],Sales[ProductID],A154))</f>
        <v/>
      </c>
      <c r="K154">
        <f>IF(A154="","",N(G154)+N(I154)-N(J154))</f>
        <v/>
      </c>
      <c r="L154" s="10">
        <f>IF(K154="","",K154*N(F154))</f>
        <v/>
      </c>
      <c r="M154">
        <f>IF(K154="","",IF(K154&lt;=N(H154),"LOW","OK"))</f>
        <v/>
      </c>
    </row>
    <row r="155">
      <c r="E155" s="10" t="n"/>
      <c r="F155" s="10" t="n"/>
      <c r="I155">
        <f>IF(A155="","",SUMIFS(Purchases[Quantity],Purchases[ProductID],A155))</f>
        <v/>
      </c>
      <c r="J155">
        <f>IF(A155="","",SUMIFS(Sales[Quantity],Sales[ProductID],A155))</f>
        <v/>
      </c>
      <c r="K155">
        <f>IF(A155="","",N(G155)+N(I155)-N(J155))</f>
        <v/>
      </c>
      <c r="L155" s="10">
        <f>IF(K155="","",K155*N(F155))</f>
        <v/>
      </c>
      <c r="M155">
        <f>IF(K155="","",IF(K155&lt;=N(H155),"LOW","OK"))</f>
        <v/>
      </c>
    </row>
    <row r="156">
      <c r="E156" s="10" t="n"/>
      <c r="F156" s="10" t="n"/>
      <c r="I156">
        <f>IF(A156="","",SUMIFS(Purchases[Quantity],Purchases[ProductID],A156))</f>
        <v/>
      </c>
      <c r="J156">
        <f>IF(A156="","",SUMIFS(Sales[Quantity],Sales[ProductID],A156))</f>
        <v/>
      </c>
      <c r="K156">
        <f>IF(A156="","",N(G156)+N(I156)-N(J156))</f>
        <v/>
      </c>
      <c r="L156" s="10">
        <f>IF(K156="","",K156*N(F156))</f>
        <v/>
      </c>
      <c r="M156">
        <f>IF(K156="","",IF(K156&lt;=N(H156),"LOW","OK"))</f>
        <v/>
      </c>
    </row>
    <row r="157">
      <c r="E157" s="10" t="n"/>
      <c r="F157" s="10" t="n"/>
      <c r="I157">
        <f>IF(A157="","",SUMIFS(Purchases[Quantity],Purchases[ProductID],A157))</f>
        <v/>
      </c>
      <c r="J157">
        <f>IF(A157="","",SUMIFS(Sales[Quantity],Sales[ProductID],A157))</f>
        <v/>
      </c>
      <c r="K157">
        <f>IF(A157="","",N(G157)+N(I157)-N(J157))</f>
        <v/>
      </c>
      <c r="L157" s="10">
        <f>IF(K157="","",K157*N(F157))</f>
        <v/>
      </c>
      <c r="M157">
        <f>IF(K157="","",IF(K157&lt;=N(H157),"LOW","OK"))</f>
        <v/>
      </c>
    </row>
    <row r="158">
      <c r="E158" s="10" t="n"/>
      <c r="F158" s="10" t="n"/>
      <c r="I158">
        <f>IF(A158="","",SUMIFS(Purchases[Quantity],Purchases[ProductID],A158))</f>
        <v/>
      </c>
      <c r="J158">
        <f>IF(A158="","",SUMIFS(Sales[Quantity],Sales[ProductID],A158))</f>
        <v/>
      </c>
      <c r="K158">
        <f>IF(A158="","",N(G158)+N(I158)-N(J158))</f>
        <v/>
      </c>
      <c r="L158" s="10">
        <f>IF(K158="","",K158*N(F158))</f>
        <v/>
      </c>
      <c r="M158">
        <f>IF(K158="","",IF(K158&lt;=N(H158),"LOW","OK"))</f>
        <v/>
      </c>
    </row>
    <row r="159">
      <c r="E159" s="10" t="n"/>
      <c r="F159" s="10" t="n"/>
      <c r="I159">
        <f>IF(A159="","",SUMIFS(Purchases[Quantity],Purchases[ProductID],A159))</f>
        <v/>
      </c>
      <c r="J159">
        <f>IF(A159="","",SUMIFS(Sales[Quantity],Sales[ProductID],A159))</f>
        <v/>
      </c>
      <c r="K159">
        <f>IF(A159="","",N(G159)+N(I159)-N(J159))</f>
        <v/>
      </c>
      <c r="L159" s="10">
        <f>IF(K159="","",K159*N(F159))</f>
        <v/>
      </c>
      <c r="M159">
        <f>IF(K159="","",IF(K159&lt;=N(H159),"LOW","OK"))</f>
        <v/>
      </c>
    </row>
    <row r="160">
      <c r="E160" s="10" t="n"/>
      <c r="F160" s="10" t="n"/>
      <c r="I160">
        <f>IF(A160="","",SUMIFS(Purchases[Quantity],Purchases[ProductID],A160))</f>
        <v/>
      </c>
      <c r="J160">
        <f>IF(A160="","",SUMIFS(Sales[Quantity],Sales[ProductID],A160))</f>
        <v/>
      </c>
      <c r="K160">
        <f>IF(A160="","",N(G160)+N(I160)-N(J160))</f>
        <v/>
      </c>
      <c r="L160" s="10">
        <f>IF(K160="","",K160*N(F160))</f>
        <v/>
      </c>
      <c r="M160">
        <f>IF(K160="","",IF(K160&lt;=N(H160),"LOW","OK"))</f>
        <v/>
      </c>
    </row>
    <row r="161">
      <c r="E161" s="10" t="n"/>
      <c r="F161" s="10" t="n"/>
      <c r="I161">
        <f>IF(A161="","",SUMIFS(Purchases[Quantity],Purchases[ProductID],A161))</f>
        <v/>
      </c>
      <c r="J161">
        <f>IF(A161="","",SUMIFS(Sales[Quantity],Sales[ProductID],A161))</f>
        <v/>
      </c>
      <c r="K161">
        <f>IF(A161="","",N(G161)+N(I161)-N(J161))</f>
        <v/>
      </c>
      <c r="L161" s="10">
        <f>IF(K161="","",K161*N(F161))</f>
        <v/>
      </c>
      <c r="M161">
        <f>IF(K161="","",IF(K161&lt;=N(H161),"LOW","OK"))</f>
        <v/>
      </c>
    </row>
    <row r="162">
      <c r="E162" s="10" t="n"/>
      <c r="F162" s="10" t="n"/>
      <c r="I162">
        <f>IF(A162="","",SUMIFS(Purchases[Quantity],Purchases[ProductID],A162))</f>
        <v/>
      </c>
      <c r="J162">
        <f>IF(A162="","",SUMIFS(Sales[Quantity],Sales[ProductID],A162))</f>
        <v/>
      </c>
      <c r="K162">
        <f>IF(A162="","",N(G162)+N(I162)-N(J162))</f>
        <v/>
      </c>
      <c r="L162" s="10">
        <f>IF(K162="","",K162*N(F162))</f>
        <v/>
      </c>
      <c r="M162">
        <f>IF(K162="","",IF(K162&lt;=N(H162),"LOW","OK"))</f>
        <v/>
      </c>
    </row>
    <row r="163">
      <c r="E163" s="10" t="n"/>
      <c r="F163" s="10" t="n"/>
      <c r="I163">
        <f>IF(A163="","",SUMIFS(Purchases[Quantity],Purchases[ProductID],A163))</f>
        <v/>
      </c>
      <c r="J163">
        <f>IF(A163="","",SUMIFS(Sales[Quantity],Sales[ProductID],A163))</f>
        <v/>
      </c>
      <c r="K163">
        <f>IF(A163="","",N(G163)+N(I163)-N(J163))</f>
        <v/>
      </c>
      <c r="L163" s="10">
        <f>IF(K163="","",K163*N(F163))</f>
        <v/>
      </c>
      <c r="M163">
        <f>IF(K163="","",IF(K163&lt;=N(H163),"LOW","OK"))</f>
        <v/>
      </c>
    </row>
    <row r="164">
      <c r="E164" s="10" t="n"/>
      <c r="F164" s="10" t="n"/>
      <c r="I164">
        <f>IF(A164="","",SUMIFS(Purchases[Quantity],Purchases[ProductID],A164))</f>
        <v/>
      </c>
      <c r="J164">
        <f>IF(A164="","",SUMIFS(Sales[Quantity],Sales[ProductID],A164))</f>
        <v/>
      </c>
      <c r="K164">
        <f>IF(A164="","",N(G164)+N(I164)-N(J164))</f>
        <v/>
      </c>
      <c r="L164" s="10">
        <f>IF(K164="","",K164*N(F164))</f>
        <v/>
      </c>
      <c r="M164">
        <f>IF(K164="","",IF(K164&lt;=N(H164),"LOW","OK"))</f>
        <v/>
      </c>
    </row>
    <row r="165">
      <c r="E165" s="10" t="n"/>
      <c r="F165" s="10" t="n"/>
      <c r="I165">
        <f>IF(A165="","",SUMIFS(Purchases[Quantity],Purchases[ProductID],A165))</f>
        <v/>
      </c>
      <c r="J165">
        <f>IF(A165="","",SUMIFS(Sales[Quantity],Sales[ProductID],A165))</f>
        <v/>
      </c>
      <c r="K165">
        <f>IF(A165="","",N(G165)+N(I165)-N(J165))</f>
        <v/>
      </c>
      <c r="L165" s="10">
        <f>IF(K165="","",K165*N(F165))</f>
        <v/>
      </c>
      <c r="M165">
        <f>IF(K165="","",IF(K165&lt;=N(H165),"LOW","OK"))</f>
        <v/>
      </c>
    </row>
    <row r="166">
      <c r="E166" s="10" t="n"/>
      <c r="F166" s="10" t="n"/>
      <c r="I166">
        <f>IF(A166="","",SUMIFS(Purchases[Quantity],Purchases[ProductID],A166))</f>
        <v/>
      </c>
      <c r="J166">
        <f>IF(A166="","",SUMIFS(Sales[Quantity],Sales[ProductID],A166))</f>
        <v/>
      </c>
      <c r="K166">
        <f>IF(A166="","",N(G166)+N(I166)-N(J166))</f>
        <v/>
      </c>
      <c r="L166" s="10">
        <f>IF(K166="","",K166*N(F166))</f>
        <v/>
      </c>
      <c r="M166">
        <f>IF(K166="","",IF(K166&lt;=N(H166),"LOW","OK"))</f>
        <v/>
      </c>
    </row>
    <row r="167">
      <c r="E167" s="10" t="n"/>
      <c r="F167" s="10" t="n"/>
      <c r="I167">
        <f>IF(A167="","",SUMIFS(Purchases[Quantity],Purchases[ProductID],A167))</f>
        <v/>
      </c>
      <c r="J167">
        <f>IF(A167="","",SUMIFS(Sales[Quantity],Sales[ProductID],A167))</f>
        <v/>
      </c>
      <c r="K167">
        <f>IF(A167="","",N(G167)+N(I167)-N(J167))</f>
        <v/>
      </c>
      <c r="L167" s="10">
        <f>IF(K167="","",K167*N(F167))</f>
        <v/>
      </c>
      <c r="M167">
        <f>IF(K167="","",IF(K167&lt;=N(H167),"LOW","OK"))</f>
        <v/>
      </c>
    </row>
    <row r="168">
      <c r="E168" s="10" t="n"/>
      <c r="F168" s="10" t="n"/>
      <c r="I168">
        <f>IF(A168="","",SUMIFS(Purchases[Quantity],Purchases[ProductID],A168))</f>
        <v/>
      </c>
      <c r="J168">
        <f>IF(A168="","",SUMIFS(Sales[Quantity],Sales[ProductID],A168))</f>
        <v/>
      </c>
      <c r="K168">
        <f>IF(A168="","",N(G168)+N(I168)-N(J168))</f>
        <v/>
      </c>
      <c r="L168" s="10">
        <f>IF(K168="","",K168*N(F168))</f>
        <v/>
      </c>
      <c r="M168">
        <f>IF(K168="","",IF(K168&lt;=N(H168),"LOW","OK"))</f>
        <v/>
      </c>
    </row>
    <row r="169">
      <c r="E169" s="10" t="n"/>
      <c r="F169" s="10" t="n"/>
      <c r="I169">
        <f>IF(A169="","",SUMIFS(Purchases[Quantity],Purchases[ProductID],A169))</f>
        <v/>
      </c>
      <c r="J169">
        <f>IF(A169="","",SUMIFS(Sales[Quantity],Sales[ProductID],A169))</f>
        <v/>
      </c>
      <c r="K169">
        <f>IF(A169="","",N(G169)+N(I169)-N(J169))</f>
        <v/>
      </c>
      <c r="L169" s="10">
        <f>IF(K169="","",K169*N(F169))</f>
        <v/>
      </c>
      <c r="M169">
        <f>IF(K169="","",IF(K169&lt;=N(H169),"LOW","OK"))</f>
        <v/>
      </c>
    </row>
    <row r="170">
      <c r="E170" s="10" t="n"/>
      <c r="F170" s="10" t="n"/>
      <c r="I170">
        <f>IF(A170="","",SUMIFS(Purchases[Quantity],Purchases[ProductID],A170))</f>
        <v/>
      </c>
      <c r="J170">
        <f>IF(A170="","",SUMIFS(Sales[Quantity],Sales[ProductID],A170))</f>
        <v/>
      </c>
      <c r="K170">
        <f>IF(A170="","",N(G170)+N(I170)-N(J170))</f>
        <v/>
      </c>
      <c r="L170" s="10">
        <f>IF(K170="","",K170*N(F170))</f>
        <v/>
      </c>
      <c r="M170">
        <f>IF(K170="","",IF(K170&lt;=N(H170),"LOW","OK"))</f>
        <v/>
      </c>
    </row>
    <row r="171">
      <c r="E171" s="10" t="n"/>
      <c r="F171" s="10" t="n"/>
      <c r="I171">
        <f>IF(A171="","",SUMIFS(Purchases[Quantity],Purchases[ProductID],A171))</f>
        <v/>
      </c>
      <c r="J171">
        <f>IF(A171="","",SUMIFS(Sales[Quantity],Sales[ProductID],A171))</f>
        <v/>
      </c>
      <c r="K171">
        <f>IF(A171="","",N(G171)+N(I171)-N(J171))</f>
        <v/>
      </c>
      <c r="L171" s="10">
        <f>IF(K171="","",K171*N(F171))</f>
        <v/>
      </c>
      <c r="M171">
        <f>IF(K171="","",IF(K171&lt;=N(H171),"LOW","OK"))</f>
        <v/>
      </c>
    </row>
    <row r="172">
      <c r="E172" s="10" t="n"/>
      <c r="F172" s="10" t="n"/>
      <c r="I172">
        <f>IF(A172="","",SUMIFS(Purchases[Quantity],Purchases[ProductID],A172))</f>
        <v/>
      </c>
      <c r="J172">
        <f>IF(A172="","",SUMIFS(Sales[Quantity],Sales[ProductID],A172))</f>
        <v/>
      </c>
      <c r="K172">
        <f>IF(A172="","",N(G172)+N(I172)-N(J172))</f>
        <v/>
      </c>
      <c r="L172" s="10">
        <f>IF(K172="","",K172*N(F172))</f>
        <v/>
      </c>
      <c r="M172">
        <f>IF(K172="","",IF(K172&lt;=N(H172),"LOW","OK"))</f>
        <v/>
      </c>
    </row>
    <row r="173">
      <c r="E173" s="10" t="n"/>
      <c r="F173" s="10" t="n"/>
      <c r="I173">
        <f>IF(A173="","",SUMIFS(Purchases[Quantity],Purchases[ProductID],A173))</f>
        <v/>
      </c>
      <c r="J173">
        <f>IF(A173="","",SUMIFS(Sales[Quantity],Sales[ProductID],A173))</f>
        <v/>
      </c>
      <c r="K173">
        <f>IF(A173="","",N(G173)+N(I173)-N(J173))</f>
        <v/>
      </c>
      <c r="L173" s="10">
        <f>IF(K173="","",K173*N(F173))</f>
        <v/>
      </c>
      <c r="M173">
        <f>IF(K173="","",IF(K173&lt;=N(H173),"LOW","OK"))</f>
        <v/>
      </c>
    </row>
    <row r="174">
      <c r="E174" s="10" t="n"/>
      <c r="F174" s="10" t="n"/>
      <c r="I174">
        <f>IF(A174="","",SUMIFS(Purchases[Quantity],Purchases[ProductID],A174))</f>
        <v/>
      </c>
      <c r="J174">
        <f>IF(A174="","",SUMIFS(Sales[Quantity],Sales[ProductID],A174))</f>
        <v/>
      </c>
      <c r="K174">
        <f>IF(A174="","",N(G174)+N(I174)-N(J174))</f>
        <v/>
      </c>
      <c r="L174" s="10">
        <f>IF(K174="","",K174*N(F174))</f>
        <v/>
      </c>
      <c r="M174">
        <f>IF(K174="","",IF(K174&lt;=N(H174),"LOW","OK"))</f>
        <v/>
      </c>
    </row>
    <row r="175">
      <c r="E175" s="10" t="n"/>
      <c r="F175" s="10" t="n"/>
      <c r="I175">
        <f>IF(A175="","",SUMIFS(Purchases[Quantity],Purchases[ProductID],A175))</f>
        <v/>
      </c>
      <c r="J175">
        <f>IF(A175="","",SUMIFS(Sales[Quantity],Sales[ProductID],A175))</f>
        <v/>
      </c>
      <c r="K175">
        <f>IF(A175="","",N(G175)+N(I175)-N(J175))</f>
        <v/>
      </c>
      <c r="L175" s="10">
        <f>IF(K175="","",K175*N(F175))</f>
        <v/>
      </c>
      <c r="M175">
        <f>IF(K175="","",IF(K175&lt;=N(H175),"LOW","OK"))</f>
        <v/>
      </c>
    </row>
    <row r="176">
      <c r="E176" s="10" t="n"/>
      <c r="F176" s="10" t="n"/>
      <c r="I176">
        <f>IF(A176="","",SUMIFS(Purchases[Quantity],Purchases[ProductID],A176))</f>
        <v/>
      </c>
      <c r="J176">
        <f>IF(A176="","",SUMIFS(Sales[Quantity],Sales[ProductID],A176))</f>
        <v/>
      </c>
      <c r="K176">
        <f>IF(A176="","",N(G176)+N(I176)-N(J176))</f>
        <v/>
      </c>
      <c r="L176" s="10">
        <f>IF(K176="","",K176*N(F176))</f>
        <v/>
      </c>
      <c r="M176">
        <f>IF(K176="","",IF(K176&lt;=N(H176),"LOW","OK"))</f>
        <v/>
      </c>
    </row>
    <row r="177">
      <c r="E177" s="10" t="n"/>
      <c r="F177" s="10" t="n"/>
      <c r="I177">
        <f>IF(A177="","",SUMIFS(Purchases[Quantity],Purchases[ProductID],A177))</f>
        <v/>
      </c>
      <c r="J177">
        <f>IF(A177="","",SUMIFS(Sales[Quantity],Sales[ProductID],A177))</f>
        <v/>
      </c>
      <c r="K177">
        <f>IF(A177="","",N(G177)+N(I177)-N(J177))</f>
        <v/>
      </c>
      <c r="L177" s="10">
        <f>IF(K177="","",K177*N(F177))</f>
        <v/>
      </c>
      <c r="M177">
        <f>IF(K177="","",IF(K177&lt;=N(H177),"LOW","OK"))</f>
        <v/>
      </c>
    </row>
    <row r="178">
      <c r="E178" s="10" t="n"/>
      <c r="F178" s="10" t="n"/>
      <c r="I178">
        <f>IF(A178="","",SUMIFS(Purchases[Quantity],Purchases[ProductID],A178))</f>
        <v/>
      </c>
      <c r="J178">
        <f>IF(A178="","",SUMIFS(Sales[Quantity],Sales[ProductID],A178))</f>
        <v/>
      </c>
      <c r="K178">
        <f>IF(A178="","",N(G178)+N(I178)-N(J178))</f>
        <v/>
      </c>
      <c r="L178" s="10">
        <f>IF(K178="","",K178*N(F178))</f>
        <v/>
      </c>
      <c r="M178">
        <f>IF(K178="","",IF(K178&lt;=N(H178),"LOW","OK"))</f>
        <v/>
      </c>
    </row>
    <row r="179">
      <c r="E179" s="10" t="n"/>
      <c r="F179" s="10" t="n"/>
      <c r="I179">
        <f>IF(A179="","",SUMIFS(Purchases[Quantity],Purchases[ProductID],A179))</f>
        <v/>
      </c>
      <c r="J179">
        <f>IF(A179="","",SUMIFS(Sales[Quantity],Sales[ProductID],A179))</f>
        <v/>
      </c>
      <c r="K179">
        <f>IF(A179="","",N(G179)+N(I179)-N(J179))</f>
        <v/>
      </c>
      <c r="L179" s="10">
        <f>IF(K179="","",K179*N(F179))</f>
        <v/>
      </c>
      <c r="M179">
        <f>IF(K179="","",IF(K179&lt;=N(H179),"LOW","OK"))</f>
        <v/>
      </c>
    </row>
    <row r="180">
      <c r="E180" s="10" t="n"/>
      <c r="F180" s="10" t="n"/>
      <c r="I180">
        <f>IF(A180="","",SUMIFS(Purchases[Quantity],Purchases[ProductID],A180))</f>
        <v/>
      </c>
      <c r="J180">
        <f>IF(A180="","",SUMIFS(Sales[Quantity],Sales[ProductID],A180))</f>
        <v/>
      </c>
      <c r="K180">
        <f>IF(A180="","",N(G180)+N(I180)-N(J180))</f>
        <v/>
      </c>
      <c r="L180" s="10">
        <f>IF(K180="","",K180*N(F180))</f>
        <v/>
      </c>
      <c r="M180">
        <f>IF(K180="","",IF(K180&lt;=N(H180),"LOW","OK"))</f>
        <v/>
      </c>
    </row>
    <row r="181">
      <c r="E181" s="10" t="n"/>
      <c r="F181" s="10" t="n"/>
      <c r="I181">
        <f>IF(A181="","",SUMIFS(Purchases[Quantity],Purchases[ProductID],A181))</f>
        <v/>
      </c>
      <c r="J181">
        <f>IF(A181="","",SUMIFS(Sales[Quantity],Sales[ProductID],A181))</f>
        <v/>
      </c>
      <c r="K181">
        <f>IF(A181="","",N(G181)+N(I181)-N(J181))</f>
        <v/>
      </c>
      <c r="L181" s="10">
        <f>IF(K181="","",K181*N(F181))</f>
        <v/>
      </c>
      <c r="M181">
        <f>IF(K181="","",IF(K181&lt;=N(H181),"LOW","OK"))</f>
        <v/>
      </c>
    </row>
    <row r="182">
      <c r="E182" s="10" t="n"/>
      <c r="F182" s="10" t="n"/>
      <c r="I182">
        <f>IF(A182="","",SUMIFS(Purchases[Quantity],Purchases[ProductID],A182))</f>
        <v/>
      </c>
      <c r="J182">
        <f>IF(A182="","",SUMIFS(Sales[Quantity],Sales[ProductID],A182))</f>
        <v/>
      </c>
      <c r="K182">
        <f>IF(A182="","",N(G182)+N(I182)-N(J182))</f>
        <v/>
      </c>
      <c r="L182" s="10">
        <f>IF(K182="","",K182*N(F182))</f>
        <v/>
      </c>
      <c r="M182">
        <f>IF(K182="","",IF(K182&lt;=N(H182),"LOW","OK"))</f>
        <v/>
      </c>
    </row>
    <row r="183">
      <c r="E183" s="10" t="n"/>
      <c r="F183" s="10" t="n"/>
      <c r="I183">
        <f>IF(A183="","",SUMIFS(Purchases[Quantity],Purchases[ProductID],A183))</f>
        <v/>
      </c>
      <c r="J183">
        <f>IF(A183="","",SUMIFS(Sales[Quantity],Sales[ProductID],A183))</f>
        <v/>
      </c>
      <c r="K183">
        <f>IF(A183="","",N(G183)+N(I183)-N(J183))</f>
        <v/>
      </c>
      <c r="L183" s="10">
        <f>IF(K183="","",K183*N(F183))</f>
        <v/>
      </c>
      <c r="M183">
        <f>IF(K183="","",IF(K183&lt;=N(H183),"LOW","OK"))</f>
        <v/>
      </c>
    </row>
    <row r="184">
      <c r="E184" s="10" t="n"/>
      <c r="F184" s="10" t="n"/>
      <c r="I184">
        <f>IF(A184="","",SUMIFS(Purchases[Quantity],Purchases[ProductID],A184))</f>
        <v/>
      </c>
      <c r="J184">
        <f>IF(A184="","",SUMIFS(Sales[Quantity],Sales[ProductID],A184))</f>
        <v/>
      </c>
      <c r="K184">
        <f>IF(A184="","",N(G184)+N(I184)-N(J184))</f>
        <v/>
      </c>
      <c r="L184" s="10">
        <f>IF(K184="","",K184*N(F184))</f>
        <v/>
      </c>
      <c r="M184">
        <f>IF(K184="","",IF(K184&lt;=N(H184),"LOW","OK"))</f>
        <v/>
      </c>
    </row>
    <row r="185">
      <c r="E185" s="10" t="n"/>
      <c r="F185" s="10" t="n"/>
      <c r="I185">
        <f>IF(A185="","",SUMIFS(Purchases[Quantity],Purchases[ProductID],A185))</f>
        <v/>
      </c>
      <c r="J185">
        <f>IF(A185="","",SUMIFS(Sales[Quantity],Sales[ProductID],A185))</f>
        <v/>
      </c>
      <c r="K185">
        <f>IF(A185="","",N(G185)+N(I185)-N(J185))</f>
        <v/>
      </c>
      <c r="L185" s="10">
        <f>IF(K185="","",K185*N(F185))</f>
        <v/>
      </c>
      <c r="M185">
        <f>IF(K185="","",IF(K185&lt;=N(H185),"LOW","OK"))</f>
        <v/>
      </c>
    </row>
    <row r="186">
      <c r="E186" s="10" t="n"/>
      <c r="F186" s="10" t="n"/>
      <c r="I186">
        <f>IF(A186="","",SUMIFS(Purchases[Quantity],Purchases[ProductID],A186))</f>
        <v/>
      </c>
      <c r="J186">
        <f>IF(A186="","",SUMIFS(Sales[Quantity],Sales[ProductID],A186))</f>
        <v/>
      </c>
      <c r="K186">
        <f>IF(A186="","",N(G186)+N(I186)-N(J186))</f>
        <v/>
      </c>
      <c r="L186" s="10">
        <f>IF(K186="","",K186*N(F186))</f>
        <v/>
      </c>
      <c r="M186">
        <f>IF(K186="","",IF(K186&lt;=N(H186),"LOW","OK"))</f>
        <v/>
      </c>
    </row>
    <row r="187">
      <c r="E187" s="10" t="n"/>
      <c r="F187" s="10" t="n"/>
      <c r="I187">
        <f>IF(A187="","",SUMIFS(Purchases[Quantity],Purchases[ProductID],A187))</f>
        <v/>
      </c>
      <c r="J187">
        <f>IF(A187="","",SUMIFS(Sales[Quantity],Sales[ProductID],A187))</f>
        <v/>
      </c>
      <c r="K187">
        <f>IF(A187="","",N(G187)+N(I187)-N(J187))</f>
        <v/>
      </c>
      <c r="L187" s="10">
        <f>IF(K187="","",K187*N(F187))</f>
        <v/>
      </c>
      <c r="M187">
        <f>IF(K187="","",IF(K187&lt;=N(H187),"LOW","OK"))</f>
        <v/>
      </c>
    </row>
    <row r="188">
      <c r="E188" s="10" t="n"/>
      <c r="F188" s="10" t="n"/>
      <c r="I188">
        <f>IF(A188="","",SUMIFS(Purchases[Quantity],Purchases[ProductID],A188))</f>
        <v/>
      </c>
      <c r="J188">
        <f>IF(A188="","",SUMIFS(Sales[Quantity],Sales[ProductID],A188))</f>
        <v/>
      </c>
      <c r="K188">
        <f>IF(A188="","",N(G188)+N(I188)-N(J188))</f>
        <v/>
      </c>
      <c r="L188" s="10">
        <f>IF(K188="","",K188*N(F188))</f>
        <v/>
      </c>
      <c r="M188">
        <f>IF(K188="","",IF(K188&lt;=N(H188),"LOW","OK"))</f>
        <v/>
      </c>
    </row>
    <row r="189">
      <c r="E189" s="10" t="n"/>
      <c r="F189" s="10" t="n"/>
      <c r="I189">
        <f>IF(A189="","",SUMIFS(Purchases[Quantity],Purchases[ProductID],A189))</f>
        <v/>
      </c>
      <c r="J189">
        <f>IF(A189="","",SUMIFS(Sales[Quantity],Sales[ProductID],A189))</f>
        <v/>
      </c>
      <c r="K189">
        <f>IF(A189="","",N(G189)+N(I189)-N(J189))</f>
        <v/>
      </c>
      <c r="L189" s="10">
        <f>IF(K189="","",K189*N(F189))</f>
        <v/>
      </c>
      <c r="M189">
        <f>IF(K189="","",IF(K189&lt;=N(H189),"LOW","OK"))</f>
        <v/>
      </c>
    </row>
    <row r="190">
      <c r="E190" s="10" t="n"/>
      <c r="F190" s="10" t="n"/>
      <c r="I190">
        <f>IF(A190="","",SUMIFS(Purchases[Quantity],Purchases[ProductID],A190))</f>
        <v/>
      </c>
      <c r="J190">
        <f>IF(A190="","",SUMIFS(Sales[Quantity],Sales[ProductID],A190))</f>
        <v/>
      </c>
      <c r="K190">
        <f>IF(A190="","",N(G190)+N(I190)-N(J190))</f>
        <v/>
      </c>
      <c r="L190" s="10">
        <f>IF(K190="","",K190*N(F190))</f>
        <v/>
      </c>
      <c r="M190">
        <f>IF(K190="","",IF(K190&lt;=N(H190),"LOW","OK"))</f>
        <v/>
      </c>
    </row>
    <row r="191">
      <c r="E191" s="10" t="n"/>
      <c r="F191" s="10" t="n"/>
      <c r="I191">
        <f>IF(A191="","",SUMIFS(Purchases[Quantity],Purchases[ProductID],A191))</f>
        <v/>
      </c>
      <c r="J191">
        <f>IF(A191="","",SUMIFS(Sales[Quantity],Sales[ProductID],A191))</f>
        <v/>
      </c>
      <c r="K191">
        <f>IF(A191="","",N(G191)+N(I191)-N(J191))</f>
        <v/>
      </c>
      <c r="L191" s="10">
        <f>IF(K191="","",K191*N(F191))</f>
        <v/>
      </c>
      <c r="M191">
        <f>IF(K191="","",IF(K191&lt;=N(H191),"LOW","OK"))</f>
        <v/>
      </c>
    </row>
    <row r="192">
      <c r="E192" s="10" t="n"/>
      <c r="F192" s="10" t="n"/>
      <c r="I192">
        <f>IF(A192="","",SUMIFS(Purchases[Quantity],Purchases[ProductID],A192))</f>
        <v/>
      </c>
      <c r="J192">
        <f>IF(A192="","",SUMIFS(Sales[Quantity],Sales[ProductID],A192))</f>
        <v/>
      </c>
      <c r="K192">
        <f>IF(A192="","",N(G192)+N(I192)-N(J192))</f>
        <v/>
      </c>
      <c r="L192" s="10">
        <f>IF(K192="","",K192*N(F192))</f>
        <v/>
      </c>
      <c r="M192">
        <f>IF(K192="","",IF(K192&lt;=N(H192),"LOW","OK"))</f>
        <v/>
      </c>
    </row>
    <row r="193">
      <c r="E193" s="10" t="n"/>
      <c r="F193" s="10" t="n"/>
      <c r="I193">
        <f>IF(A193="","",SUMIFS(Purchases[Quantity],Purchases[ProductID],A193))</f>
        <v/>
      </c>
      <c r="J193">
        <f>IF(A193="","",SUMIFS(Sales[Quantity],Sales[ProductID],A193))</f>
        <v/>
      </c>
      <c r="K193">
        <f>IF(A193="","",N(G193)+N(I193)-N(J193))</f>
        <v/>
      </c>
      <c r="L193" s="10">
        <f>IF(K193="","",K193*N(F193))</f>
        <v/>
      </c>
      <c r="M193">
        <f>IF(K193="","",IF(K193&lt;=N(H193),"LOW","OK"))</f>
        <v/>
      </c>
    </row>
    <row r="194">
      <c r="E194" s="10" t="n"/>
      <c r="F194" s="10" t="n"/>
      <c r="I194">
        <f>IF(A194="","",SUMIFS(Purchases[Quantity],Purchases[ProductID],A194))</f>
        <v/>
      </c>
      <c r="J194">
        <f>IF(A194="","",SUMIFS(Sales[Quantity],Sales[ProductID],A194))</f>
        <v/>
      </c>
      <c r="K194">
        <f>IF(A194="","",N(G194)+N(I194)-N(J194))</f>
        <v/>
      </c>
      <c r="L194" s="10">
        <f>IF(K194="","",K194*N(F194))</f>
        <v/>
      </c>
      <c r="M194">
        <f>IF(K194="","",IF(K194&lt;=N(H194),"LOW","OK"))</f>
        <v/>
      </c>
    </row>
    <row r="195">
      <c r="E195" s="10" t="n"/>
      <c r="F195" s="10" t="n"/>
      <c r="I195">
        <f>IF(A195="","",SUMIFS(Purchases[Quantity],Purchases[ProductID],A195))</f>
        <v/>
      </c>
      <c r="J195">
        <f>IF(A195="","",SUMIFS(Sales[Quantity],Sales[ProductID],A195))</f>
        <v/>
      </c>
      <c r="K195">
        <f>IF(A195="","",N(G195)+N(I195)-N(J195))</f>
        <v/>
      </c>
      <c r="L195" s="10">
        <f>IF(K195="","",K195*N(F195))</f>
        <v/>
      </c>
      <c r="M195">
        <f>IF(K195="","",IF(K195&lt;=N(H195),"LOW","OK"))</f>
        <v/>
      </c>
    </row>
    <row r="196">
      <c r="E196" s="10" t="n"/>
      <c r="F196" s="10" t="n"/>
      <c r="I196">
        <f>IF(A196="","",SUMIFS(Purchases[Quantity],Purchases[ProductID],A196))</f>
        <v/>
      </c>
      <c r="J196">
        <f>IF(A196="","",SUMIFS(Sales[Quantity],Sales[ProductID],A196))</f>
        <v/>
      </c>
      <c r="K196">
        <f>IF(A196="","",N(G196)+N(I196)-N(J196))</f>
        <v/>
      </c>
      <c r="L196" s="10">
        <f>IF(K196="","",K196*N(F196))</f>
        <v/>
      </c>
      <c r="M196">
        <f>IF(K196="","",IF(K196&lt;=N(H196),"LOW","OK"))</f>
        <v/>
      </c>
    </row>
    <row r="197">
      <c r="E197" s="10" t="n"/>
      <c r="F197" s="10" t="n"/>
      <c r="I197">
        <f>IF(A197="","",SUMIFS(Purchases[Quantity],Purchases[ProductID],A197))</f>
        <v/>
      </c>
      <c r="J197">
        <f>IF(A197="","",SUMIFS(Sales[Quantity],Sales[ProductID],A197))</f>
        <v/>
      </c>
      <c r="K197">
        <f>IF(A197="","",N(G197)+N(I197)-N(J197))</f>
        <v/>
      </c>
      <c r="L197" s="10">
        <f>IF(K197="","",K197*N(F197))</f>
        <v/>
      </c>
      <c r="M197">
        <f>IF(K197="","",IF(K197&lt;=N(H197),"LOW","OK"))</f>
        <v/>
      </c>
    </row>
    <row r="198">
      <c r="E198" s="10" t="n"/>
      <c r="F198" s="10" t="n"/>
      <c r="I198">
        <f>IF(A198="","",SUMIFS(Purchases[Quantity],Purchases[ProductID],A198))</f>
        <v/>
      </c>
      <c r="J198">
        <f>IF(A198="","",SUMIFS(Sales[Quantity],Sales[ProductID],A198))</f>
        <v/>
      </c>
      <c r="K198">
        <f>IF(A198="","",N(G198)+N(I198)-N(J198))</f>
        <v/>
      </c>
      <c r="L198" s="10">
        <f>IF(K198="","",K198*N(F198))</f>
        <v/>
      </c>
      <c r="M198">
        <f>IF(K198="","",IF(K198&lt;=N(H198),"LOW","OK"))</f>
        <v/>
      </c>
    </row>
    <row r="199">
      <c r="E199" s="10" t="n"/>
      <c r="F199" s="10" t="n"/>
      <c r="I199">
        <f>IF(A199="","",SUMIFS(Purchases[Quantity],Purchases[ProductID],A199))</f>
        <v/>
      </c>
      <c r="J199">
        <f>IF(A199="","",SUMIFS(Sales[Quantity],Sales[ProductID],A199))</f>
        <v/>
      </c>
      <c r="K199">
        <f>IF(A199="","",N(G199)+N(I199)-N(J199))</f>
        <v/>
      </c>
      <c r="L199" s="10">
        <f>IF(K199="","",K199*N(F199))</f>
        <v/>
      </c>
      <c r="M199">
        <f>IF(K199="","",IF(K199&lt;=N(H199),"LOW","OK"))</f>
        <v/>
      </c>
    </row>
    <row r="200">
      <c r="E200" s="10" t="n"/>
      <c r="F200" s="10" t="n"/>
      <c r="I200">
        <f>IF(A200="","",SUMIFS(Purchases[Quantity],Purchases[ProductID],A200))</f>
        <v/>
      </c>
      <c r="J200">
        <f>IF(A200="","",SUMIFS(Sales[Quantity],Sales[ProductID],A200))</f>
        <v/>
      </c>
      <c r="K200">
        <f>IF(A200="","",N(G200)+N(I200)-N(J200))</f>
        <v/>
      </c>
      <c r="L200" s="10">
        <f>IF(K200="","",K200*N(F200))</f>
        <v/>
      </c>
      <c r="M200">
        <f>IF(K200="","",IF(K200&lt;=N(H200),"LOW","OK"))</f>
        <v/>
      </c>
    </row>
    <row r="201">
      <c r="E201" s="10" t="n"/>
      <c r="F201" s="10" t="n"/>
      <c r="I201">
        <f>IF(A201="","",SUMIFS(Purchases[Quantity],Purchases[ProductID],A201))</f>
        <v/>
      </c>
      <c r="J201">
        <f>IF(A201="","",SUMIFS(Sales[Quantity],Sales[ProductID],A201))</f>
        <v/>
      </c>
      <c r="K201">
        <f>IF(A201="","",N(G201)+N(I201)-N(J201))</f>
        <v/>
      </c>
      <c r="L201" s="10">
        <f>IF(K201="","",K201*N(F201))</f>
        <v/>
      </c>
      <c r="M201">
        <f>IF(K201="","",IF(K201&lt;=N(H201),"LOW","OK"))</f>
        <v/>
      </c>
    </row>
    <row r="202">
      <c r="E202" s="10" t="n"/>
      <c r="F202" s="10" t="n"/>
      <c r="I202">
        <f>IF(A202="","",SUMIFS(Purchases[Quantity],Purchases[ProductID],A202))</f>
        <v/>
      </c>
      <c r="J202">
        <f>IF(A202="","",SUMIFS(Sales[Quantity],Sales[ProductID],A202))</f>
        <v/>
      </c>
      <c r="K202">
        <f>IF(A202="","",N(G202)+N(I202)-N(J202))</f>
        <v/>
      </c>
      <c r="L202" s="10">
        <f>IF(K202="","",K202*N(F202))</f>
        <v/>
      </c>
      <c r="M202">
        <f>IF(K202="","",IF(K202&lt;=N(H202),"LOW","OK"))</f>
        <v/>
      </c>
    </row>
    <row r="203">
      <c r="E203" s="10" t="n"/>
      <c r="F203" s="10" t="n"/>
      <c r="I203">
        <f>IF(A203="","",SUMIFS(Purchases[Quantity],Purchases[ProductID],A203))</f>
        <v/>
      </c>
      <c r="J203">
        <f>IF(A203="","",SUMIFS(Sales[Quantity],Sales[ProductID],A203))</f>
        <v/>
      </c>
      <c r="K203">
        <f>IF(A203="","",N(G203)+N(I203)-N(J203))</f>
        <v/>
      </c>
      <c r="L203" s="10">
        <f>IF(K203="","",K203*N(F203))</f>
        <v/>
      </c>
      <c r="M203">
        <f>IF(K203="","",IF(K203&lt;=N(H203),"LOW","OK"))</f>
        <v/>
      </c>
    </row>
    <row r="204">
      <c r="E204" s="10" t="n"/>
      <c r="F204" s="10" t="n"/>
      <c r="I204">
        <f>IF(A204="","",SUMIFS(Purchases[Quantity],Purchases[ProductID],A204))</f>
        <v/>
      </c>
      <c r="J204">
        <f>IF(A204="","",SUMIFS(Sales[Quantity],Sales[ProductID],A204))</f>
        <v/>
      </c>
      <c r="K204">
        <f>IF(A204="","",N(G204)+N(I204)-N(J204))</f>
        <v/>
      </c>
      <c r="L204" s="10">
        <f>IF(K204="","",K204*N(F204))</f>
        <v/>
      </c>
      <c r="M204">
        <f>IF(K204="","",IF(K204&lt;=N(H204),"LOW","OK"))</f>
        <v/>
      </c>
    </row>
    <row r="205">
      <c r="E205" s="10" t="n"/>
      <c r="F205" s="10" t="n"/>
      <c r="I205">
        <f>IF(A205="","",SUMIFS(Purchases[Quantity],Purchases[ProductID],A205))</f>
        <v/>
      </c>
      <c r="J205">
        <f>IF(A205="","",SUMIFS(Sales[Quantity],Sales[ProductID],A205))</f>
        <v/>
      </c>
      <c r="K205">
        <f>IF(A205="","",N(G205)+N(I205)-N(J205))</f>
        <v/>
      </c>
      <c r="L205" s="10">
        <f>IF(K205="","",K205*N(F205))</f>
        <v/>
      </c>
      <c r="M205">
        <f>IF(K205="","",IF(K205&lt;=N(H205),"LOW","OK"))</f>
        <v/>
      </c>
    </row>
    <row r="206">
      <c r="E206" s="10" t="n"/>
      <c r="F206" s="10" t="n"/>
      <c r="I206">
        <f>IF(A206="","",SUMIFS(Purchases[Quantity],Purchases[ProductID],A206))</f>
        <v/>
      </c>
      <c r="J206">
        <f>IF(A206="","",SUMIFS(Sales[Quantity],Sales[ProductID],A206))</f>
        <v/>
      </c>
      <c r="K206">
        <f>IF(A206="","",N(G206)+N(I206)-N(J206))</f>
        <v/>
      </c>
      <c r="L206" s="10">
        <f>IF(K206="","",K206*N(F206))</f>
        <v/>
      </c>
      <c r="M206">
        <f>IF(K206="","",IF(K206&lt;=N(H206),"LOW","OK"))</f>
        <v/>
      </c>
    </row>
    <row r="207">
      <c r="E207" s="10" t="n"/>
      <c r="F207" s="10" t="n"/>
      <c r="I207">
        <f>IF(A207="","",SUMIFS(Purchases[Quantity],Purchases[ProductID],A207))</f>
        <v/>
      </c>
      <c r="J207">
        <f>IF(A207="","",SUMIFS(Sales[Quantity],Sales[ProductID],A207))</f>
        <v/>
      </c>
      <c r="K207">
        <f>IF(A207="","",N(G207)+N(I207)-N(J207))</f>
        <v/>
      </c>
      <c r="L207" s="10">
        <f>IF(K207="","",K207*N(F207))</f>
        <v/>
      </c>
      <c r="M207">
        <f>IF(K207="","",IF(K207&lt;=N(H207),"LOW","OK"))</f>
        <v/>
      </c>
    </row>
    <row r="208">
      <c r="E208" s="10" t="n"/>
      <c r="F208" s="10" t="n"/>
      <c r="I208">
        <f>IF(A208="","",SUMIFS(Purchases[Quantity],Purchases[ProductID],A208))</f>
        <v/>
      </c>
      <c r="J208">
        <f>IF(A208="","",SUMIFS(Sales[Quantity],Sales[ProductID],A208))</f>
        <v/>
      </c>
      <c r="K208">
        <f>IF(A208="","",N(G208)+N(I208)-N(J208))</f>
        <v/>
      </c>
      <c r="L208" s="10">
        <f>IF(K208="","",K208*N(F208))</f>
        <v/>
      </c>
      <c r="M208">
        <f>IF(K208="","",IF(K208&lt;=N(H208),"LOW","OK"))</f>
        <v/>
      </c>
    </row>
    <row r="209">
      <c r="E209" s="10" t="n"/>
      <c r="F209" s="10" t="n"/>
      <c r="I209">
        <f>IF(A209="","",SUMIFS(Purchases[Quantity],Purchases[ProductID],A209))</f>
        <v/>
      </c>
      <c r="J209">
        <f>IF(A209="","",SUMIFS(Sales[Quantity],Sales[ProductID],A209))</f>
        <v/>
      </c>
      <c r="K209">
        <f>IF(A209="","",N(G209)+N(I209)-N(J209))</f>
        <v/>
      </c>
      <c r="L209" s="10">
        <f>IF(K209="","",K209*N(F209))</f>
        <v/>
      </c>
      <c r="M209">
        <f>IF(K209="","",IF(K209&lt;=N(H209),"LOW","OK"))</f>
        <v/>
      </c>
    </row>
    <row r="210">
      <c r="E210" s="10" t="n"/>
      <c r="F210" s="10" t="n"/>
      <c r="I210">
        <f>IF(A210="","",SUMIFS(Purchases[Quantity],Purchases[ProductID],A210))</f>
        <v/>
      </c>
      <c r="J210">
        <f>IF(A210="","",SUMIFS(Sales[Quantity],Sales[ProductID],A210))</f>
        <v/>
      </c>
      <c r="K210">
        <f>IF(A210="","",N(G210)+N(I210)-N(J210))</f>
        <v/>
      </c>
      <c r="L210" s="10">
        <f>IF(K210="","",K210*N(F210))</f>
        <v/>
      </c>
      <c r="M210">
        <f>IF(K210="","",IF(K210&lt;=N(H210),"LOW","OK"))</f>
        <v/>
      </c>
    </row>
    <row r="211">
      <c r="E211" s="10" t="n"/>
      <c r="F211" s="10" t="n"/>
      <c r="I211">
        <f>IF(A211="","",SUMIFS(Purchases[Quantity],Purchases[ProductID],A211))</f>
        <v/>
      </c>
      <c r="J211">
        <f>IF(A211="","",SUMIFS(Sales[Quantity],Sales[ProductID],A211))</f>
        <v/>
      </c>
      <c r="K211">
        <f>IF(A211="","",N(G211)+N(I211)-N(J211))</f>
        <v/>
      </c>
      <c r="L211" s="10">
        <f>IF(K211="","",K211*N(F211))</f>
        <v/>
      </c>
      <c r="M211">
        <f>IF(K211="","",IF(K211&lt;=N(H211),"LOW","OK"))</f>
        <v/>
      </c>
    </row>
    <row r="212">
      <c r="E212" s="10" t="n"/>
      <c r="F212" s="10" t="n"/>
      <c r="I212">
        <f>IF(A212="","",SUMIFS(Purchases[Quantity],Purchases[ProductID],A212))</f>
        <v/>
      </c>
      <c r="J212">
        <f>IF(A212="","",SUMIFS(Sales[Quantity],Sales[ProductID],A212))</f>
        <v/>
      </c>
      <c r="K212">
        <f>IF(A212="","",N(G212)+N(I212)-N(J212))</f>
        <v/>
      </c>
      <c r="L212" s="10">
        <f>IF(K212="","",K212*N(F212))</f>
        <v/>
      </c>
      <c r="M212">
        <f>IF(K212="","",IF(K212&lt;=N(H212),"LOW","OK"))</f>
        <v/>
      </c>
    </row>
    <row r="213">
      <c r="E213" s="10" t="n"/>
      <c r="F213" s="10" t="n"/>
      <c r="I213">
        <f>IF(A213="","",SUMIFS(Purchases[Quantity],Purchases[ProductID],A213))</f>
        <v/>
      </c>
      <c r="J213">
        <f>IF(A213="","",SUMIFS(Sales[Quantity],Sales[ProductID],A213))</f>
        <v/>
      </c>
      <c r="K213">
        <f>IF(A213="","",N(G213)+N(I213)-N(J213))</f>
        <v/>
      </c>
      <c r="L213" s="10">
        <f>IF(K213="","",K213*N(F213))</f>
        <v/>
      </c>
      <c r="M213">
        <f>IF(K213="","",IF(K213&lt;=N(H213),"LOW","OK"))</f>
        <v/>
      </c>
    </row>
    <row r="214">
      <c r="E214" s="10" t="n"/>
      <c r="F214" s="10" t="n"/>
      <c r="I214">
        <f>IF(A214="","",SUMIFS(Purchases[Quantity],Purchases[ProductID],A214))</f>
        <v/>
      </c>
      <c r="J214">
        <f>IF(A214="","",SUMIFS(Sales[Quantity],Sales[ProductID],A214))</f>
        <v/>
      </c>
      <c r="K214">
        <f>IF(A214="","",N(G214)+N(I214)-N(J214))</f>
        <v/>
      </c>
      <c r="L214" s="10">
        <f>IF(K214="","",K214*N(F214))</f>
        <v/>
      </c>
      <c r="M214">
        <f>IF(K214="","",IF(K214&lt;=N(H214),"LOW","OK"))</f>
        <v/>
      </c>
    </row>
    <row r="215">
      <c r="E215" s="10" t="n"/>
      <c r="F215" s="10" t="n"/>
      <c r="I215">
        <f>IF(A215="","",SUMIFS(Purchases[Quantity],Purchases[ProductID],A215))</f>
        <v/>
      </c>
      <c r="J215">
        <f>IF(A215="","",SUMIFS(Sales[Quantity],Sales[ProductID],A215))</f>
        <v/>
      </c>
      <c r="K215">
        <f>IF(A215="","",N(G215)+N(I215)-N(J215))</f>
        <v/>
      </c>
      <c r="L215" s="10">
        <f>IF(K215="","",K215*N(F215))</f>
        <v/>
      </c>
      <c r="M215">
        <f>IF(K215="","",IF(K215&lt;=N(H215),"LOW","OK"))</f>
        <v/>
      </c>
    </row>
    <row r="216">
      <c r="E216" s="10" t="n"/>
      <c r="F216" s="10" t="n"/>
      <c r="I216">
        <f>IF(A216="","",SUMIFS(Purchases[Quantity],Purchases[ProductID],A216))</f>
        <v/>
      </c>
      <c r="J216">
        <f>IF(A216="","",SUMIFS(Sales[Quantity],Sales[ProductID],A216))</f>
        <v/>
      </c>
      <c r="K216">
        <f>IF(A216="","",N(G216)+N(I216)-N(J216))</f>
        <v/>
      </c>
      <c r="L216" s="10">
        <f>IF(K216="","",K216*N(F216))</f>
        <v/>
      </c>
      <c r="M216">
        <f>IF(K216="","",IF(K216&lt;=N(H216),"LOW","OK"))</f>
        <v/>
      </c>
    </row>
    <row r="217">
      <c r="E217" s="10" t="n"/>
      <c r="F217" s="10" t="n"/>
      <c r="I217">
        <f>IF(A217="","",SUMIFS(Purchases[Quantity],Purchases[ProductID],A217))</f>
        <v/>
      </c>
      <c r="J217">
        <f>IF(A217="","",SUMIFS(Sales[Quantity],Sales[ProductID],A217))</f>
        <v/>
      </c>
      <c r="K217">
        <f>IF(A217="","",N(G217)+N(I217)-N(J217))</f>
        <v/>
      </c>
      <c r="L217" s="10">
        <f>IF(K217="","",K217*N(F217))</f>
        <v/>
      </c>
      <c r="M217">
        <f>IF(K217="","",IF(K217&lt;=N(H217),"LOW","OK"))</f>
        <v/>
      </c>
    </row>
    <row r="218">
      <c r="E218" s="10" t="n"/>
      <c r="F218" s="10" t="n"/>
      <c r="I218">
        <f>IF(A218="","",SUMIFS(Purchases[Quantity],Purchases[ProductID],A218))</f>
        <v/>
      </c>
      <c r="J218">
        <f>IF(A218="","",SUMIFS(Sales[Quantity],Sales[ProductID],A218))</f>
        <v/>
      </c>
      <c r="K218">
        <f>IF(A218="","",N(G218)+N(I218)-N(J218))</f>
        <v/>
      </c>
      <c r="L218" s="10">
        <f>IF(K218="","",K218*N(F218))</f>
        <v/>
      </c>
      <c r="M218">
        <f>IF(K218="","",IF(K218&lt;=N(H218),"LOW","OK"))</f>
        <v/>
      </c>
    </row>
    <row r="219">
      <c r="E219" s="10" t="n"/>
      <c r="F219" s="10" t="n"/>
      <c r="I219">
        <f>IF(A219="","",SUMIFS(Purchases[Quantity],Purchases[ProductID],A219))</f>
        <v/>
      </c>
      <c r="J219">
        <f>IF(A219="","",SUMIFS(Sales[Quantity],Sales[ProductID],A219))</f>
        <v/>
      </c>
      <c r="K219">
        <f>IF(A219="","",N(G219)+N(I219)-N(J219))</f>
        <v/>
      </c>
      <c r="L219" s="10">
        <f>IF(K219="","",K219*N(F219))</f>
        <v/>
      </c>
      <c r="M219">
        <f>IF(K219="","",IF(K219&lt;=N(H219),"LOW","OK"))</f>
        <v/>
      </c>
    </row>
    <row r="220">
      <c r="E220" s="10" t="n"/>
      <c r="F220" s="10" t="n"/>
      <c r="I220">
        <f>IF(A220="","",SUMIFS(Purchases[Quantity],Purchases[ProductID],A220))</f>
        <v/>
      </c>
      <c r="J220">
        <f>IF(A220="","",SUMIFS(Sales[Quantity],Sales[ProductID],A220))</f>
        <v/>
      </c>
      <c r="K220">
        <f>IF(A220="","",N(G220)+N(I220)-N(J220))</f>
        <v/>
      </c>
      <c r="L220" s="10">
        <f>IF(K220="","",K220*N(F220))</f>
        <v/>
      </c>
      <c r="M220">
        <f>IF(K220="","",IF(K220&lt;=N(H220),"LOW","OK"))</f>
        <v/>
      </c>
    </row>
    <row r="221">
      <c r="E221" s="10" t="n"/>
      <c r="F221" s="10" t="n"/>
      <c r="I221">
        <f>IF(A221="","",SUMIFS(Purchases[Quantity],Purchases[ProductID],A221))</f>
        <v/>
      </c>
      <c r="J221">
        <f>IF(A221="","",SUMIFS(Sales[Quantity],Sales[ProductID],A221))</f>
        <v/>
      </c>
      <c r="K221">
        <f>IF(A221="","",N(G221)+N(I221)-N(J221))</f>
        <v/>
      </c>
      <c r="L221" s="10">
        <f>IF(K221="","",K221*N(F221))</f>
        <v/>
      </c>
      <c r="M221">
        <f>IF(K221="","",IF(K221&lt;=N(H221),"LOW","OK"))</f>
        <v/>
      </c>
    </row>
    <row r="222">
      <c r="E222" s="10" t="n"/>
      <c r="F222" s="10" t="n"/>
      <c r="I222">
        <f>IF(A222="","",SUMIFS(Purchases[Quantity],Purchases[ProductID],A222))</f>
        <v/>
      </c>
      <c r="J222">
        <f>IF(A222="","",SUMIFS(Sales[Quantity],Sales[ProductID],A222))</f>
        <v/>
      </c>
      <c r="K222">
        <f>IF(A222="","",N(G222)+N(I222)-N(J222))</f>
        <v/>
      </c>
      <c r="L222" s="10">
        <f>IF(K222="","",K222*N(F222))</f>
        <v/>
      </c>
      <c r="M222">
        <f>IF(K222="","",IF(K222&lt;=N(H222),"LOW","OK"))</f>
        <v/>
      </c>
    </row>
    <row r="223">
      <c r="E223" s="10" t="n"/>
      <c r="F223" s="10" t="n"/>
      <c r="I223">
        <f>IF(A223="","",SUMIFS(Purchases[Quantity],Purchases[ProductID],A223))</f>
        <v/>
      </c>
      <c r="J223">
        <f>IF(A223="","",SUMIFS(Sales[Quantity],Sales[ProductID],A223))</f>
        <v/>
      </c>
      <c r="K223">
        <f>IF(A223="","",N(G223)+N(I223)-N(J223))</f>
        <v/>
      </c>
      <c r="L223" s="10">
        <f>IF(K223="","",K223*N(F223))</f>
        <v/>
      </c>
      <c r="M223">
        <f>IF(K223="","",IF(K223&lt;=N(H223),"LOW","OK"))</f>
        <v/>
      </c>
    </row>
    <row r="224">
      <c r="E224" s="10" t="n"/>
      <c r="F224" s="10" t="n"/>
      <c r="I224">
        <f>IF(A224="","",SUMIFS(Purchases[Quantity],Purchases[ProductID],A224))</f>
        <v/>
      </c>
      <c r="J224">
        <f>IF(A224="","",SUMIFS(Sales[Quantity],Sales[ProductID],A224))</f>
        <v/>
      </c>
      <c r="K224">
        <f>IF(A224="","",N(G224)+N(I224)-N(J224))</f>
        <v/>
      </c>
      <c r="L224" s="10">
        <f>IF(K224="","",K224*N(F224))</f>
        <v/>
      </c>
      <c r="M224">
        <f>IF(K224="","",IF(K224&lt;=N(H224),"LOW","OK"))</f>
        <v/>
      </c>
    </row>
    <row r="225">
      <c r="E225" s="10" t="n"/>
      <c r="F225" s="10" t="n"/>
      <c r="I225">
        <f>IF(A225="","",SUMIFS(Purchases[Quantity],Purchases[ProductID],A225))</f>
        <v/>
      </c>
      <c r="J225">
        <f>IF(A225="","",SUMIFS(Sales[Quantity],Sales[ProductID],A225))</f>
        <v/>
      </c>
      <c r="K225">
        <f>IF(A225="","",N(G225)+N(I225)-N(J225))</f>
        <v/>
      </c>
      <c r="L225" s="10">
        <f>IF(K225="","",K225*N(F225))</f>
        <v/>
      </c>
      <c r="M225">
        <f>IF(K225="","",IF(K225&lt;=N(H225),"LOW","OK"))</f>
        <v/>
      </c>
    </row>
    <row r="226">
      <c r="E226" s="10" t="n"/>
      <c r="F226" s="10" t="n"/>
      <c r="I226">
        <f>IF(A226="","",SUMIFS(Purchases[Quantity],Purchases[ProductID],A226))</f>
        <v/>
      </c>
      <c r="J226">
        <f>IF(A226="","",SUMIFS(Sales[Quantity],Sales[ProductID],A226))</f>
        <v/>
      </c>
      <c r="K226">
        <f>IF(A226="","",N(G226)+N(I226)-N(J226))</f>
        <v/>
      </c>
      <c r="L226" s="10">
        <f>IF(K226="","",K226*N(F226))</f>
        <v/>
      </c>
      <c r="M226">
        <f>IF(K226="","",IF(K226&lt;=N(H226),"LOW","OK"))</f>
        <v/>
      </c>
    </row>
    <row r="227">
      <c r="E227" s="10" t="n"/>
      <c r="F227" s="10" t="n"/>
      <c r="I227">
        <f>IF(A227="","",SUMIFS(Purchases[Quantity],Purchases[ProductID],A227))</f>
        <v/>
      </c>
      <c r="J227">
        <f>IF(A227="","",SUMIFS(Sales[Quantity],Sales[ProductID],A227))</f>
        <v/>
      </c>
      <c r="K227">
        <f>IF(A227="","",N(G227)+N(I227)-N(J227))</f>
        <v/>
      </c>
      <c r="L227" s="10">
        <f>IF(K227="","",K227*N(F227))</f>
        <v/>
      </c>
      <c r="M227">
        <f>IF(K227="","",IF(K227&lt;=N(H227),"LOW","OK"))</f>
        <v/>
      </c>
    </row>
    <row r="228">
      <c r="E228" s="10" t="n"/>
      <c r="F228" s="10" t="n"/>
      <c r="I228">
        <f>IF(A228="","",SUMIFS(Purchases[Quantity],Purchases[ProductID],A228))</f>
        <v/>
      </c>
      <c r="J228">
        <f>IF(A228="","",SUMIFS(Sales[Quantity],Sales[ProductID],A228))</f>
        <v/>
      </c>
      <c r="K228">
        <f>IF(A228="","",N(G228)+N(I228)-N(J228))</f>
        <v/>
      </c>
      <c r="L228" s="10">
        <f>IF(K228="","",K228*N(F228))</f>
        <v/>
      </c>
      <c r="M228">
        <f>IF(K228="","",IF(K228&lt;=N(H228),"LOW","OK"))</f>
        <v/>
      </c>
    </row>
    <row r="229">
      <c r="E229" s="10" t="n"/>
      <c r="F229" s="10" t="n"/>
      <c r="I229">
        <f>IF(A229="","",SUMIFS(Purchases[Quantity],Purchases[ProductID],A229))</f>
        <v/>
      </c>
      <c r="J229">
        <f>IF(A229="","",SUMIFS(Sales[Quantity],Sales[ProductID],A229))</f>
        <v/>
      </c>
      <c r="K229">
        <f>IF(A229="","",N(G229)+N(I229)-N(J229))</f>
        <v/>
      </c>
      <c r="L229" s="10">
        <f>IF(K229="","",K229*N(F229))</f>
        <v/>
      </c>
      <c r="M229">
        <f>IF(K229="","",IF(K229&lt;=N(H229),"LOW","OK"))</f>
        <v/>
      </c>
    </row>
    <row r="230">
      <c r="E230" s="10" t="n"/>
      <c r="F230" s="10" t="n"/>
      <c r="I230">
        <f>IF(A230="","",SUMIFS(Purchases[Quantity],Purchases[ProductID],A230))</f>
        <v/>
      </c>
      <c r="J230">
        <f>IF(A230="","",SUMIFS(Sales[Quantity],Sales[ProductID],A230))</f>
        <v/>
      </c>
      <c r="K230">
        <f>IF(A230="","",N(G230)+N(I230)-N(J230))</f>
        <v/>
      </c>
      <c r="L230" s="10">
        <f>IF(K230="","",K230*N(F230))</f>
        <v/>
      </c>
      <c r="M230">
        <f>IF(K230="","",IF(K230&lt;=N(H230),"LOW","OK"))</f>
        <v/>
      </c>
    </row>
    <row r="231">
      <c r="E231" s="10" t="n"/>
      <c r="F231" s="10" t="n"/>
      <c r="I231">
        <f>IF(A231="","",SUMIFS(Purchases[Quantity],Purchases[ProductID],A231))</f>
        <v/>
      </c>
      <c r="J231">
        <f>IF(A231="","",SUMIFS(Sales[Quantity],Sales[ProductID],A231))</f>
        <v/>
      </c>
      <c r="K231">
        <f>IF(A231="","",N(G231)+N(I231)-N(J231))</f>
        <v/>
      </c>
      <c r="L231" s="10">
        <f>IF(K231="","",K231*N(F231))</f>
        <v/>
      </c>
      <c r="M231">
        <f>IF(K231="","",IF(K231&lt;=N(H231),"LOW","OK"))</f>
        <v/>
      </c>
    </row>
    <row r="232">
      <c r="E232" s="10" t="n"/>
      <c r="F232" s="10" t="n"/>
      <c r="I232">
        <f>IF(A232="","",SUMIFS(Purchases[Quantity],Purchases[ProductID],A232))</f>
        <v/>
      </c>
      <c r="J232">
        <f>IF(A232="","",SUMIFS(Sales[Quantity],Sales[ProductID],A232))</f>
        <v/>
      </c>
      <c r="K232">
        <f>IF(A232="","",N(G232)+N(I232)-N(J232))</f>
        <v/>
      </c>
      <c r="L232" s="10">
        <f>IF(K232="","",K232*N(F232))</f>
        <v/>
      </c>
      <c r="M232">
        <f>IF(K232="","",IF(K232&lt;=N(H232),"LOW","OK"))</f>
        <v/>
      </c>
    </row>
    <row r="233">
      <c r="E233" s="10" t="n"/>
      <c r="F233" s="10" t="n"/>
      <c r="I233">
        <f>IF(A233="","",SUMIFS(Purchases[Quantity],Purchases[ProductID],A233))</f>
        <v/>
      </c>
      <c r="J233">
        <f>IF(A233="","",SUMIFS(Sales[Quantity],Sales[ProductID],A233))</f>
        <v/>
      </c>
      <c r="K233">
        <f>IF(A233="","",N(G233)+N(I233)-N(J233))</f>
        <v/>
      </c>
      <c r="L233" s="10">
        <f>IF(K233="","",K233*N(F233))</f>
        <v/>
      </c>
      <c r="M233">
        <f>IF(K233="","",IF(K233&lt;=N(H233),"LOW","OK"))</f>
        <v/>
      </c>
    </row>
    <row r="234">
      <c r="E234" s="10" t="n"/>
      <c r="F234" s="10" t="n"/>
      <c r="I234">
        <f>IF(A234="","",SUMIFS(Purchases[Quantity],Purchases[ProductID],A234))</f>
        <v/>
      </c>
      <c r="J234">
        <f>IF(A234="","",SUMIFS(Sales[Quantity],Sales[ProductID],A234))</f>
        <v/>
      </c>
      <c r="K234">
        <f>IF(A234="","",N(G234)+N(I234)-N(J234))</f>
        <v/>
      </c>
      <c r="L234" s="10">
        <f>IF(K234="","",K234*N(F234))</f>
        <v/>
      </c>
      <c r="M234">
        <f>IF(K234="","",IF(K234&lt;=N(H234),"LOW","OK"))</f>
        <v/>
      </c>
    </row>
    <row r="235">
      <c r="E235" s="10" t="n"/>
      <c r="F235" s="10" t="n"/>
      <c r="I235">
        <f>IF(A235="","",SUMIFS(Purchases[Quantity],Purchases[ProductID],A235))</f>
        <v/>
      </c>
      <c r="J235">
        <f>IF(A235="","",SUMIFS(Sales[Quantity],Sales[ProductID],A235))</f>
        <v/>
      </c>
      <c r="K235">
        <f>IF(A235="","",N(G235)+N(I235)-N(J235))</f>
        <v/>
      </c>
      <c r="L235" s="10">
        <f>IF(K235="","",K235*N(F235))</f>
        <v/>
      </c>
      <c r="M235">
        <f>IF(K235="","",IF(K235&lt;=N(H235),"LOW","OK"))</f>
        <v/>
      </c>
    </row>
    <row r="236">
      <c r="E236" s="10" t="n"/>
      <c r="F236" s="10" t="n"/>
      <c r="I236">
        <f>IF(A236="","",SUMIFS(Purchases[Quantity],Purchases[ProductID],A236))</f>
        <v/>
      </c>
      <c r="J236">
        <f>IF(A236="","",SUMIFS(Sales[Quantity],Sales[ProductID],A236))</f>
        <v/>
      </c>
      <c r="K236">
        <f>IF(A236="","",N(G236)+N(I236)-N(J236))</f>
        <v/>
      </c>
      <c r="L236" s="10">
        <f>IF(K236="","",K236*N(F236))</f>
        <v/>
      </c>
      <c r="M236">
        <f>IF(K236="","",IF(K236&lt;=N(H236),"LOW","OK"))</f>
        <v/>
      </c>
    </row>
    <row r="237">
      <c r="E237" s="10" t="n"/>
      <c r="F237" s="10" t="n"/>
      <c r="I237">
        <f>IF(A237="","",SUMIFS(Purchases[Quantity],Purchases[ProductID],A237))</f>
        <v/>
      </c>
      <c r="J237">
        <f>IF(A237="","",SUMIFS(Sales[Quantity],Sales[ProductID],A237))</f>
        <v/>
      </c>
      <c r="K237">
        <f>IF(A237="","",N(G237)+N(I237)-N(J237))</f>
        <v/>
      </c>
      <c r="L237" s="10">
        <f>IF(K237="","",K237*N(F237))</f>
        <v/>
      </c>
      <c r="M237">
        <f>IF(K237="","",IF(K237&lt;=N(H237),"LOW","OK"))</f>
        <v/>
      </c>
    </row>
    <row r="238">
      <c r="E238" s="10" t="n"/>
      <c r="F238" s="10" t="n"/>
      <c r="I238">
        <f>IF(A238="","",SUMIFS(Purchases[Quantity],Purchases[ProductID],A238))</f>
        <v/>
      </c>
      <c r="J238">
        <f>IF(A238="","",SUMIFS(Sales[Quantity],Sales[ProductID],A238))</f>
        <v/>
      </c>
      <c r="K238">
        <f>IF(A238="","",N(G238)+N(I238)-N(J238))</f>
        <v/>
      </c>
      <c r="L238" s="10">
        <f>IF(K238="","",K238*N(F238))</f>
        <v/>
      </c>
      <c r="M238">
        <f>IF(K238="","",IF(K238&lt;=N(H238),"LOW","OK"))</f>
        <v/>
      </c>
    </row>
    <row r="239">
      <c r="E239" s="10" t="n"/>
      <c r="F239" s="10" t="n"/>
      <c r="I239">
        <f>IF(A239="","",SUMIFS(Purchases[Quantity],Purchases[ProductID],A239))</f>
        <v/>
      </c>
      <c r="J239">
        <f>IF(A239="","",SUMIFS(Sales[Quantity],Sales[ProductID],A239))</f>
        <v/>
      </c>
      <c r="K239">
        <f>IF(A239="","",N(G239)+N(I239)-N(J239))</f>
        <v/>
      </c>
      <c r="L239" s="10">
        <f>IF(K239="","",K239*N(F239))</f>
        <v/>
      </c>
      <c r="M239">
        <f>IF(K239="","",IF(K239&lt;=N(H239),"LOW","OK"))</f>
        <v/>
      </c>
    </row>
    <row r="240">
      <c r="E240" s="10" t="n"/>
      <c r="F240" s="10" t="n"/>
      <c r="I240">
        <f>IF(A240="","",SUMIFS(Purchases[Quantity],Purchases[ProductID],A240))</f>
        <v/>
      </c>
      <c r="J240">
        <f>IF(A240="","",SUMIFS(Sales[Quantity],Sales[ProductID],A240))</f>
        <v/>
      </c>
      <c r="K240">
        <f>IF(A240="","",N(G240)+N(I240)-N(J240))</f>
        <v/>
      </c>
      <c r="L240" s="10">
        <f>IF(K240="","",K240*N(F240))</f>
        <v/>
      </c>
      <c r="M240">
        <f>IF(K240="","",IF(K240&lt;=N(H240),"LOW","OK"))</f>
        <v/>
      </c>
    </row>
    <row r="241">
      <c r="E241" s="10" t="n"/>
      <c r="F241" s="10" t="n"/>
      <c r="I241">
        <f>IF(A241="","",SUMIFS(Purchases[Quantity],Purchases[ProductID],A241))</f>
        <v/>
      </c>
      <c r="J241">
        <f>IF(A241="","",SUMIFS(Sales[Quantity],Sales[ProductID],A241))</f>
        <v/>
      </c>
      <c r="K241">
        <f>IF(A241="","",N(G241)+N(I241)-N(J241))</f>
        <v/>
      </c>
      <c r="L241" s="10">
        <f>IF(K241="","",K241*N(F241))</f>
        <v/>
      </c>
      <c r="M241">
        <f>IF(K241="","",IF(K241&lt;=N(H241),"LOW","OK"))</f>
        <v/>
      </c>
    </row>
    <row r="242">
      <c r="E242" s="10" t="n"/>
      <c r="F242" s="10" t="n"/>
      <c r="I242">
        <f>IF(A242="","",SUMIFS(Purchases[Quantity],Purchases[ProductID],A242))</f>
        <v/>
      </c>
      <c r="J242">
        <f>IF(A242="","",SUMIFS(Sales[Quantity],Sales[ProductID],A242))</f>
        <v/>
      </c>
      <c r="K242">
        <f>IF(A242="","",N(G242)+N(I242)-N(J242))</f>
        <v/>
      </c>
      <c r="L242" s="10">
        <f>IF(K242="","",K242*N(F242))</f>
        <v/>
      </c>
      <c r="M242">
        <f>IF(K242="","",IF(K242&lt;=N(H242),"LOW","OK"))</f>
        <v/>
      </c>
    </row>
    <row r="243">
      <c r="E243" s="10" t="n"/>
      <c r="F243" s="10" t="n"/>
      <c r="I243">
        <f>IF(A243="","",SUMIFS(Purchases[Quantity],Purchases[ProductID],A243))</f>
        <v/>
      </c>
      <c r="J243">
        <f>IF(A243="","",SUMIFS(Sales[Quantity],Sales[ProductID],A243))</f>
        <v/>
      </c>
      <c r="K243">
        <f>IF(A243="","",N(G243)+N(I243)-N(J243))</f>
        <v/>
      </c>
      <c r="L243" s="10">
        <f>IF(K243="","",K243*N(F243))</f>
        <v/>
      </c>
      <c r="M243">
        <f>IF(K243="","",IF(K243&lt;=N(H243),"LOW","OK"))</f>
        <v/>
      </c>
    </row>
    <row r="244">
      <c r="E244" s="10" t="n"/>
      <c r="F244" s="10" t="n"/>
      <c r="I244">
        <f>IF(A244="","",SUMIFS(Purchases[Quantity],Purchases[ProductID],A244))</f>
        <v/>
      </c>
      <c r="J244">
        <f>IF(A244="","",SUMIFS(Sales[Quantity],Sales[ProductID],A244))</f>
        <v/>
      </c>
      <c r="K244">
        <f>IF(A244="","",N(G244)+N(I244)-N(J244))</f>
        <v/>
      </c>
      <c r="L244" s="10">
        <f>IF(K244="","",K244*N(F244))</f>
        <v/>
      </c>
      <c r="M244">
        <f>IF(K244="","",IF(K244&lt;=N(H244),"LOW","OK"))</f>
        <v/>
      </c>
    </row>
    <row r="245">
      <c r="E245" s="10" t="n"/>
      <c r="F245" s="10" t="n"/>
      <c r="I245">
        <f>IF(A245="","",SUMIFS(Purchases[Quantity],Purchases[ProductID],A245))</f>
        <v/>
      </c>
      <c r="J245">
        <f>IF(A245="","",SUMIFS(Sales[Quantity],Sales[ProductID],A245))</f>
        <v/>
      </c>
      <c r="K245">
        <f>IF(A245="","",N(G245)+N(I245)-N(J245))</f>
        <v/>
      </c>
      <c r="L245" s="10">
        <f>IF(K245="","",K245*N(F245))</f>
        <v/>
      </c>
      <c r="M245">
        <f>IF(K245="","",IF(K245&lt;=N(H245),"LOW","OK"))</f>
        <v/>
      </c>
    </row>
    <row r="246">
      <c r="E246" s="10" t="n"/>
      <c r="F246" s="10" t="n"/>
      <c r="I246">
        <f>IF(A246="","",SUMIFS(Purchases[Quantity],Purchases[ProductID],A246))</f>
        <v/>
      </c>
      <c r="J246">
        <f>IF(A246="","",SUMIFS(Sales[Quantity],Sales[ProductID],A246))</f>
        <v/>
      </c>
      <c r="K246">
        <f>IF(A246="","",N(G246)+N(I246)-N(J246))</f>
        <v/>
      </c>
      <c r="L246" s="10">
        <f>IF(K246="","",K246*N(F246))</f>
        <v/>
      </c>
      <c r="M246">
        <f>IF(K246="","",IF(K246&lt;=N(H246),"LOW","OK"))</f>
        <v/>
      </c>
    </row>
    <row r="247">
      <c r="E247" s="10" t="n"/>
      <c r="F247" s="10" t="n"/>
      <c r="I247">
        <f>IF(A247="","",SUMIFS(Purchases[Quantity],Purchases[ProductID],A247))</f>
        <v/>
      </c>
      <c r="J247">
        <f>IF(A247="","",SUMIFS(Sales[Quantity],Sales[ProductID],A247))</f>
        <v/>
      </c>
      <c r="K247">
        <f>IF(A247="","",N(G247)+N(I247)-N(J247))</f>
        <v/>
      </c>
      <c r="L247" s="10">
        <f>IF(K247="","",K247*N(F247))</f>
        <v/>
      </c>
      <c r="M247">
        <f>IF(K247="","",IF(K247&lt;=N(H247),"LOW","OK"))</f>
        <v/>
      </c>
    </row>
    <row r="248">
      <c r="E248" s="10" t="n"/>
      <c r="F248" s="10" t="n"/>
      <c r="I248">
        <f>IF(A248="","",SUMIFS(Purchases[Quantity],Purchases[ProductID],A248))</f>
        <v/>
      </c>
      <c r="J248">
        <f>IF(A248="","",SUMIFS(Sales[Quantity],Sales[ProductID],A248))</f>
        <v/>
      </c>
      <c r="K248">
        <f>IF(A248="","",N(G248)+N(I248)-N(J248))</f>
        <v/>
      </c>
      <c r="L248" s="10">
        <f>IF(K248="","",K248*N(F248))</f>
        <v/>
      </c>
      <c r="M248">
        <f>IF(K248="","",IF(K248&lt;=N(H248),"LOW","OK"))</f>
        <v/>
      </c>
    </row>
    <row r="249">
      <c r="E249" s="10" t="n"/>
      <c r="F249" s="10" t="n"/>
      <c r="I249">
        <f>IF(A249="","",SUMIFS(Purchases[Quantity],Purchases[ProductID],A249))</f>
        <v/>
      </c>
      <c r="J249">
        <f>IF(A249="","",SUMIFS(Sales[Quantity],Sales[ProductID],A249))</f>
        <v/>
      </c>
      <c r="K249">
        <f>IF(A249="","",N(G249)+N(I249)-N(J249))</f>
        <v/>
      </c>
      <c r="L249" s="10">
        <f>IF(K249="","",K249*N(F249))</f>
        <v/>
      </c>
      <c r="M249">
        <f>IF(K249="","",IF(K249&lt;=N(H249),"LOW","OK"))</f>
        <v/>
      </c>
    </row>
    <row r="250">
      <c r="E250" s="10" t="n"/>
      <c r="F250" s="10" t="n"/>
      <c r="I250">
        <f>IF(A250="","",SUMIFS(Purchases[Quantity],Purchases[ProductID],A250))</f>
        <v/>
      </c>
      <c r="J250">
        <f>IF(A250="","",SUMIFS(Sales[Quantity],Sales[ProductID],A250))</f>
        <v/>
      </c>
      <c r="K250">
        <f>IF(A250="","",N(G250)+N(I250)-N(J250))</f>
        <v/>
      </c>
      <c r="L250" s="10">
        <f>IF(K250="","",K250*N(F250))</f>
        <v/>
      </c>
      <c r="M250">
        <f>IF(K250="","",IF(K250&lt;=N(H250),"LOW","OK"))</f>
        <v/>
      </c>
    </row>
    <row r="251">
      <c r="E251" s="10" t="n"/>
      <c r="F251" s="10" t="n"/>
      <c r="I251">
        <f>IF(A251="","",SUMIFS(Purchases[Quantity],Purchases[ProductID],A251))</f>
        <v/>
      </c>
      <c r="J251">
        <f>IF(A251="","",SUMIFS(Sales[Quantity],Sales[ProductID],A251))</f>
        <v/>
      </c>
      <c r="K251">
        <f>IF(A251="","",N(G251)+N(I251)-N(J251))</f>
        <v/>
      </c>
      <c r="L251" s="10">
        <f>IF(K251="","",K251*N(F251))</f>
        <v/>
      </c>
      <c r="M251">
        <f>IF(K251="","",IF(K251&lt;=N(H251),"LOW","OK"))</f>
        <v/>
      </c>
    </row>
    <row r="252">
      <c r="E252" s="10" t="n"/>
      <c r="F252" s="10" t="n"/>
      <c r="I252">
        <f>IF(A252="","",SUMIFS(Purchases[Quantity],Purchases[ProductID],A252))</f>
        <v/>
      </c>
      <c r="J252">
        <f>IF(A252="","",SUMIFS(Sales[Quantity],Sales[ProductID],A252))</f>
        <v/>
      </c>
      <c r="K252">
        <f>IF(A252="","",N(G252)+N(I252)-N(J252))</f>
        <v/>
      </c>
      <c r="L252" s="10">
        <f>IF(K252="","",K252*N(F252))</f>
        <v/>
      </c>
      <c r="M252">
        <f>IF(K252="","",IF(K252&lt;=N(H252),"LOW","OK"))</f>
        <v/>
      </c>
    </row>
    <row r="253">
      <c r="E253" s="10" t="n"/>
      <c r="F253" s="10" t="n"/>
      <c r="I253">
        <f>IF(A253="","",SUMIFS(Purchases[Quantity],Purchases[ProductID],A253))</f>
        <v/>
      </c>
      <c r="J253">
        <f>IF(A253="","",SUMIFS(Sales[Quantity],Sales[ProductID],A253))</f>
        <v/>
      </c>
      <c r="K253">
        <f>IF(A253="","",N(G253)+N(I253)-N(J253))</f>
        <v/>
      </c>
      <c r="L253" s="10">
        <f>IF(K253="","",K253*N(F253))</f>
        <v/>
      </c>
      <c r="M253">
        <f>IF(K253="","",IF(K253&lt;=N(H253),"LOW","OK"))</f>
        <v/>
      </c>
    </row>
    <row r="254">
      <c r="E254" s="10" t="n"/>
      <c r="F254" s="10" t="n"/>
      <c r="I254">
        <f>IF(A254="","",SUMIFS(Purchases[Quantity],Purchases[ProductID],A254))</f>
        <v/>
      </c>
      <c r="J254">
        <f>IF(A254="","",SUMIFS(Sales[Quantity],Sales[ProductID],A254))</f>
        <v/>
      </c>
      <c r="K254">
        <f>IF(A254="","",N(G254)+N(I254)-N(J254))</f>
        <v/>
      </c>
      <c r="L254" s="10">
        <f>IF(K254="","",K254*N(F254))</f>
        <v/>
      </c>
      <c r="M254">
        <f>IF(K254="","",IF(K254&lt;=N(H254),"LOW","OK"))</f>
        <v/>
      </c>
    </row>
    <row r="255">
      <c r="E255" s="10" t="n"/>
      <c r="F255" s="10" t="n"/>
      <c r="I255">
        <f>IF(A255="","",SUMIFS(Purchases[Quantity],Purchases[ProductID],A255))</f>
        <v/>
      </c>
      <c r="J255">
        <f>IF(A255="","",SUMIFS(Sales[Quantity],Sales[ProductID],A255))</f>
        <v/>
      </c>
      <c r="K255">
        <f>IF(A255="","",N(G255)+N(I255)-N(J255))</f>
        <v/>
      </c>
      <c r="L255" s="10">
        <f>IF(K255="","",K255*N(F255))</f>
        <v/>
      </c>
      <c r="M255">
        <f>IF(K255="","",IF(K255&lt;=N(H255),"LOW","OK"))</f>
        <v/>
      </c>
    </row>
    <row r="256">
      <c r="E256" s="10" t="n"/>
      <c r="F256" s="10" t="n"/>
      <c r="I256">
        <f>IF(A256="","",SUMIFS(Purchases[Quantity],Purchases[ProductID],A256))</f>
        <v/>
      </c>
      <c r="J256">
        <f>IF(A256="","",SUMIFS(Sales[Quantity],Sales[ProductID],A256))</f>
        <v/>
      </c>
      <c r="K256">
        <f>IF(A256="","",N(G256)+N(I256)-N(J256))</f>
        <v/>
      </c>
      <c r="L256" s="10">
        <f>IF(K256="","",K256*N(F256))</f>
        <v/>
      </c>
      <c r="M256">
        <f>IF(K256="","",IF(K256&lt;=N(H256),"LOW","OK"))</f>
        <v/>
      </c>
    </row>
    <row r="257">
      <c r="E257" s="10" t="n"/>
      <c r="F257" s="10" t="n"/>
      <c r="I257">
        <f>IF(A257="","",SUMIFS(Purchases[Quantity],Purchases[ProductID],A257))</f>
        <v/>
      </c>
      <c r="J257">
        <f>IF(A257="","",SUMIFS(Sales[Quantity],Sales[ProductID],A257))</f>
        <v/>
      </c>
      <c r="K257">
        <f>IF(A257="","",N(G257)+N(I257)-N(J257))</f>
        <v/>
      </c>
      <c r="L257" s="10">
        <f>IF(K257="","",K257*N(F257))</f>
        <v/>
      </c>
      <c r="M257">
        <f>IF(K257="","",IF(K257&lt;=N(H257),"LOW","OK"))</f>
        <v/>
      </c>
    </row>
    <row r="258">
      <c r="E258" s="10" t="n"/>
      <c r="F258" s="10" t="n"/>
      <c r="I258">
        <f>IF(A258="","",SUMIFS(Purchases[Quantity],Purchases[ProductID],A258))</f>
        <v/>
      </c>
      <c r="J258">
        <f>IF(A258="","",SUMIFS(Sales[Quantity],Sales[ProductID],A258))</f>
        <v/>
      </c>
      <c r="K258">
        <f>IF(A258="","",N(G258)+N(I258)-N(J258))</f>
        <v/>
      </c>
      <c r="L258" s="10">
        <f>IF(K258="","",K258*N(F258))</f>
        <v/>
      </c>
      <c r="M258">
        <f>IF(K258="","",IF(K258&lt;=N(H258),"LOW","OK"))</f>
        <v/>
      </c>
    </row>
    <row r="259">
      <c r="E259" s="10" t="n"/>
      <c r="F259" s="10" t="n"/>
      <c r="I259">
        <f>IF(A259="","",SUMIFS(Purchases[Quantity],Purchases[ProductID],A259))</f>
        <v/>
      </c>
      <c r="J259">
        <f>IF(A259="","",SUMIFS(Sales[Quantity],Sales[ProductID],A259))</f>
        <v/>
      </c>
      <c r="K259">
        <f>IF(A259="","",N(G259)+N(I259)-N(J259))</f>
        <v/>
      </c>
      <c r="L259" s="10">
        <f>IF(K259="","",K259*N(F259))</f>
        <v/>
      </c>
      <c r="M259">
        <f>IF(K259="","",IF(K259&lt;=N(H259),"LOW","OK"))</f>
        <v/>
      </c>
    </row>
    <row r="260">
      <c r="E260" s="10" t="n"/>
      <c r="F260" s="10" t="n"/>
      <c r="I260">
        <f>IF(A260="","",SUMIFS(Purchases[Quantity],Purchases[ProductID],A260))</f>
        <v/>
      </c>
      <c r="J260">
        <f>IF(A260="","",SUMIFS(Sales[Quantity],Sales[ProductID],A260))</f>
        <v/>
      </c>
      <c r="K260">
        <f>IF(A260="","",N(G260)+N(I260)-N(J260))</f>
        <v/>
      </c>
      <c r="L260" s="10">
        <f>IF(K260="","",K260*N(F260))</f>
        <v/>
      </c>
      <c r="M260">
        <f>IF(K260="","",IF(K260&lt;=N(H260),"LOW","OK"))</f>
        <v/>
      </c>
    </row>
    <row r="261">
      <c r="E261" s="10" t="n"/>
      <c r="F261" s="10" t="n"/>
      <c r="I261">
        <f>IF(A261="","",SUMIFS(Purchases[Quantity],Purchases[ProductID],A261))</f>
        <v/>
      </c>
      <c r="J261">
        <f>IF(A261="","",SUMIFS(Sales[Quantity],Sales[ProductID],A261))</f>
        <v/>
      </c>
      <c r="K261">
        <f>IF(A261="","",N(G261)+N(I261)-N(J261))</f>
        <v/>
      </c>
      <c r="L261" s="10">
        <f>IF(K261="","",K261*N(F261))</f>
        <v/>
      </c>
      <c r="M261">
        <f>IF(K261="","",IF(K261&lt;=N(H261),"LOW","OK"))</f>
        <v/>
      </c>
    </row>
    <row r="262">
      <c r="E262" s="10" t="n"/>
      <c r="F262" s="10" t="n"/>
      <c r="I262">
        <f>IF(A262="","",SUMIFS(Purchases[Quantity],Purchases[ProductID],A262))</f>
        <v/>
      </c>
      <c r="J262">
        <f>IF(A262="","",SUMIFS(Sales[Quantity],Sales[ProductID],A262))</f>
        <v/>
      </c>
      <c r="K262">
        <f>IF(A262="","",N(G262)+N(I262)-N(J262))</f>
        <v/>
      </c>
      <c r="L262" s="10">
        <f>IF(K262="","",K262*N(F262))</f>
        <v/>
      </c>
      <c r="M262">
        <f>IF(K262="","",IF(K262&lt;=N(H262),"LOW","OK"))</f>
        <v/>
      </c>
    </row>
    <row r="263">
      <c r="E263" s="10" t="n"/>
      <c r="F263" s="10" t="n"/>
      <c r="I263">
        <f>IF(A263="","",SUMIFS(Purchases[Quantity],Purchases[ProductID],A263))</f>
        <v/>
      </c>
      <c r="J263">
        <f>IF(A263="","",SUMIFS(Sales[Quantity],Sales[ProductID],A263))</f>
        <v/>
      </c>
      <c r="K263">
        <f>IF(A263="","",N(G263)+N(I263)-N(J263))</f>
        <v/>
      </c>
      <c r="L263" s="10">
        <f>IF(K263="","",K263*N(F263))</f>
        <v/>
      </c>
      <c r="M263">
        <f>IF(K263="","",IF(K263&lt;=N(H263),"LOW","OK"))</f>
        <v/>
      </c>
    </row>
    <row r="264">
      <c r="E264" s="10" t="n"/>
      <c r="F264" s="10" t="n"/>
      <c r="I264">
        <f>IF(A264="","",SUMIFS(Purchases[Quantity],Purchases[ProductID],A264))</f>
        <v/>
      </c>
      <c r="J264">
        <f>IF(A264="","",SUMIFS(Sales[Quantity],Sales[ProductID],A264))</f>
        <v/>
      </c>
      <c r="K264">
        <f>IF(A264="","",N(G264)+N(I264)-N(J264))</f>
        <v/>
      </c>
      <c r="L264" s="10">
        <f>IF(K264="","",K264*N(F264))</f>
        <v/>
      </c>
      <c r="M264">
        <f>IF(K264="","",IF(K264&lt;=N(H264),"LOW","OK"))</f>
        <v/>
      </c>
    </row>
    <row r="265">
      <c r="E265" s="10" t="n"/>
      <c r="F265" s="10" t="n"/>
      <c r="I265">
        <f>IF(A265="","",SUMIFS(Purchases[Quantity],Purchases[ProductID],A265))</f>
        <v/>
      </c>
      <c r="J265">
        <f>IF(A265="","",SUMIFS(Sales[Quantity],Sales[ProductID],A265))</f>
        <v/>
      </c>
      <c r="K265">
        <f>IF(A265="","",N(G265)+N(I265)-N(J265))</f>
        <v/>
      </c>
      <c r="L265" s="10">
        <f>IF(K265="","",K265*N(F265))</f>
        <v/>
      </c>
      <c r="M265">
        <f>IF(K265="","",IF(K265&lt;=N(H265),"LOW","OK"))</f>
        <v/>
      </c>
    </row>
    <row r="266">
      <c r="E266" s="10" t="n"/>
      <c r="F266" s="10" t="n"/>
      <c r="I266">
        <f>IF(A266="","",SUMIFS(Purchases[Quantity],Purchases[ProductID],A266))</f>
        <v/>
      </c>
      <c r="J266">
        <f>IF(A266="","",SUMIFS(Sales[Quantity],Sales[ProductID],A266))</f>
        <v/>
      </c>
      <c r="K266">
        <f>IF(A266="","",N(G266)+N(I266)-N(J266))</f>
        <v/>
      </c>
      <c r="L266" s="10">
        <f>IF(K266="","",K266*N(F266))</f>
        <v/>
      </c>
      <c r="M266">
        <f>IF(K266="","",IF(K266&lt;=N(H266),"LOW","OK"))</f>
        <v/>
      </c>
    </row>
    <row r="267">
      <c r="E267" s="10" t="n"/>
      <c r="F267" s="10" t="n"/>
      <c r="I267">
        <f>IF(A267="","",SUMIFS(Purchases[Quantity],Purchases[ProductID],A267))</f>
        <v/>
      </c>
      <c r="J267">
        <f>IF(A267="","",SUMIFS(Sales[Quantity],Sales[ProductID],A267))</f>
        <v/>
      </c>
      <c r="K267">
        <f>IF(A267="","",N(G267)+N(I267)-N(J267))</f>
        <v/>
      </c>
      <c r="L267" s="10">
        <f>IF(K267="","",K267*N(F267))</f>
        <v/>
      </c>
      <c r="M267">
        <f>IF(K267="","",IF(K267&lt;=N(H267),"LOW","OK"))</f>
        <v/>
      </c>
    </row>
    <row r="268">
      <c r="E268" s="10" t="n"/>
      <c r="F268" s="10" t="n"/>
      <c r="I268">
        <f>IF(A268="","",SUMIFS(Purchases[Quantity],Purchases[ProductID],A268))</f>
        <v/>
      </c>
      <c r="J268">
        <f>IF(A268="","",SUMIFS(Sales[Quantity],Sales[ProductID],A268))</f>
        <v/>
      </c>
      <c r="K268">
        <f>IF(A268="","",N(G268)+N(I268)-N(J268))</f>
        <v/>
      </c>
      <c r="L268" s="10">
        <f>IF(K268="","",K268*N(F268))</f>
        <v/>
      </c>
      <c r="M268">
        <f>IF(K268="","",IF(K268&lt;=N(H268),"LOW","OK"))</f>
        <v/>
      </c>
    </row>
    <row r="269">
      <c r="E269" s="10" t="n"/>
      <c r="F269" s="10" t="n"/>
      <c r="I269">
        <f>IF(A269="","",SUMIFS(Purchases[Quantity],Purchases[ProductID],A269))</f>
        <v/>
      </c>
      <c r="J269">
        <f>IF(A269="","",SUMIFS(Sales[Quantity],Sales[ProductID],A269))</f>
        <v/>
      </c>
      <c r="K269">
        <f>IF(A269="","",N(G269)+N(I269)-N(J269))</f>
        <v/>
      </c>
      <c r="L269" s="10">
        <f>IF(K269="","",K269*N(F269))</f>
        <v/>
      </c>
      <c r="M269">
        <f>IF(K269="","",IF(K269&lt;=N(H269),"LOW","OK"))</f>
        <v/>
      </c>
    </row>
    <row r="270">
      <c r="E270" s="10" t="n"/>
      <c r="F270" s="10" t="n"/>
      <c r="I270">
        <f>IF(A270="","",SUMIFS(Purchases[Quantity],Purchases[ProductID],A270))</f>
        <v/>
      </c>
      <c r="J270">
        <f>IF(A270="","",SUMIFS(Sales[Quantity],Sales[ProductID],A270))</f>
        <v/>
      </c>
      <c r="K270">
        <f>IF(A270="","",N(G270)+N(I270)-N(J270))</f>
        <v/>
      </c>
      <c r="L270" s="10">
        <f>IF(K270="","",K270*N(F270))</f>
        <v/>
      </c>
      <c r="M270">
        <f>IF(K270="","",IF(K270&lt;=N(H270),"LOW","OK"))</f>
        <v/>
      </c>
    </row>
    <row r="271">
      <c r="E271" s="10" t="n"/>
      <c r="F271" s="10" t="n"/>
      <c r="I271">
        <f>IF(A271="","",SUMIFS(Purchases[Quantity],Purchases[ProductID],A271))</f>
        <v/>
      </c>
      <c r="J271">
        <f>IF(A271="","",SUMIFS(Sales[Quantity],Sales[ProductID],A271))</f>
        <v/>
      </c>
      <c r="K271">
        <f>IF(A271="","",N(G271)+N(I271)-N(J271))</f>
        <v/>
      </c>
      <c r="L271" s="10">
        <f>IF(K271="","",K271*N(F271))</f>
        <v/>
      </c>
      <c r="M271">
        <f>IF(K271="","",IF(K271&lt;=N(H271),"LOW","OK"))</f>
        <v/>
      </c>
    </row>
    <row r="272">
      <c r="E272" s="10" t="n"/>
      <c r="F272" s="10" t="n"/>
      <c r="I272">
        <f>IF(A272="","",SUMIFS(Purchases[Quantity],Purchases[ProductID],A272))</f>
        <v/>
      </c>
      <c r="J272">
        <f>IF(A272="","",SUMIFS(Sales[Quantity],Sales[ProductID],A272))</f>
        <v/>
      </c>
      <c r="K272">
        <f>IF(A272="","",N(G272)+N(I272)-N(J272))</f>
        <v/>
      </c>
      <c r="L272" s="10">
        <f>IF(K272="","",K272*N(F272))</f>
        <v/>
      </c>
      <c r="M272">
        <f>IF(K272="","",IF(K272&lt;=N(H272),"LOW","OK"))</f>
        <v/>
      </c>
    </row>
    <row r="273">
      <c r="E273" s="10" t="n"/>
      <c r="F273" s="10" t="n"/>
      <c r="I273">
        <f>IF(A273="","",SUMIFS(Purchases[Quantity],Purchases[ProductID],A273))</f>
        <v/>
      </c>
      <c r="J273">
        <f>IF(A273="","",SUMIFS(Sales[Quantity],Sales[ProductID],A273))</f>
        <v/>
      </c>
      <c r="K273">
        <f>IF(A273="","",N(G273)+N(I273)-N(J273))</f>
        <v/>
      </c>
      <c r="L273" s="10">
        <f>IF(K273="","",K273*N(F273))</f>
        <v/>
      </c>
      <c r="M273">
        <f>IF(K273="","",IF(K273&lt;=N(H273),"LOW","OK"))</f>
        <v/>
      </c>
    </row>
    <row r="274">
      <c r="E274" s="10" t="n"/>
      <c r="F274" s="10" t="n"/>
      <c r="I274">
        <f>IF(A274="","",SUMIFS(Purchases[Quantity],Purchases[ProductID],A274))</f>
        <v/>
      </c>
      <c r="J274">
        <f>IF(A274="","",SUMIFS(Sales[Quantity],Sales[ProductID],A274))</f>
        <v/>
      </c>
      <c r="K274">
        <f>IF(A274="","",N(G274)+N(I274)-N(J274))</f>
        <v/>
      </c>
      <c r="L274" s="10">
        <f>IF(K274="","",K274*N(F274))</f>
        <v/>
      </c>
      <c r="M274">
        <f>IF(K274="","",IF(K274&lt;=N(H274),"LOW","OK"))</f>
        <v/>
      </c>
    </row>
    <row r="275">
      <c r="E275" s="10" t="n"/>
      <c r="F275" s="10" t="n"/>
      <c r="I275">
        <f>IF(A275="","",SUMIFS(Purchases[Quantity],Purchases[ProductID],A275))</f>
        <v/>
      </c>
      <c r="J275">
        <f>IF(A275="","",SUMIFS(Sales[Quantity],Sales[ProductID],A275))</f>
        <v/>
      </c>
      <c r="K275">
        <f>IF(A275="","",N(G275)+N(I275)-N(J275))</f>
        <v/>
      </c>
      <c r="L275" s="10">
        <f>IF(K275="","",K275*N(F275))</f>
        <v/>
      </c>
      <c r="M275">
        <f>IF(K275="","",IF(K275&lt;=N(H275),"LOW","OK"))</f>
        <v/>
      </c>
    </row>
    <row r="276">
      <c r="E276" s="10" t="n"/>
      <c r="F276" s="10" t="n"/>
      <c r="I276">
        <f>IF(A276="","",SUMIFS(Purchases[Quantity],Purchases[ProductID],A276))</f>
        <v/>
      </c>
      <c r="J276">
        <f>IF(A276="","",SUMIFS(Sales[Quantity],Sales[ProductID],A276))</f>
        <v/>
      </c>
      <c r="K276">
        <f>IF(A276="","",N(G276)+N(I276)-N(J276))</f>
        <v/>
      </c>
      <c r="L276" s="10">
        <f>IF(K276="","",K276*N(F276))</f>
        <v/>
      </c>
      <c r="M276">
        <f>IF(K276="","",IF(K276&lt;=N(H276),"LOW","OK"))</f>
        <v/>
      </c>
    </row>
    <row r="277">
      <c r="E277" s="10" t="n"/>
      <c r="F277" s="10" t="n"/>
      <c r="I277">
        <f>IF(A277="","",SUMIFS(Purchases[Quantity],Purchases[ProductID],A277))</f>
        <v/>
      </c>
      <c r="J277">
        <f>IF(A277="","",SUMIFS(Sales[Quantity],Sales[ProductID],A277))</f>
        <v/>
      </c>
      <c r="K277">
        <f>IF(A277="","",N(G277)+N(I277)-N(J277))</f>
        <v/>
      </c>
      <c r="L277" s="10">
        <f>IF(K277="","",K277*N(F277))</f>
        <v/>
      </c>
      <c r="M277">
        <f>IF(K277="","",IF(K277&lt;=N(H277),"LOW","OK"))</f>
        <v/>
      </c>
    </row>
    <row r="278">
      <c r="E278" s="10" t="n"/>
      <c r="F278" s="10" t="n"/>
      <c r="I278">
        <f>IF(A278="","",SUMIFS(Purchases[Quantity],Purchases[ProductID],A278))</f>
        <v/>
      </c>
      <c r="J278">
        <f>IF(A278="","",SUMIFS(Sales[Quantity],Sales[ProductID],A278))</f>
        <v/>
      </c>
      <c r="K278">
        <f>IF(A278="","",N(G278)+N(I278)-N(J278))</f>
        <v/>
      </c>
      <c r="L278" s="10">
        <f>IF(K278="","",K278*N(F278))</f>
        <v/>
      </c>
      <c r="M278">
        <f>IF(K278="","",IF(K278&lt;=N(H278),"LOW","OK"))</f>
        <v/>
      </c>
    </row>
    <row r="279">
      <c r="E279" s="10" t="n"/>
      <c r="F279" s="10" t="n"/>
      <c r="I279">
        <f>IF(A279="","",SUMIFS(Purchases[Quantity],Purchases[ProductID],A279))</f>
        <v/>
      </c>
      <c r="J279">
        <f>IF(A279="","",SUMIFS(Sales[Quantity],Sales[ProductID],A279))</f>
        <v/>
      </c>
      <c r="K279">
        <f>IF(A279="","",N(G279)+N(I279)-N(J279))</f>
        <v/>
      </c>
      <c r="L279" s="10">
        <f>IF(K279="","",K279*N(F279))</f>
        <v/>
      </c>
      <c r="M279">
        <f>IF(K279="","",IF(K279&lt;=N(H279),"LOW","OK"))</f>
        <v/>
      </c>
    </row>
    <row r="280">
      <c r="E280" s="10" t="n"/>
      <c r="F280" s="10" t="n"/>
      <c r="I280">
        <f>IF(A280="","",SUMIFS(Purchases[Quantity],Purchases[ProductID],A280))</f>
        <v/>
      </c>
      <c r="J280">
        <f>IF(A280="","",SUMIFS(Sales[Quantity],Sales[ProductID],A280))</f>
        <v/>
      </c>
      <c r="K280">
        <f>IF(A280="","",N(G280)+N(I280)-N(J280))</f>
        <v/>
      </c>
      <c r="L280" s="10">
        <f>IF(K280="","",K280*N(F280))</f>
        <v/>
      </c>
      <c r="M280">
        <f>IF(K280="","",IF(K280&lt;=N(H280),"LOW","OK"))</f>
        <v/>
      </c>
    </row>
    <row r="281">
      <c r="E281" s="10" t="n"/>
      <c r="F281" s="10" t="n"/>
      <c r="I281">
        <f>IF(A281="","",SUMIFS(Purchases[Quantity],Purchases[ProductID],A281))</f>
        <v/>
      </c>
      <c r="J281">
        <f>IF(A281="","",SUMIFS(Sales[Quantity],Sales[ProductID],A281))</f>
        <v/>
      </c>
      <c r="K281">
        <f>IF(A281="","",N(G281)+N(I281)-N(J281))</f>
        <v/>
      </c>
      <c r="L281" s="10">
        <f>IF(K281="","",K281*N(F281))</f>
        <v/>
      </c>
      <c r="M281">
        <f>IF(K281="","",IF(K281&lt;=N(H281),"LOW","OK"))</f>
        <v/>
      </c>
    </row>
    <row r="282">
      <c r="E282" s="10" t="n"/>
      <c r="F282" s="10" t="n"/>
      <c r="I282">
        <f>IF(A282="","",SUMIFS(Purchases[Quantity],Purchases[ProductID],A282))</f>
        <v/>
      </c>
      <c r="J282">
        <f>IF(A282="","",SUMIFS(Sales[Quantity],Sales[ProductID],A282))</f>
        <v/>
      </c>
      <c r="K282">
        <f>IF(A282="","",N(G282)+N(I282)-N(J282))</f>
        <v/>
      </c>
      <c r="L282" s="10">
        <f>IF(K282="","",K282*N(F282))</f>
        <v/>
      </c>
      <c r="M282">
        <f>IF(K282="","",IF(K282&lt;=N(H282),"LOW","OK"))</f>
        <v/>
      </c>
    </row>
    <row r="283">
      <c r="E283" s="10" t="n"/>
      <c r="F283" s="10" t="n"/>
      <c r="I283">
        <f>IF(A283="","",SUMIFS(Purchases[Quantity],Purchases[ProductID],A283))</f>
        <v/>
      </c>
      <c r="J283">
        <f>IF(A283="","",SUMIFS(Sales[Quantity],Sales[ProductID],A283))</f>
        <v/>
      </c>
      <c r="K283">
        <f>IF(A283="","",N(G283)+N(I283)-N(J283))</f>
        <v/>
      </c>
      <c r="L283" s="10">
        <f>IF(K283="","",K283*N(F283))</f>
        <v/>
      </c>
      <c r="M283">
        <f>IF(K283="","",IF(K283&lt;=N(H283),"LOW","OK"))</f>
        <v/>
      </c>
    </row>
    <row r="284">
      <c r="E284" s="10" t="n"/>
      <c r="F284" s="10" t="n"/>
      <c r="I284">
        <f>IF(A284="","",SUMIFS(Purchases[Quantity],Purchases[ProductID],A284))</f>
        <v/>
      </c>
      <c r="J284">
        <f>IF(A284="","",SUMIFS(Sales[Quantity],Sales[ProductID],A284))</f>
        <v/>
      </c>
      <c r="K284">
        <f>IF(A284="","",N(G284)+N(I284)-N(J284))</f>
        <v/>
      </c>
      <c r="L284" s="10">
        <f>IF(K284="","",K284*N(F284))</f>
        <v/>
      </c>
      <c r="M284">
        <f>IF(K284="","",IF(K284&lt;=N(H284),"LOW","OK"))</f>
        <v/>
      </c>
    </row>
    <row r="285">
      <c r="E285" s="10" t="n"/>
      <c r="F285" s="10" t="n"/>
      <c r="I285">
        <f>IF(A285="","",SUMIFS(Purchases[Quantity],Purchases[ProductID],A285))</f>
        <v/>
      </c>
      <c r="J285">
        <f>IF(A285="","",SUMIFS(Sales[Quantity],Sales[ProductID],A285))</f>
        <v/>
      </c>
      <c r="K285">
        <f>IF(A285="","",N(G285)+N(I285)-N(J285))</f>
        <v/>
      </c>
      <c r="L285" s="10">
        <f>IF(K285="","",K285*N(F285))</f>
        <v/>
      </c>
      <c r="M285">
        <f>IF(K285="","",IF(K285&lt;=N(H285),"LOW","OK"))</f>
        <v/>
      </c>
    </row>
    <row r="286">
      <c r="E286" s="10" t="n"/>
      <c r="F286" s="10" t="n"/>
      <c r="I286">
        <f>IF(A286="","",SUMIFS(Purchases[Quantity],Purchases[ProductID],A286))</f>
        <v/>
      </c>
      <c r="J286">
        <f>IF(A286="","",SUMIFS(Sales[Quantity],Sales[ProductID],A286))</f>
        <v/>
      </c>
      <c r="K286">
        <f>IF(A286="","",N(G286)+N(I286)-N(J286))</f>
        <v/>
      </c>
      <c r="L286" s="10">
        <f>IF(K286="","",K286*N(F286))</f>
        <v/>
      </c>
      <c r="M286">
        <f>IF(K286="","",IF(K286&lt;=N(H286),"LOW","OK"))</f>
        <v/>
      </c>
    </row>
    <row r="287">
      <c r="E287" s="10" t="n"/>
      <c r="F287" s="10" t="n"/>
      <c r="I287">
        <f>IF(A287="","",SUMIFS(Purchases[Quantity],Purchases[ProductID],A287))</f>
        <v/>
      </c>
      <c r="J287">
        <f>IF(A287="","",SUMIFS(Sales[Quantity],Sales[ProductID],A287))</f>
        <v/>
      </c>
      <c r="K287">
        <f>IF(A287="","",N(G287)+N(I287)-N(J287))</f>
        <v/>
      </c>
      <c r="L287" s="10">
        <f>IF(K287="","",K287*N(F287))</f>
        <v/>
      </c>
      <c r="M287">
        <f>IF(K287="","",IF(K287&lt;=N(H287),"LOW","OK"))</f>
        <v/>
      </c>
    </row>
    <row r="288">
      <c r="E288" s="10" t="n"/>
      <c r="F288" s="10" t="n"/>
      <c r="I288">
        <f>IF(A288="","",SUMIFS(Purchases[Quantity],Purchases[ProductID],A288))</f>
        <v/>
      </c>
      <c r="J288">
        <f>IF(A288="","",SUMIFS(Sales[Quantity],Sales[ProductID],A288))</f>
        <v/>
      </c>
      <c r="K288">
        <f>IF(A288="","",N(G288)+N(I288)-N(J288))</f>
        <v/>
      </c>
      <c r="L288" s="10">
        <f>IF(K288="","",K288*N(F288))</f>
        <v/>
      </c>
      <c r="M288">
        <f>IF(K288="","",IF(K288&lt;=N(H288),"LOW","OK"))</f>
        <v/>
      </c>
    </row>
    <row r="289">
      <c r="E289" s="10" t="n"/>
      <c r="F289" s="10" t="n"/>
      <c r="I289">
        <f>IF(A289="","",SUMIFS(Purchases[Quantity],Purchases[ProductID],A289))</f>
        <v/>
      </c>
      <c r="J289">
        <f>IF(A289="","",SUMIFS(Sales[Quantity],Sales[ProductID],A289))</f>
        <v/>
      </c>
      <c r="K289">
        <f>IF(A289="","",N(G289)+N(I289)-N(J289))</f>
        <v/>
      </c>
      <c r="L289" s="10">
        <f>IF(K289="","",K289*N(F289))</f>
        <v/>
      </c>
      <c r="M289">
        <f>IF(K289="","",IF(K289&lt;=N(H289),"LOW","OK"))</f>
        <v/>
      </c>
    </row>
    <row r="290">
      <c r="E290" s="10" t="n"/>
      <c r="F290" s="10" t="n"/>
      <c r="I290">
        <f>IF(A290="","",SUMIFS(Purchases[Quantity],Purchases[ProductID],A290))</f>
        <v/>
      </c>
      <c r="J290">
        <f>IF(A290="","",SUMIFS(Sales[Quantity],Sales[ProductID],A290))</f>
        <v/>
      </c>
      <c r="K290">
        <f>IF(A290="","",N(G290)+N(I290)-N(J290))</f>
        <v/>
      </c>
      <c r="L290" s="10">
        <f>IF(K290="","",K290*N(F290))</f>
        <v/>
      </c>
      <c r="M290">
        <f>IF(K290="","",IF(K290&lt;=N(H290),"LOW","OK"))</f>
        <v/>
      </c>
    </row>
    <row r="291">
      <c r="E291" s="10" t="n"/>
      <c r="F291" s="10" t="n"/>
      <c r="I291">
        <f>IF(A291="","",SUMIFS(Purchases[Quantity],Purchases[ProductID],A291))</f>
        <v/>
      </c>
      <c r="J291">
        <f>IF(A291="","",SUMIFS(Sales[Quantity],Sales[ProductID],A291))</f>
        <v/>
      </c>
      <c r="K291">
        <f>IF(A291="","",N(G291)+N(I291)-N(J291))</f>
        <v/>
      </c>
      <c r="L291" s="10">
        <f>IF(K291="","",K291*N(F291))</f>
        <v/>
      </c>
      <c r="M291">
        <f>IF(K291="","",IF(K291&lt;=N(H291),"LOW","OK"))</f>
        <v/>
      </c>
    </row>
    <row r="292">
      <c r="E292" s="10" t="n"/>
      <c r="F292" s="10" t="n"/>
      <c r="I292">
        <f>IF(A292="","",SUMIFS(Purchases[Quantity],Purchases[ProductID],A292))</f>
        <v/>
      </c>
      <c r="J292">
        <f>IF(A292="","",SUMIFS(Sales[Quantity],Sales[ProductID],A292))</f>
        <v/>
      </c>
      <c r="K292">
        <f>IF(A292="","",N(G292)+N(I292)-N(J292))</f>
        <v/>
      </c>
      <c r="L292" s="10">
        <f>IF(K292="","",K292*N(F292))</f>
        <v/>
      </c>
      <c r="M292">
        <f>IF(K292="","",IF(K292&lt;=N(H292),"LOW","OK"))</f>
        <v/>
      </c>
    </row>
    <row r="293">
      <c r="E293" s="10" t="n"/>
      <c r="F293" s="10" t="n"/>
      <c r="I293">
        <f>IF(A293="","",SUMIFS(Purchases[Quantity],Purchases[ProductID],A293))</f>
        <v/>
      </c>
      <c r="J293">
        <f>IF(A293="","",SUMIFS(Sales[Quantity],Sales[ProductID],A293))</f>
        <v/>
      </c>
      <c r="K293">
        <f>IF(A293="","",N(G293)+N(I293)-N(J293))</f>
        <v/>
      </c>
      <c r="L293" s="10">
        <f>IF(K293="","",K293*N(F293))</f>
        <v/>
      </c>
      <c r="M293">
        <f>IF(K293="","",IF(K293&lt;=N(H293),"LOW","OK"))</f>
        <v/>
      </c>
    </row>
    <row r="294">
      <c r="E294" s="10" t="n"/>
      <c r="F294" s="10" t="n"/>
      <c r="I294">
        <f>IF(A294="","",SUMIFS(Purchases[Quantity],Purchases[ProductID],A294))</f>
        <v/>
      </c>
      <c r="J294">
        <f>IF(A294="","",SUMIFS(Sales[Quantity],Sales[ProductID],A294))</f>
        <v/>
      </c>
      <c r="K294">
        <f>IF(A294="","",N(G294)+N(I294)-N(J294))</f>
        <v/>
      </c>
      <c r="L294" s="10">
        <f>IF(K294="","",K294*N(F294))</f>
        <v/>
      </c>
      <c r="M294">
        <f>IF(K294="","",IF(K294&lt;=N(H294),"LOW","OK"))</f>
        <v/>
      </c>
    </row>
    <row r="295">
      <c r="E295" s="10" t="n"/>
      <c r="F295" s="10" t="n"/>
      <c r="I295">
        <f>IF(A295="","",SUMIFS(Purchases[Quantity],Purchases[ProductID],A295))</f>
        <v/>
      </c>
      <c r="J295">
        <f>IF(A295="","",SUMIFS(Sales[Quantity],Sales[ProductID],A295))</f>
        <v/>
      </c>
      <c r="K295">
        <f>IF(A295="","",N(G295)+N(I295)-N(J295))</f>
        <v/>
      </c>
      <c r="L295" s="10">
        <f>IF(K295="","",K295*N(F295))</f>
        <v/>
      </c>
      <c r="M295">
        <f>IF(K295="","",IF(K295&lt;=N(H295),"LOW","OK"))</f>
        <v/>
      </c>
    </row>
    <row r="296">
      <c r="E296" s="10" t="n"/>
      <c r="F296" s="10" t="n"/>
      <c r="I296">
        <f>IF(A296="","",SUMIFS(Purchases[Quantity],Purchases[ProductID],A296))</f>
        <v/>
      </c>
      <c r="J296">
        <f>IF(A296="","",SUMIFS(Sales[Quantity],Sales[ProductID],A296))</f>
        <v/>
      </c>
      <c r="K296">
        <f>IF(A296="","",N(G296)+N(I296)-N(J296))</f>
        <v/>
      </c>
      <c r="L296" s="10">
        <f>IF(K296="","",K296*N(F296))</f>
        <v/>
      </c>
      <c r="M296">
        <f>IF(K296="","",IF(K296&lt;=N(H296),"LOW","OK"))</f>
        <v/>
      </c>
    </row>
    <row r="297">
      <c r="E297" s="10" t="n"/>
      <c r="F297" s="10" t="n"/>
      <c r="I297">
        <f>IF(A297="","",SUMIFS(Purchases[Quantity],Purchases[ProductID],A297))</f>
        <v/>
      </c>
      <c r="J297">
        <f>IF(A297="","",SUMIFS(Sales[Quantity],Sales[ProductID],A297))</f>
        <v/>
      </c>
      <c r="K297">
        <f>IF(A297="","",N(G297)+N(I297)-N(J297))</f>
        <v/>
      </c>
      <c r="L297" s="10">
        <f>IF(K297="","",K297*N(F297))</f>
        <v/>
      </c>
      <c r="M297">
        <f>IF(K297="","",IF(K297&lt;=N(H297),"LOW","OK"))</f>
        <v/>
      </c>
    </row>
    <row r="298">
      <c r="E298" s="10" t="n"/>
      <c r="F298" s="10" t="n"/>
      <c r="I298">
        <f>IF(A298="","",SUMIFS(Purchases[Quantity],Purchases[ProductID],A298))</f>
        <v/>
      </c>
      <c r="J298">
        <f>IF(A298="","",SUMIFS(Sales[Quantity],Sales[ProductID],A298))</f>
        <v/>
      </c>
      <c r="K298">
        <f>IF(A298="","",N(G298)+N(I298)-N(J298))</f>
        <v/>
      </c>
      <c r="L298" s="10">
        <f>IF(K298="","",K298*N(F298))</f>
        <v/>
      </c>
      <c r="M298">
        <f>IF(K298="","",IF(K298&lt;=N(H298),"LOW","OK"))</f>
        <v/>
      </c>
    </row>
    <row r="299">
      <c r="E299" s="10" t="n"/>
      <c r="F299" s="10" t="n"/>
      <c r="I299">
        <f>IF(A299="","",SUMIFS(Purchases[Quantity],Purchases[ProductID],A299))</f>
        <v/>
      </c>
      <c r="J299">
        <f>IF(A299="","",SUMIFS(Sales[Quantity],Sales[ProductID],A299))</f>
        <v/>
      </c>
      <c r="K299">
        <f>IF(A299="","",N(G299)+N(I299)-N(J299))</f>
        <v/>
      </c>
      <c r="L299" s="10">
        <f>IF(K299="","",K299*N(F299))</f>
        <v/>
      </c>
      <c r="M299">
        <f>IF(K299="","",IF(K299&lt;=N(H299),"LOW","OK"))</f>
        <v/>
      </c>
    </row>
    <row r="300">
      <c r="E300" s="10" t="n"/>
      <c r="F300" s="10" t="n"/>
      <c r="I300">
        <f>IF(A300="","",SUMIFS(Purchases[Quantity],Purchases[ProductID],A300))</f>
        <v/>
      </c>
      <c r="J300">
        <f>IF(A300="","",SUMIFS(Sales[Quantity],Sales[ProductID],A300))</f>
        <v/>
      </c>
      <c r="K300">
        <f>IF(A300="","",N(G300)+N(I300)-N(J300))</f>
        <v/>
      </c>
      <c r="L300" s="10">
        <f>IF(K300="","",K300*N(F300))</f>
        <v/>
      </c>
      <c r="M300">
        <f>IF(K300="","",IF(K300&lt;=N(H300),"LOW","OK"))</f>
        <v/>
      </c>
    </row>
    <row r="301">
      <c r="E301" s="10" t="n"/>
      <c r="F301" s="10" t="n"/>
      <c r="I301">
        <f>IF(A301="","",SUMIFS(Purchases[Quantity],Purchases[ProductID],A301))</f>
        <v/>
      </c>
      <c r="J301">
        <f>IF(A301="","",SUMIFS(Sales[Quantity],Sales[ProductID],A301))</f>
        <v/>
      </c>
      <c r="K301">
        <f>IF(A301="","",N(G301)+N(I301)-N(J301))</f>
        <v/>
      </c>
      <c r="L301" s="10">
        <f>IF(K301="","",K301*N(F301))</f>
        <v/>
      </c>
      <c r="M301">
        <f>IF(K301="","",IF(K301&lt;=N(H301),"LOW","OK"))</f>
        <v/>
      </c>
    </row>
    <row r="302">
      <c r="E302" s="10" t="n"/>
      <c r="F302" s="10" t="n"/>
      <c r="I302">
        <f>IF(A302="","",SUMIFS(Purchases[Quantity],Purchases[ProductID],A302))</f>
        <v/>
      </c>
      <c r="J302">
        <f>IF(A302="","",SUMIFS(Sales[Quantity],Sales[ProductID],A302))</f>
        <v/>
      </c>
      <c r="K302">
        <f>IF(A302="","",N(G302)+N(I302)-N(J302))</f>
        <v/>
      </c>
      <c r="L302" s="10">
        <f>IF(K302="","",K302*N(F302))</f>
        <v/>
      </c>
      <c r="M302">
        <f>IF(K302="","",IF(K302&lt;=N(H302),"LOW","OK"))</f>
        <v/>
      </c>
    </row>
    <row r="303">
      <c r="E303" s="10" t="n"/>
      <c r="F303" s="10" t="n"/>
      <c r="I303">
        <f>IF(A303="","",SUMIFS(Purchases[Quantity],Purchases[ProductID],A303))</f>
        <v/>
      </c>
      <c r="J303">
        <f>IF(A303="","",SUMIFS(Sales[Quantity],Sales[ProductID],A303))</f>
        <v/>
      </c>
      <c r="K303">
        <f>IF(A303="","",N(G303)+N(I303)-N(J303))</f>
        <v/>
      </c>
      <c r="L303" s="10">
        <f>IF(K303="","",K303*N(F303))</f>
        <v/>
      </c>
      <c r="M303">
        <f>IF(K303="","",IF(K303&lt;=N(H303),"LOW","OK"))</f>
        <v/>
      </c>
    </row>
    <row r="304">
      <c r="E304" s="10" t="n"/>
      <c r="F304" s="10" t="n"/>
      <c r="I304">
        <f>IF(A304="","",SUMIFS(Purchases[Quantity],Purchases[ProductID],A304))</f>
        <v/>
      </c>
      <c r="J304">
        <f>IF(A304="","",SUMIFS(Sales[Quantity],Sales[ProductID],A304))</f>
        <v/>
      </c>
      <c r="K304">
        <f>IF(A304="","",N(G304)+N(I304)-N(J304))</f>
        <v/>
      </c>
      <c r="L304" s="10">
        <f>IF(K304="","",K304*N(F304))</f>
        <v/>
      </c>
      <c r="M304">
        <f>IF(K304="","",IF(K304&lt;=N(H304),"LOW","OK"))</f>
        <v/>
      </c>
    </row>
    <row r="305">
      <c r="E305" s="10" t="n"/>
      <c r="F305" s="10" t="n"/>
      <c r="I305">
        <f>IF(A305="","",SUMIFS(Purchases[Quantity],Purchases[ProductID],A305))</f>
        <v/>
      </c>
      <c r="J305">
        <f>IF(A305="","",SUMIFS(Sales[Quantity],Sales[ProductID],A305))</f>
        <v/>
      </c>
      <c r="K305">
        <f>IF(A305="","",N(G305)+N(I305)-N(J305))</f>
        <v/>
      </c>
      <c r="L305" s="10">
        <f>IF(K305="","",K305*N(F305))</f>
        <v/>
      </c>
      <c r="M305">
        <f>IF(K305="","",IF(K305&lt;=N(H305),"LOW","OK"))</f>
        <v/>
      </c>
    </row>
    <row r="306">
      <c r="E306" s="10" t="n"/>
      <c r="F306" s="10" t="n"/>
      <c r="I306">
        <f>IF(A306="","",SUMIFS(Purchases[Quantity],Purchases[ProductID],A306))</f>
        <v/>
      </c>
      <c r="J306">
        <f>IF(A306="","",SUMIFS(Sales[Quantity],Sales[ProductID],A306))</f>
        <v/>
      </c>
      <c r="K306">
        <f>IF(A306="","",N(G306)+N(I306)-N(J306))</f>
        <v/>
      </c>
      <c r="L306" s="10">
        <f>IF(K306="","",K306*N(F306))</f>
        <v/>
      </c>
      <c r="M306">
        <f>IF(K306="","",IF(K306&lt;=N(H306),"LOW","OK"))</f>
        <v/>
      </c>
    </row>
    <row r="307">
      <c r="E307" s="10" t="n"/>
      <c r="F307" s="10" t="n"/>
      <c r="I307">
        <f>IF(A307="","",SUMIFS(Purchases[Quantity],Purchases[ProductID],A307))</f>
        <v/>
      </c>
      <c r="J307">
        <f>IF(A307="","",SUMIFS(Sales[Quantity],Sales[ProductID],A307))</f>
        <v/>
      </c>
      <c r="K307">
        <f>IF(A307="","",N(G307)+N(I307)-N(J307))</f>
        <v/>
      </c>
      <c r="L307" s="10">
        <f>IF(K307="","",K307*N(F307))</f>
        <v/>
      </c>
      <c r="M307">
        <f>IF(K307="","",IF(K307&lt;=N(H307),"LOW","OK"))</f>
        <v/>
      </c>
    </row>
    <row r="308">
      <c r="E308" s="10" t="n"/>
      <c r="F308" s="10" t="n"/>
      <c r="I308">
        <f>IF(A308="","",SUMIFS(Purchases[Quantity],Purchases[ProductID],A308))</f>
        <v/>
      </c>
      <c r="J308">
        <f>IF(A308="","",SUMIFS(Sales[Quantity],Sales[ProductID],A308))</f>
        <v/>
      </c>
      <c r="K308">
        <f>IF(A308="","",N(G308)+N(I308)-N(J308))</f>
        <v/>
      </c>
      <c r="L308" s="10">
        <f>IF(K308="","",K308*N(F308))</f>
        <v/>
      </c>
      <c r="M308">
        <f>IF(K308="","",IF(K308&lt;=N(H308),"LOW","OK"))</f>
        <v/>
      </c>
    </row>
    <row r="309">
      <c r="E309" s="10" t="n"/>
      <c r="F309" s="10" t="n"/>
      <c r="I309">
        <f>IF(A309="","",SUMIFS(Purchases[Quantity],Purchases[ProductID],A309))</f>
        <v/>
      </c>
      <c r="J309">
        <f>IF(A309="","",SUMIFS(Sales[Quantity],Sales[ProductID],A309))</f>
        <v/>
      </c>
      <c r="K309">
        <f>IF(A309="","",N(G309)+N(I309)-N(J309))</f>
        <v/>
      </c>
      <c r="L309" s="10">
        <f>IF(K309="","",K309*N(F309))</f>
        <v/>
      </c>
      <c r="M309">
        <f>IF(K309="","",IF(K309&lt;=N(H309),"LOW","OK"))</f>
        <v/>
      </c>
    </row>
    <row r="310">
      <c r="E310" s="10" t="n"/>
      <c r="F310" s="10" t="n"/>
      <c r="I310">
        <f>IF(A310="","",SUMIFS(Purchases[Quantity],Purchases[ProductID],A310))</f>
        <v/>
      </c>
      <c r="J310">
        <f>IF(A310="","",SUMIFS(Sales[Quantity],Sales[ProductID],A310))</f>
        <v/>
      </c>
      <c r="K310">
        <f>IF(A310="","",N(G310)+N(I310)-N(J310))</f>
        <v/>
      </c>
      <c r="L310" s="10">
        <f>IF(K310="","",K310*N(F310))</f>
        <v/>
      </c>
      <c r="M310">
        <f>IF(K310="","",IF(K310&lt;=N(H310),"LOW","OK"))</f>
        <v/>
      </c>
    </row>
    <row r="311">
      <c r="E311" s="10" t="n"/>
      <c r="F311" s="10" t="n"/>
      <c r="I311">
        <f>IF(A311="","",SUMIFS(Purchases[Quantity],Purchases[ProductID],A311))</f>
        <v/>
      </c>
      <c r="J311">
        <f>IF(A311="","",SUMIFS(Sales[Quantity],Sales[ProductID],A311))</f>
        <v/>
      </c>
      <c r="K311">
        <f>IF(A311="","",N(G311)+N(I311)-N(J311))</f>
        <v/>
      </c>
      <c r="L311" s="10">
        <f>IF(K311="","",K311*N(F311))</f>
        <v/>
      </c>
      <c r="M311">
        <f>IF(K311="","",IF(K311&lt;=N(H311),"LOW","OK"))</f>
        <v/>
      </c>
    </row>
    <row r="312">
      <c r="E312" s="10" t="n"/>
      <c r="F312" s="10" t="n"/>
      <c r="I312">
        <f>IF(A312="","",SUMIFS(Purchases[Quantity],Purchases[ProductID],A312))</f>
        <v/>
      </c>
      <c r="J312">
        <f>IF(A312="","",SUMIFS(Sales[Quantity],Sales[ProductID],A312))</f>
        <v/>
      </c>
      <c r="K312">
        <f>IF(A312="","",N(G312)+N(I312)-N(J312))</f>
        <v/>
      </c>
      <c r="L312" s="10">
        <f>IF(K312="","",K312*N(F312))</f>
        <v/>
      </c>
      <c r="M312">
        <f>IF(K312="","",IF(K312&lt;=N(H312),"LOW","OK"))</f>
        <v/>
      </c>
    </row>
    <row r="313">
      <c r="E313" s="10" t="n"/>
      <c r="F313" s="10" t="n"/>
      <c r="I313">
        <f>IF(A313="","",SUMIFS(Purchases[Quantity],Purchases[ProductID],A313))</f>
        <v/>
      </c>
      <c r="J313">
        <f>IF(A313="","",SUMIFS(Sales[Quantity],Sales[ProductID],A313))</f>
        <v/>
      </c>
      <c r="K313">
        <f>IF(A313="","",N(G313)+N(I313)-N(J313))</f>
        <v/>
      </c>
      <c r="L313" s="10">
        <f>IF(K313="","",K313*N(F313))</f>
        <v/>
      </c>
      <c r="M313">
        <f>IF(K313="","",IF(K313&lt;=N(H313),"LOW","OK"))</f>
        <v/>
      </c>
    </row>
    <row r="314">
      <c r="E314" s="10" t="n"/>
      <c r="F314" s="10" t="n"/>
      <c r="I314">
        <f>IF(A314="","",SUMIFS(Purchases[Quantity],Purchases[ProductID],A314))</f>
        <v/>
      </c>
      <c r="J314">
        <f>IF(A314="","",SUMIFS(Sales[Quantity],Sales[ProductID],A314))</f>
        <v/>
      </c>
      <c r="K314">
        <f>IF(A314="","",N(G314)+N(I314)-N(J314))</f>
        <v/>
      </c>
      <c r="L314" s="10">
        <f>IF(K314="","",K314*N(F314))</f>
        <v/>
      </c>
      <c r="M314">
        <f>IF(K314="","",IF(K314&lt;=N(H314),"LOW","OK"))</f>
        <v/>
      </c>
    </row>
    <row r="315">
      <c r="E315" s="10" t="n"/>
      <c r="F315" s="10" t="n"/>
      <c r="I315">
        <f>IF(A315="","",SUMIFS(Purchases[Quantity],Purchases[ProductID],A315))</f>
        <v/>
      </c>
      <c r="J315">
        <f>IF(A315="","",SUMIFS(Sales[Quantity],Sales[ProductID],A315))</f>
        <v/>
      </c>
      <c r="K315">
        <f>IF(A315="","",N(G315)+N(I315)-N(J315))</f>
        <v/>
      </c>
      <c r="L315" s="10">
        <f>IF(K315="","",K315*N(F315))</f>
        <v/>
      </c>
      <c r="M315">
        <f>IF(K315="","",IF(K315&lt;=N(H315),"LOW","OK"))</f>
        <v/>
      </c>
    </row>
    <row r="316">
      <c r="E316" s="10" t="n"/>
      <c r="F316" s="10" t="n"/>
      <c r="I316">
        <f>IF(A316="","",SUMIFS(Purchases[Quantity],Purchases[ProductID],A316))</f>
        <v/>
      </c>
      <c r="J316">
        <f>IF(A316="","",SUMIFS(Sales[Quantity],Sales[ProductID],A316))</f>
        <v/>
      </c>
      <c r="K316">
        <f>IF(A316="","",N(G316)+N(I316)-N(J316))</f>
        <v/>
      </c>
      <c r="L316" s="10">
        <f>IF(K316="","",K316*N(F316))</f>
        <v/>
      </c>
      <c r="M316">
        <f>IF(K316="","",IF(K316&lt;=N(H316),"LOW","OK"))</f>
        <v/>
      </c>
    </row>
    <row r="317">
      <c r="E317" s="10" t="n"/>
      <c r="F317" s="10" t="n"/>
      <c r="I317">
        <f>IF(A317="","",SUMIFS(Purchases[Quantity],Purchases[ProductID],A317))</f>
        <v/>
      </c>
      <c r="J317">
        <f>IF(A317="","",SUMIFS(Sales[Quantity],Sales[ProductID],A317))</f>
        <v/>
      </c>
      <c r="K317">
        <f>IF(A317="","",N(G317)+N(I317)-N(J317))</f>
        <v/>
      </c>
      <c r="L317" s="10">
        <f>IF(K317="","",K317*N(F317))</f>
        <v/>
      </c>
      <c r="M317">
        <f>IF(K317="","",IF(K317&lt;=N(H317),"LOW","OK"))</f>
        <v/>
      </c>
    </row>
    <row r="318">
      <c r="E318" s="10" t="n"/>
      <c r="F318" s="10" t="n"/>
      <c r="I318">
        <f>IF(A318="","",SUMIFS(Purchases[Quantity],Purchases[ProductID],A318))</f>
        <v/>
      </c>
      <c r="J318">
        <f>IF(A318="","",SUMIFS(Sales[Quantity],Sales[ProductID],A318))</f>
        <v/>
      </c>
      <c r="K318">
        <f>IF(A318="","",N(G318)+N(I318)-N(J318))</f>
        <v/>
      </c>
      <c r="L318" s="10">
        <f>IF(K318="","",K318*N(F318))</f>
        <v/>
      </c>
      <c r="M318">
        <f>IF(K318="","",IF(K318&lt;=N(H318),"LOW","OK"))</f>
        <v/>
      </c>
    </row>
    <row r="319">
      <c r="E319" s="10" t="n"/>
      <c r="F319" s="10" t="n"/>
      <c r="I319">
        <f>IF(A319="","",SUMIFS(Purchases[Quantity],Purchases[ProductID],A319))</f>
        <v/>
      </c>
      <c r="J319">
        <f>IF(A319="","",SUMIFS(Sales[Quantity],Sales[ProductID],A319))</f>
        <v/>
      </c>
      <c r="K319">
        <f>IF(A319="","",N(G319)+N(I319)-N(J319))</f>
        <v/>
      </c>
      <c r="L319" s="10">
        <f>IF(K319="","",K319*N(F319))</f>
        <v/>
      </c>
      <c r="M319">
        <f>IF(K319="","",IF(K319&lt;=N(H319),"LOW","OK"))</f>
        <v/>
      </c>
    </row>
    <row r="320">
      <c r="E320" s="10" t="n"/>
      <c r="F320" s="10" t="n"/>
      <c r="I320">
        <f>IF(A320="","",SUMIFS(Purchases[Quantity],Purchases[ProductID],A320))</f>
        <v/>
      </c>
      <c r="J320">
        <f>IF(A320="","",SUMIFS(Sales[Quantity],Sales[ProductID],A320))</f>
        <v/>
      </c>
      <c r="K320">
        <f>IF(A320="","",N(G320)+N(I320)-N(J320))</f>
        <v/>
      </c>
      <c r="L320" s="10">
        <f>IF(K320="","",K320*N(F320))</f>
        <v/>
      </c>
      <c r="M320">
        <f>IF(K320="","",IF(K320&lt;=N(H320),"LOW","OK"))</f>
        <v/>
      </c>
    </row>
    <row r="321">
      <c r="E321" s="10" t="n"/>
      <c r="F321" s="10" t="n"/>
      <c r="I321">
        <f>IF(A321="","",SUMIFS(Purchases[Quantity],Purchases[ProductID],A321))</f>
        <v/>
      </c>
      <c r="J321">
        <f>IF(A321="","",SUMIFS(Sales[Quantity],Sales[ProductID],A321))</f>
        <v/>
      </c>
      <c r="K321">
        <f>IF(A321="","",N(G321)+N(I321)-N(J321))</f>
        <v/>
      </c>
      <c r="L321" s="10">
        <f>IF(K321="","",K321*N(F321))</f>
        <v/>
      </c>
      <c r="M321">
        <f>IF(K321="","",IF(K321&lt;=N(H321),"LOW","OK"))</f>
        <v/>
      </c>
    </row>
    <row r="322">
      <c r="E322" s="10" t="n"/>
      <c r="F322" s="10" t="n"/>
      <c r="I322">
        <f>IF(A322="","",SUMIFS(Purchases[Quantity],Purchases[ProductID],A322))</f>
        <v/>
      </c>
      <c r="J322">
        <f>IF(A322="","",SUMIFS(Sales[Quantity],Sales[ProductID],A322))</f>
        <v/>
      </c>
      <c r="K322">
        <f>IF(A322="","",N(G322)+N(I322)-N(J322))</f>
        <v/>
      </c>
      <c r="L322" s="10">
        <f>IF(K322="","",K322*N(F322))</f>
        <v/>
      </c>
      <c r="M322">
        <f>IF(K322="","",IF(K322&lt;=N(H322),"LOW","OK"))</f>
        <v/>
      </c>
    </row>
    <row r="323">
      <c r="E323" s="10" t="n"/>
      <c r="F323" s="10" t="n"/>
      <c r="I323">
        <f>IF(A323="","",SUMIFS(Purchases[Quantity],Purchases[ProductID],A323))</f>
        <v/>
      </c>
      <c r="J323">
        <f>IF(A323="","",SUMIFS(Sales[Quantity],Sales[ProductID],A323))</f>
        <v/>
      </c>
      <c r="K323">
        <f>IF(A323="","",N(G323)+N(I323)-N(J323))</f>
        <v/>
      </c>
      <c r="L323" s="10">
        <f>IF(K323="","",K323*N(F323))</f>
        <v/>
      </c>
      <c r="M323">
        <f>IF(K323="","",IF(K323&lt;=N(H323),"LOW","OK"))</f>
        <v/>
      </c>
    </row>
    <row r="324">
      <c r="E324" s="10" t="n"/>
      <c r="F324" s="10" t="n"/>
      <c r="I324">
        <f>IF(A324="","",SUMIFS(Purchases[Quantity],Purchases[ProductID],A324))</f>
        <v/>
      </c>
      <c r="J324">
        <f>IF(A324="","",SUMIFS(Sales[Quantity],Sales[ProductID],A324))</f>
        <v/>
      </c>
      <c r="K324">
        <f>IF(A324="","",N(G324)+N(I324)-N(J324))</f>
        <v/>
      </c>
      <c r="L324" s="10">
        <f>IF(K324="","",K324*N(F324))</f>
        <v/>
      </c>
      <c r="M324">
        <f>IF(K324="","",IF(K324&lt;=N(H324),"LOW","OK"))</f>
        <v/>
      </c>
    </row>
    <row r="325">
      <c r="E325" s="10" t="n"/>
      <c r="F325" s="10" t="n"/>
      <c r="I325">
        <f>IF(A325="","",SUMIFS(Purchases[Quantity],Purchases[ProductID],A325))</f>
        <v/>
      </c>
      <c r="J325">
        <f>IF(A325="","",SUMIFS(Sales[Quantity],Sales[ProductID],A325))</f>
        <v/>
      </c>
      <c r="K325">
        <f>IF(A325="","",N(G325)+N(I325)-N(J325))</f>
        <v/>
      </c>
      <c r="L325" s="10">
        <f>IF(K325="","",K325*N(F325))</f>
        <v/>
      </c>
      <c r="M325">
        <f>IF(K325="","",IF(K325&lt;=N(H325),"LOW","OK"))</f>
        <v/>
      </c>
    </row>
    <row r="326">
      <c r="E326" s="10" t="n"/>
      <c r="F326" s="10" t="n"/>
      <c r="I326">
        <f>IF(A326="","",SUMIFS(Purchases[Quantity],Purchases[ProductID],A326))</f>
        <v/>
      </c>
      <c r="J326">
        <f>IF(A326="","",SUMIFS(Sales[Quantity],Sales[ProductID],A326))</f>
        <v/>
      </c>
      <c r="K326">
        <f>IF(A326="","",N(G326)+N(I326)-N(J326))</f>
        <v/>
      </c>
      <c r="L326" s="10">
        <f>IF(K326="","",K326*N(F326))</f>
        <v/>
      </c>
      <c r="M326">
        <f>IF(K326="","",IF(K326&lt;=N(H326),"LOW","OK"))</f>
        <v/>
      </c>
    </row>
    <row r="327">
      <c r="E327" s="10" t="n"/>
      <c r="F327" s="10" t="n"/>
      <c r="I327">
        <f>IF(A327="","",SUMIFS(Purchases[Quantity],Purchases[ProductID],A327))</f>
        <v/>
      </c>
      <c r="J327">
        <f>IF(A327="","",SUMIFS(Sales[Quantity],Sales[ProductID],A327))</f>
        <v/>
      </c>
      <c r="K327">
        <f>IF(A327="","",N(G327)+N(I327)-N(J327))</f>
        <v/>
      </c>
      <c r="L327" s="10">
        <f>IF(K327="","",K327*N(F327))</f>
        <v/>
      </c>
      <c r="M327">
        <f>IF(K327="","",IF(K327&lt;=N(H327),"LOW","OK"))</f>
        <v/>
      </c>
    </row>
    <row r="328">
      <c r="E328" s="10" t="n"/>
      <c r="F328" s="10" t="n"/>
      <c r="I328">
        <f>IF(A328="","",SUMIFS(Purchases[Quantity],Purchases[ProductID],A328))</f>
        <v/>
      </c>
      <c r="J328">
        <f>IF(A328="","",SUMIFS(Sales[Quantity],Sales[ProductID],A328))</f>
        <v/>
      </c>
      <c r="K328">
        <f>IF(A328="","",N(G328)+N(I328)-N(J328))</f>
        <v/>
      </c>
      <c r="L328" s="10">
        <f>IF(K328="","",K328*N(F328))</f>
        <v/>
      </c>
      <c r="M328">
        <f>IF(K328="","",IF(K328&lt;=N(H328),"LOW","OK"))</f>
        <v/>
      </c>
    </row>
    <row r="329">
      <c r="E329" s="10" t="n"/>
      <c r="F329" s="10" t="n"/>
      <c r="I329">
        <f>IF(A329="","",SUMIFS(Purchases[Quantity],Purchases[ProductID],A329))</f>
        <v/>
      </c>
      <c r="J329">
        <f>IF(A329="","",SUMIFS(Sales[Quantity],Sales[ProductID],A329))</f>
        <v/>
      </c>
      <c r="K329">
        <f>IF(A329="","",N(G329)+N(I329)-N(J329))</f>
        <v/>
      </c>
      <c r="L329" s="10">
        <f>IF(K329="","",K329*N(F329))</f>
        <v/>
      </c>
      <c r="M329">
        <f>IF(K329="","",IF(K329&lt;=N(H329),"LOW","OK"))</f>
        <v/>
      </c>
    </row>
    <row r="330">
      <c r="E330" s="10" t="n"/>
      <c r="F330" s="10" t="n"/>
      <c r="I330">
        <f>IF(A330="","",SUMIFS(Purchases[Quantity],Purchases[ProductID],A330))</f>
        <v/>
      </c>
      <c r="J330">
        <f>IF(A330="","",SUMIFS(Sales[Quantity],Sales[ProductID],A330))</f>
        <v/>
      </c>
      <c r="K330">
        <f>IF(A330="","",N(G330)+N(I330)-N(J330))</f>
        <v/>
      </c>
      <c r="L330" s="10">
        <f>IF(K330="","",K330*N(F330))</f>
        <v/>
      </c>
      <c r="M330">
        <f>IF(K330="","",IF(K330&lt;=N(H330),"LOW","OK"))</f>
        <v/>
      </c>
    </row>
    <row r="331">
      <c r="E331" s="10" t="n"/>
      <c r="F331" s="10" t="n"/>
      <c r="I331">
        <f>IF(A331="","",SUMIFS(Purchases[Quantity],Purchases[ProductID],A331))</f>
        <v/>
      </c>
      <c r="J331">
        <f>IF(A331="","",SUMIFS(Sales[Quantity],Sales[ProductID],A331))</f>
        <v/>
      </c>
      <c r="K331">
        <f>IF(A331="","",N(G331)+N(I331)-N(J331))</f>
        <v/>
      </c>
      <c r="L331" s="10">
        <f>IF(K331="","",K331*N(F331))</f>
        <v/>
      </c>
      <c r="M331">
        <f>IF(K331="","",IF(K331&lt;=N(H331),"LOW","OK"))</f>
        <v/>
      </c>
    </row>
    <row r="332">
      <c r="E332" s="10" t="n"/>
      <c r="F332" s="10" t="n"/>
      <c r="I332">
        <f>IF(A332="","",SUMIFS(Purchases[Quantity],Purchases[ProductID],A332))</f>
        <v/>
      </c>
      <c r="J332">
        <f>IF(A332="","",SUMIFS(Sales[Quantity],Sales[ProductID],A332))</f>
        <v/>
      </c>
      <c r="K332">
        <f>IF(A332="","",N(G332)+N(I332)-N(J332))</f>
        <v/>
      </c>
      <c r="L332" s="10">
        <f>IF(K332="","",K332*N(F332))</f>
        <v/>
      </c>
      <c r="M332">
        <f>IF(K332="","",IF(K332&lt;=N(H332),"LOW","OK"))</f>
        <v/>
      </c>
    </row>
    <row r="333">
      <c r="E333" s="10" t="n"/>
      <c r="F333" s="10" t="n"/>
      <c r="I333">
        <f>IF(A333="","",SUMIFS(Purchases[Quantity],Purchases[ProductID],A333))</f>
        <v/>
      </c>
      <c r="J333">
        <f>IF(A333="","",SUMIFS(Sales[Quantity],Sales[ProductID],A333))</f>
        <v/>
      </c>
      <c r="K333">
        <f>IF(A333="","",N(G333)+N(I333)-N(J333))</f>
        <v/>
      </c>
      <c r="L333" s="10">
        <f>IF(K333="","",K333*N(F333))</f>
        <v/>
      </c>
      <c r="M333">
        <f>IF(K333="","",IF(K333&lt;=N(H333),"LOW","OK"))</f>
        <v/>
      </c>
    </row>
    <row r="334">
      <c r="E334" s="10" t="n"/>
      <c r="F334" s="10" t="n"/>
      <c r="I334">
        <f>IF(A334="","",SUMIFS(Purchases[Quantity],Purchases[ProductID],A334))</f>
        <v/>
      </c>
      <c r="J334">
        <f>IF(A334="","",SUMIFS(Sales[Quantity],Sales[ProductID],A334))</f>
        <v/>
      </c>
      <c r="K334">
        <f>IF(A334="","",N(G334)+N(I334)-N(J334))</f>
        <v/>
      </c>
      <c r="L334" s="10">
        <f>IF(K334="","",K334*N(F334))</f>
        <v/>
      </c>
      <c r="M334">
        <f>IF(K334="","",IF(K334&lt;=N(H334),"LOW","OK"))</f>
        <v/>
      </c>
    </row>
    <row r="335">
      <c r="E335" s="10" t="n"/>
      <c r="F335" s="10" t="n"/>
      <c r="I335">
        <f>IF(A335="","",SUMIFS(Purchases[Quantity],Purchases[ProductID],A335))</f>
        <v/>
      </c>
      <c r="J335">
        <f>IF(A335="","",SUMIFS(Sales[Quantity],Sales[ProductID],A335))</f>
        <v/>
      </c>
      <c r="K335">
        <f>IF(A335="","",N(G335)+N(I335)-N(J335))</f>
        <v/>
      </c>
      <c r="L335" s="10">
        <f>IF(K335="","",K335*N(F335))</f>
        <v/>
      </c>
      <c r="M335">
        <f>IF(K335="","",IF(K335&lt;=N(H335),"LOW","OK"))</f>
        <v/>
      </c>
    </row>
    <row r="336">
      <c r="E336" s="10" t="n"/>
      <c r="F336" s="10" t="n"/>
      <c r="I336">
        <f>IF(A336="","",SUMIFS(Purchases[Quantity],Purchases[ProductID],A336))</f>
        <v/>
      </c>
      <c r="J336">
        <f>IF(A336="","",SUMIFS(Sales[Quantity],Sales[ProductID],A336))</f>
        <v/>
      </c>
      <c r="K336">
        <f>IF(A336="","",N(G336)+N(I336)-N(J336))</f>
        <v/>
      </c>
      <c r="L336" s="10">
        <f>IF(K336="","",K336*N(F336))</f>
        <v/>
      </c>
      <c r="M336">
        <f>IF(K336="","",IF(K336&lt;=N(H336),"LOW","OK"))</f>
        <v/>
      </c>
    </row>
    <row r="337">
      <c r="E337" s="10" t="n"/>
      <c r="F337" s="10" t="n"/>
      <c r="I337">
        <f>IF(A337="","",SUMIFS(Purchases[Quantity],Purchases[ProductID],A337))</f>
        <v/>
      </c>
      <c r="J337">
        <f>IF(A337="","",SUMIFS(Sales[Quantity],Sales[ProductID],A337))</f>
        <v/>
      </c>
      <c r="K337">
        <f>IF(A337="","",N(G337)+N(I337)-N(J337))</f>
        <v/>
      </c>
      <c r="L337" s="10">
        <f>IF(K337="","",K337*N(F337))</f>
        <v/>
      </c>
      <c r="M337">
        <f>IF(K337="","",IF(K337&lt;=N(H337),"LOW","OK"))</f>
        <v/>
      </c>
    </row>
    <row r="338">
      <c r="E338" s="10" t="n"/>
      <c r="F338" s="10" t="n"/>
      <c r="I338">
        <f>IF(A338="","",SUMIFS(Purchases[Quantity],Purchases[ProductID],A338))</f>
        <v/>
      </c>
      <c r="J338">
        <f>IF(A338="","",SUMIFS(Sales[Quantity],Sales[ProductID],A338))</f>
        <v/>
      </c>
      <c r="K338">
        <f>IF(A338="","",N(G338)+N(I338)-N(J338))</f>
        <v/>
      </c>
      <c r="L338" s="10">
        <f>IF(K338="","",K338*N(F338))</f>
        <v/>
      </c>
      <c r="M338">
        <f>IF(K338="","",IF(K338&lt;=N(H338),"LOW","OK"))</f>
        <v/>
      </c>
    </row>
    <row r="339">
      <c r="E339" s="10" t="n"/>
      <c r="F339" s="10" t="n"/>
      <c r="I339">
        <f>IF(A339="","",SUMIFS(Purchases[Quantity],Purchases[ProductID],A339))</f>
        <v/>
      </c>
      <c r="J339">
        <f>IF(A339="","",SUMIFS(Sales[Quantity],Sales[ProductID],A339))</f>
        <v/>
      </c>
      <c r="K339">
        <f>IF(A339="","",N(G339)+N(I339)-N(J339))</f>
        <v/>
      </c>
      <c r="L339" s="10">
        <f>IF(K339="","",K339*N(F339))</f>
        <v/>
      </c>
      <c r="M339">
        <f>IF(K339="","",IF(K339&lt;=N(H339),"LOW","OK"))</f>
        <v/>
      </c>
    </row>
    <row r="340">
      <c r="E340" s="10" t="n"/>
      <c r="F340" s="10" t="n"/>
      <c r="I340">
        <f>IF(A340="","",SUMIFS(Purchases[Quantity],Purchases[ProductID],A340))</f>
        <v/>
      </c>
      <c r="J340">
        <f>IF(A340="","",SUMIFS(Sales[Quantity],Sales[ProductID],A340))</f>
        <v/>
      </c>
      <c r="K340">
        <f>IF(A340="","",N(G340)+N(I340)-N(J340))</f>
        <v/>
      </c>
      <c r="L340" s="10">
        <f>IF(K340="","",K340*N(F340))</f>
        <v/>
      </c>
      <c r="M340">
        <f>IF(K340="","",IF(K340&lt;=N(H340),"LOW","OK"))</f>
        <v/>
      </c>
    </row>
    <row r="341">
      <c r="E341" s="10" t="n"/>
      <c r="F341" s="10" t="n"/>
      <c r="I341">
        <f>IF(A341="","",SUMIFS(Purchases[Quantity],Purchases[ProductID],A341))</f>
        <v/>
      </c>
      <c r="J341">
        <f>IF(A341="","",SUMIFS(Sales[Quantity],Sales[ProductID],A341))</f>
        <v/>
      </c>
      <c r="K341">
        <f>IF(A341="","",N(G341)+N(I341)-N(J341))</f>
        <v/>
      </c>
      <c r="L341" s="10">
        <f>IF(K341="","",K341*N(F341))</f>
        <v/>
      </c>
      <c r="M341">
        <f>IF(K341="","",IF(K341&lt;=N(H341),"LOW","OK"))</f>
        <v/>
      </c>
    </row>
    <row r="342">
      <c r="E342" s="10" t="n"/>
      <c r="F342" s="10" t="n"/>
      <c r="I342">
        <f>IF(A342="","",SUMIFS(Purchases[Quantity],Purchases[ProductID],A342))</f>
        <v/>
      </c>
      <c r="J342">
        <f>IF(A342="","",SUMIFS(Sales[Quantity],Sales[ProductID],A342))</f>
        <v/>
      </c>
      <c r="K342">
        <f>IF(A342="","",N(G342)+N(I342)-N(J342))</f>
        <v/>
      </c>
      <c r="L342" s="10">
        <f>IF(K342="","",K342*N(F342))</f>
        <v/>
      </c>
      <c r="M342">
        <f>IF(K342="","",IF(K342&lt;=N(H342),"LOW","OK"))</f>
        <v/>
      </c>
    </row>
    <row r="343">
      <c r="E343" s="10" t="n"/>
      <c r="F343" s="10" t="n"/>
      <c r="I343">
        <f>IF(A343="","",SUMIFS(Purchases[Quantity],Purchases[ProductID],A343))</f>
        <v/>
      </c>
      <c r="J343">
        <f>IF(A343="","",SUMIFS(Sales[Quantity],Sales[ProductID],A343))</f>
        <v/>
      </c>
      <c r="K343">
        <f>IF(A343="","",N(G343)+N(I343)-N(J343))</f>
        <v/>
      </c>
      <c r="L343" s="10">
        <f>IF(K343="","",K343*N(F343))</f>
        <v/>
      </c>
      <c r="M343">
        <f>IF(K343="","",IF(K343&lt;=N(H343),"LOW","OK"))</f>
        <v/>
      </c>
    </row>
    <row r="344">
      <c r="E344" s="10" t="n"/>
      <c r="F344" s="10" t="n"/>
      <c r="I344">
        <f>IF(A344="","",SUMIFS(Purchases[Quantity],Purchases[ProductID],A344))</f>
        <v/>
      </c>
      <c r="J344">
        <f>IF(A344="","",SUMIFS(Sales[Quantity],Sales[ProductID],A344))</f>
        <v/>
      </c>
      <c r="K344">
        <f>IF(A344="","",N(G344)+N(I344)-N(J344))</f>
        <v/>
      </c>
      <c r="L344" s="10">
        <f>IF(K344="","",K344*N(F344))</f>
        <v/>
      </c>
      <c r="M344">
        <f>IF(K344="","",IF(K344&lt;=N(H344),"LOW","OK"))</f>
        <v/>
      </c>
    </row>
    <row r="345">
      <c r="E345" s="10" t="n"/>
      <c r="F345" s="10" t="n"/>
      <c r="I345">
        <f>IF(A345="","",SUMIFS(Purchases[Quantity],Purchases[ProductID],A345))</f>
        <v/>
      </c>
      <c r="J345">
        <f>IF(A345="","",SUMIFS(Sales[Quantity],Sales[ProductID],A345))</f>
        <v/>
      </c>
      <c r="K345">
        <f>IF(A345="","",N(G345)+N(I345)-N(J345))</f>
        <v/>
      </c>
      <c r="L345" s="10">
        <f>IF(K345="","",K345*N(F345))</f>
        <v/>
      </c>
      <c r="M345">
        <f>IF(K345="","",IF(K345&lt;=N(H345),"LOW","OK"))</f>
        <v/>
      </c>
    </row>
    <row r="346">
      <c r="E346" s="10" t="n"/>
      <c r="F346" s="10" t="n"/>
      <c r="I346">
        <f>IF(A346="","",SUMIFS(Purchases[Quantity],Purchases[ProductID],A346))</f>
        <v/>
      </c>
      <c r="J346">
        <f>IF(A346="","",SUMIFS(Sales[Quantity],Sales[ProductID],A346))</f>
        <v/>
      </c>
      <c r="K346">
        <f>IF(A346="","",N(G346)+N(I346)-N(J346))</f>
        <v/>
      </c>
      <c r="L346" s="10">
        <f>IF(K346="","",K346*N(F346))</f>
        <v/>
      </c>
      <c r="M346">
        <f>IF(K346="","",IF(K346&lt;=N(H346),"LOW","OK"))</f>
        <v/>
      </c>
    </row>
    <row r="347">
      <c r="E347" s="10" t="n"/>
      <c r="F347" s="10" t="n"/>
      <c r="I347">
        <f>IF(A347="","",SUMIFS(Purchases[Quantity],Purchases[ProductID],A347))</f>
        <v/>
      </c>
      <c r="J347">
        <f>IF(A347="","",SUMIFS(Sales[Quantity],Sales[ProductID],A347))</f>
        <v/>
      </c>
      <c r="K347">
        <f>IF(A347="","",N(G347)+N(I347)-N(J347))</f>
        <v/>
      </c>
      <c r="L347" s="10">
        <f>IF(K347="","",K347*N(F347))</f>
        <v/>
      </c>
      <c r="M347">
        <f>IF(K347="","",IF(K347&lt;=N(H347),"LOW","OK"))</f>
        <v/>
      </c>
    </row>
    <row r="348">
      <c r="E348" s="10" t="n"/>
      <c r="F348" s="10" t="n"/>
      <c r="I348">
        <f>IF(A348="","",SUMIFS(Purchases[Quantity],Purchases[ProductID],A348))</f>
        <v/>
      </c>
      <c r="J348">
        <f>IF(A348="","",SUMIFS(Sales[Quantity],Sales[ProductID],A348))</f>
        <v/>
      </c>
      <c r="K348">
        <f>IF(A348="","",N(G348)+N(I348)-N(J348))</f>
        <v/>
      </c>
      <c r="L348" s="10">
        <f>IF(K348="","",K348*N(F348))</f>
        <v/>
      </c>
      <c r="M348">
        <f>IF(K348="","",IF(K348&lt;=N(H348),"LOW","OK"))</f>
        <v/>
      </c>
    </row>
    <row r="349">
      <c r="E349" s="10" t="n"/>
      <c r="F349" s="10" t="n"/>
      <c r="I349">
        <f>IF(A349="","",SUMIFS(Purchases[Quantity],Purchases[ProductID],A349))</f>
        <v/>
      </c>
      <c r="J349">
        <f>IF(A349="","",SUMIFS(Sales[Quantity],Sales[ProductID],A349))</f>
        <v/>
      </c>
      <c r="K349">
        <f>IF(A349="","",N(G349)+N(I349)-N(J349))</f>
        <v/>
      </c>
      <c r="L349" s="10">
        <f>IF(K349="","",K349*N(F349))</f>
        <v/>
      </c>
      <c r="M349">
        <f>IF(K349="","",IF(K349&lt;=N(H349),"LOW","OK"))</f>
        <v/>
      </c>
    </row>
    <row r="350">
      <c r="E350" s="10" t="n"/>
      <c r="F350" s="10" t="n"/>
      <c r="I350">
        <f>IF(A350="","",SUMIFS(Purchases[Quantity],Purchases[ProductID],A350))</f>
        <v/>
      </c>
      <c r="J350">
        <f>IF(A350="","",SUMIFS(Sales[Quantity],Sales[ProductID],A350))</f>
        <v/>
      </c>
      <c r="K350">
        <f>IF(A350="","",N(G350)+N(I350)-N(J350))</f>
        <v/>
      </c>
      <c r="L350" s="10">
        <f>IF(K350="","",K350*N(F350))</f>
        <v/>
      </c>
      <c r="M350">
        <f>IF(K350="","",IF(K350&lt;=N(H350),"LOW","OK"))</f>
        <v/>
      </c>
    </row>
    <row r="351">
      <c r="E351" s="10" t="n"/>
      <c r="F351" s="10" t="n"/>
      <c r="I351">
        <f>IF(A351="","",SUMIFS(Purchases[Quantity],Purchases[ProductID],A351))</f>
        <v/>
      </c>
      <c r="J351">
        <f>IF(A351="","",SUMIFS(Sales[Quantity],Sales[ProductID],A351))</f>
        <v/>
      </c>
      <c r="K351">
        <f>IF(A351="","",N(G351)+N(I351)-N(J351))</f>
        <v/>
      </c>
      <c r="L351" s="10">
        <f>IF(K351="","",K351*N(F351))</f>
        <v/>
      </c>
      <c r="M351">
        <f>IF(K351="","",IF(K351&lt;=N(H351),"LOW","OK"))</f>
        <v/>
      </c>
    </row>
    <row r="352">
      <c r="E352" s="10" t="n"/>
      <c r="F352" s="10" t="n"/>
      <c r="I352">
        <f>IF(A352="","",SUMIFS(Purchases[Quantity],Purchases[ProductID],A352))</f>
        <v/>
      </c>
      <c r="J352">
        <f>IF(A352="","",SUMIFS(Sales[Quantity],Sales[ProductID],A352))</f>
        <v/>
      </c>
      <c r="K352">
        <f>IF(A352="","",N(G352)+N(I352)-N(J352))</f>
        <v/>
      </c>
      <c r="L352" s="10">
        <f>IF(K352="","",K352*N(F352))</f>
        <v/>
      </c>
      <c r="M352">
        <f>IF(K352="","",IF(K352&lt;=N(H352),"LOW","OK"))</f>
        <v/>
      </c>
    </row>
    <row r="353">
      <c r="E353" s="10" t="n"/>
      <c r="F353" s="10" t="n"/>
      <c r="I353">
        <f>IF(A353="","",SUMIFS(Purchases[Quantity],Purchases[ProductID],A353))</f>
        <v/>
      </c>
      <c r="J353">
        <f>IF(A353="","",SUMIFS(Sales[Quantity],Sales[ProductID],A353))</f>
        <v/>
      </c>
      <c r="K353">
        <f>IF(A353="","",N(G353)+N(I353)-N(J353))</f>
        <v/>
      </c>
      <c r="L353" s="10">
        <f>IF(K353="","",K353*N(F353))</f>
        <v/>
      </c>
      <c r="M353">
        <f>IF(K353="","",IF(K353&lt;=N(H353),"LOW","OK"))</f>
        <v/>
      </c>
    </row>
    <row r="354">
      <c r="E354" s="10" t="n"/>
      <c r="F354" s="10" t="n"/>
      <c r="I354">
        <f>IF(A354="","",SUMIFS(Purchases[Quantity],Purchases[ProductID],A354))</f>
        <v/>
      </c>
      <c r="J354">
        <f>IF(A354="","",SUMIFS(Sales[Quantity],Sales[ProductID],A354))</f>
        <v/>
      </c>
      <c r="K354">
        <f>IF(A354="","",N(G354)+N(I354)-N(J354))</f>
        <v/>
      </c>
      <c r="L354" s="10">
        <f>IF(K354="","",K354*N(F354))</f>
        <v/>
      </c>
      <c r="M354">
        <f>IF(K354="","",IF(K354&lt;=N(H354),"LOW","OK"))</f>
        <v/>
      </c>
    </row>
    <row r="355">
      <c r="E355" s="10" t="n"/>
      <c r="F355" s="10" t="n"/>
      <c r="I355">
        <f>IF(A355="","",SUMIFS(Purchases[Quantity],Purchases[ProductID],A355))</f>
        <v/>
      </c>
      <c r="J355">
        <f>IF(A355="","",SUMIFS(Sales[Quantity],Sales[ProductID],A355))</f>
        <v/>
      </c>
      <c r="K355">
        <f>IF(A355="","",N(G355)+N(I355)-N(J355))</f>
        <v/>
      </c>
      <c r="L355" s="10">
        <f>IF(K355="","",K355*N(F355))</f>
        <v/>
      </c>
      <c r="M355">
        <f>IF(K355="","",IF(K355&lt;=N(H355),"LOW","OK"))</f>
        <v/>
      </c>
    </row>
    <row r="356">
      <c r="E356" s="10" t="n"/>
      <c r="F356" s="10" t="n"/>
      <c r="I356">
        <f>IF(A356="","",SUMIFS(Purchases[Quantity],Purchases[ProductID],A356))</f>
        <v/>
      </c>
      <c r="J356">
        <f>IF(A356="","",SUMIFS(Sales[Quantity],Sales[ProductID],A356))</f>
        <v/>
      </c>
      <c r="K356">
        <f>IF(A356="","",N(G356)+N(I356)-N(J356))</f>
        <v/>
      </c>
      <c r="L356" s="10">
        <f>IF(K356="","",K356*N(F356))</f>
        <v/>
      </c>
      <c r="M356">
        <f>IF(K356="","",IF(K356&lt;=N(H356),"LOW","OK"))</f>
        <v/>
      </c>
    </row>
    <row r="357">
      <c r="E357" s="10" t="n"/>
      <c r="F357" s="10" t="n"/>
      <c r="I357">
        <f>IF(A357="","",SUMIFS(Purchases[Quantity],Purchases[ProductID],A357))</f>
        <v/>
      </c>
      <c r="J357">
        <f>IF(A357="","",SUMIFS(Sales[Quantity],Sales[ProductID],A357))</f>
        <v/>
      </c>
      <c r="K357">
        <f>IF(A357="","",N(G357)+N(I357)-N(J357))</f>
        <v/>
      </c>
      <c r="L357" s="10">
        <f>IF(K357="","",K357*N(F357))</f>
        <v/>
      </c>
      <c r="M357">
        <f>IF(K357="","",IF(K357&lt;=N(H357),"LOW","OK"))</f>
        <v/>
      </c>
    </row>
    <row r="358">
      <c r="E358" s="10" t="n"/>
      <c r="F358" s="10" t="n"/>
      <c r="I358">
        <f>IF(A358="","",SUMIFS(Purchases[Quantity],Purchases[ProductID],A358))</f>
        <v/>
      </c>
      <c r="J358">
        <f>IF(A358="","",SUMIFS(Sales[Quantity],Sales[ProductID],A358))</f>
        <v/>
      </c>
      <c r="K358">
        <f>IF(A358="","",N(G358)+N(I358)-N(J358))</f>
        <v/>
      </c>
      <c r="L358" s="10">
        <f>IF(K358="","",K358*N(F358))</f>
        <v/>
      </c>
      <c r="M358">
        <f>IF(K358="","",IF(K358&lt;=N(H358),"LOW","OK"))</f>
        <v/>
      </c>
    </row>
    <row r="359">
      <c r="E359" s="10" t="n"/>
      <c r="F359" s="10" t="n"/>
      <c r="I359">
        <f>IF(A359="","",SUMIFS(Purchases[Quantity],Purchases[ProductID],A359))</f>
        <v/>
      </c>
      <c r="J359">
        <f>IF(A359="","",SUMIFS(Sales[Quantity],Sales[ProductID],A359))</f>
        <v/>
      </c>
      <c r="K359">
        <f>IF(A359="","",N(G359)+N(I359)-N(J359))</f>
        <v/>
      </c>
      <c r="L359" s="10">
        <f>IF(K359="","",K359*N(F359))</f>
        <v/>
      </c>
      <c r="M359">
        <f>IF(K359="","",IF(K359&lt;=N(H359),"LOW","OK"))</f>
        <v/>
      </c>
    </row>
    <row r="360">
      <c r="E360" s="10" t="n"/>
      <c r="F360" s="10" t="n"/>
      <c r="I360">
        <f>IF(A360="","",SUMIFS(Purchases[Quantity],Purchases[ProductID],A360))</f>
        <v/>
      </c>
      <c r="J360">
        <f>IF(A360="","",SUMIFS(Sales[Quantity],Sales[ProductID],A360))</f>
        <v/>
      </c>
      <c r="K360">
        <f>IF(A360="","",N(G360)+N(I360)-N(J360))</f>
        <v/>
      </c>
      <c r="L360" s="10">
        <f>IF(K360="","",K360*N(F360))</f>
        <v/>
      </c>
      <c r="M360">
        <f>IF(K360="","",IF(K360&lt;=N(H360),"LOW","OK"))</f>
        <v/>
      </c>
    </row>
    <row r="361">
      <c r="E361" s="10" t="n"/>
      <c r="F361" s="10" t="n"/>
      <c r="I361">
        <f>IF(A361="","",SUMIFS(Purchases[Quantity],Purchases[ProductID],A361))</f>
        <v/>
      </c>
      <c r="J361">
        <f>IF(A361="","",SUMIFS(Sales[Quantity],Sales[ProductID],A361))</f>
        <v/>
      </c>
      <c r="K361">
        <f>IF(A361="","",N(G361)+N(I361)-N(J361))</f>
        <v/>
      </c>
      <c r="L361" s="10">
        <f>IF(K361="","",K361*N(F361))</f>
        <v/>
      </c>
      <c r="M361">
        <f>IF(K361="","",IF(K361&lt;=N(H361),"LOW","OK"))</f>
        <v/>
      </c>
    </row>
    <row r="362">
      <c r="E362" s="10" t="n"/>
      <c r="F362" s="10" t="n"/>
      <c r="I362">
        <f>IF(A362="","",SUMIFS(Purchases[Quantity],Purchases[ProductID],A362))</f>
        <v/>
      </c>
      <c r="J362">
        <f>IF(A362="","",SUMIFS(Sales[Quantity],Sales[ProductID],A362))</f>
        <v/>
      </c>
      <c r="K362">
        <f>IF(A362="","",N(G362)+N(I362)-N(J362))</f>
        <v/>
      </c>
      <c r="L362" s="10">
        <f>IF(K362="","",K362*N(F362))</f>
        <v/>
      </c>
      <c r="M362">
        <f>IF(K362="","",IF(K362&lt;=N(H362),"LOW","OK"))</f>
        <v/>
      </c>
    </row>
    <row r="363">
      <c r="E363" s="10" t="n"/>
      <c r="F363" s="10" t="n"/>
      <c r="I363">
        <f>IF(A363="","",SUMIFS(Purchases[Quantity],Purchases[ProductID],A363))</f>
        <v/>
      </c>
      <c r="J363">
        <f>IF(A363="","",SUMIFS(Sales[Quantity],Sales[ProductID],A363))</f>
        <v/>
      </c>
      <c r="K363">
        <f>IF(A363="","",N(G363)+N(I363)-N(J363))</f>
        <v/>
      </c>
      <c r="L363" s="10">
        <f>IF(K363="","",K363*N(F363))</f>
        <v/>
      </c>
      <c r="M363">
        <f>IF(K363="","",IF(K363&lt;=N(H363),"LOW","OK"))</f>
        <v/>
      </c>
    </row>
    <row r="364">
      <c r="E364" s="10" t="n"/>
      <c r="F364" s="10" t="n"/>
      <c r="I364">
        <f>IF(A364="","",SUMIFS(Purchases[Quantity],Purchases[ProductID],A364))</f>
        <v/>
      </c>
      <c r="J364">
        <f>IF(A364="","",SUMIFS(Sales[Quantity],Sales[ProductID],A364))</f>
        <v/>
      </c>
      <c r="K364">
        <f>IF(A364="","",N(G364)+N(I364)-N(J364))</f>
        <v/>
      </c>
      <c r="L364" s="10">
        <f>IF(K364="","",K364*N(F364))</f>
        <v/>
      </c>
      <c r="M364">
        <f>IF(K364="","",IF(K364&lt;=N(H364),"LOW","OK"))</f>
        <v/>
      </c>
    </row>
    <row r="365">
      <c r="E365" s="10" t="n"/>
      <c r="F365" s="10" t="n"/>
      <c r="I365">
        <f>IF(A365="","",SUMIFS(Purchases[Quantity],Purchases[ProductID],A365))</f>
        <v/>
      </c>
      <c r="J365">
        <f>IF(A365="","",SUMIFS(Sales[Quantity],Sales[ProductID],A365))</f>
        <v/>
      </c>
      <c r="K365">
        <f>IF(A365="","",N(G365)+N(I365)-N(J365))</f>
        <v/>
      </c>
      <c r="L365" s="10">
        <f>IF(K365="","",K365*N(F365))</f>
        <v/>
      </c>
      <c r="M365">
        <f>IF(K365="","",IF(K365&lt;=N(H365),"LOW","OK"))</f>
        <v/>
      </c>
    </row>
    <row r="366">
      <c r="E366" s="10" t="n"/>
      <c r="F366" s="10" t="n"/>
      <c r="I366">
        <f>IF(A366="","",SUMIFS(Purchases[Quantity],Purchases[ProductID],A366))</f>
        <v/>
      </c>
      <c r="J366">
        <f>IF(A366="","",SUMIFS(Sales[Quantity],Sales[ProductID],A366))</f>
        <v/>
      </c>
      <c r="K366">
        <f>IF(A366="","",N(G366)+N(I366)-N(J366))</f>
        <v/>
      </c>
      <c r="L366" s="10">
        <f>IF(K366="","",K366*N(F366))</f>
        <v/>
      </c>
      <c r="M366">
        <f>IF(K366="","",IF(K366&lt;=N(H366),"LOW","OK"))</f>
        <v/>
      </c>
    </row>
    <row r="367">
      <c r="E367" s="10" t="n"/>
      <c r="F367" s="10" t="n"/>
      <c r="I367">
        <f>IF(A367="","",SUMIFS(Purchases[Quantity],Purchases[ProductID],A367))</f>
        <v/>
      </c>
      <c r="J367">
        <f>IF(A367="","",SUMIFS(Sales[Quantity],Sales[ProductID],A367))</f>
        <v/>
      </c>
      <c r="K367">
        <f>IF(A367="","",N(G367)+N(I367)-N(J367))</f>
        <v/>
      </c>
      <c r="L367" s="10">
        <f>IF(K367="","",K367*N(F367))</f>
        <v/>
      </c>
      <c r="M367">
        <f>IF(K367="","",IF(K367&lt;=N(H367),"LOW","OK"))</f>
        <v/>
      </c>
    </row>
    <row r="368">
      <c r="E368" s="10" t="n"/>
      <c r="F368" s="10" t="n"/>
      <c r="I368">
        <f>IF(A368="","",SUMIFS(Purchases[Quantity],Purchases[ProductID],A368))</f>
        <v/>
      </c>
      <c r="J368">
        <f>IF(A368="","",SUMIFS(Sales[Quantity],Sales[ProductID],A368))</f>
        <v/>
      </c>
      <c r="K368">
        <f>IF(A368="","",N(G368)+N(I368)-N(J368))</f>
        <v/>
      </c>
      <c r="L368" s="10">
        <f>IF(K368="","",K368*N(F368))</f>
        <v/>
      </c>
      <c r="M368">
        <f>IF(K368="","",IF(K368&lt;=N(H368),"LOW","OK"))</f>
        <v/>
      </c>
    </row>
    <row r="369">
      <c r="E369" s="10" t="n"/>
      <c r="F369" s="10" t="n"/>
      <c r="I369">
        <f>IF(A369="","",SUMIFS(Purchases[Quantity],Purchases[ProductID],A369))</f>
        <v/>
      </c>
      <c r="J369">
        <f>IF(A369="","",SUMIFS(Sales[Quantity],Sales[ProductID],A369))</f>
        <v/>
      </c>
      <c r="K369">
        <f>IF(A369="","",N(G369)+N(I369)-N(J369))</f>
        <v/>
      </c>
      <c r="L369" s="10">
        <f>IF(K369="","",K369*N(F369))</f>
        <v/>
      </c>
      <c r="M369">
        <f>IF(K369="","",IF(K369&lt;=N(H369),"LOW","OK"))</f>
        <v/>
      </c>
    </row>
    <row r="370">
      <c r="E370" s="10" t="n"/>
      <c r="F370" s="10" t="n"/>
      <c r="I370">
        <f>IF(A370="","",SUMIFS(Purchases[Quantity],Purchases[ProductID],A370))</f>
        <v/>
      </c>
      <c r="J370">
        <f>IF(A370="","",SUMIFS(Sales[Quantity],Sales[ProductID],A370))</f>
        <v/>
      </c>
      <c r="K370">
        <f>IF(A370="","",N(G370)+N(I370)-N(J370))</f>
        <v/>
      </c>
      <c r="L370" s="10">
        <f>IF(K370="","",K370*N(F370))</f>
        <v/>
      </c>
      <c r="M370">
        <f>IF(K370="","",IF(K370&lt;=N(H370),"LOW","OK"))</f>
        <v/>
      </c>
    </row>
    <row r="371">
      <c r="E371" s="10" t="n"/>
      <c r="F371" s="10" t="n"/>
      <c r="I371">
        <f>IF(A371="","",SUMIFS(Purchases[Quantity],Purchases[ProductID],A371))</f>
        <v/>
      </c>
      <c r="J371">
        <f>IF(A371="","",SUMIFS(Sales[Quantity],Sales[ProductID],A371))</f>
        <v/>
      </c>
      <c r="K371">
        <f>IF(A371="","",N(G371)+N(I371)-N(J371))</f>
        <v/>
      </c>
      <c r="L371" s="10">
        <f>IF(K371="","",K371*N(F371))</f>
        <v/>
      </c>
      <c r="M371">
        <f>IF(K371="","",IF(K371&lt;=N(H371),"LOW","OK"))</f>
        <v/>
      </c>
    </row>
    <row r="372">
      <c r="E372" s="10" t="n"/>
      <c r="F372" s="10" t="n"/>
      <c r="I372">
        <f>IF(A372="","",SUMIFS(Purchases[Quantity],Purchases[ProductID],A372))</f>
        <v/>
      </c>
      <c r="J372">
        <f>IF(A372="","",SUMIFS(Sales[Quantity],Sales[ProductID],A372))</f>
        <v/>
      </c>
      <c r="K372">
        <f>IF(A372="","",N(G372)+N(I372)-N(J372))</f>
        <v/>
      </c>
      <c r="L372" s="10">
        <f>IF(K372="","",K372*N(F372))</f>
        <v/>
      </c>
      <c r="M372">
        <f>IF(K372="","",IF(K372&lt;=N(H372),"LOW","OK"))</f>
        <v/>
      </c>
    </row>
    <row r="373">
      <c r="E373" s="10" t="n"/>
      <c r="F373" s="10" t="n"/>
      <c r="I373">
        <f>IF(A373="","",SUMIFS(Purchases[Quantity],Purchases[ProductID],A373))</f>
        <v/>
      </c>
      <c r="J373">
        <f>IF(A373="","",SUMIFS(Sales[Quantity],Sales[ProductID],A373))</f>
        <v/>
      </c>
      <c r="K373">
        <f>IF(A373="","",N(G373)+N(I373)-N(J373))</f>
        <v/>
      </c>
      <c r="L373" s="10">
        <f>IF(K373="","",K373*N(F373))</f>
        <v/>
      </c>
      <c r="M373">
        <f>IF(K373="","",IF(K373&lt;=N(H373),"LOW","OK"))</f>
        <v/>
      </c>
    </row>
    <row r="374">
      <c r="E374" s="10" t="n"/>
      <c r="F374" s="10" t="n"/>
      <c r="I374">
        <f>IF(A374="","",SUMIFS(Purchases[Quantity],Purchases[ProductID],A374))</f>
        <v/>
      </c>
      <c r="J374">
        <f>IF(A374="","",SUMIFS(Sales[Quantity],Sales[ProductID],A374))</f>
        <v/>
      </c>
      <c r="K374">
        <f>IF(A374="","",N(G374)+N(I374)-N(J374))</f>
        <v/>
      </c>
      <c r="L374" s="10">
        <f>IF(K374="","",K374*N(F374))</f>
        <v/>
      </c>
      <c r="M374">
        <f>IF(K374="","",IF(K374&lt;=N(H374),"LOW","OK"))</f>
        <v/>
      </c>
    </row>
    <row r="375">
      <c r="E375" s="10" t="n"/>
      <c r="F375" s="10" t="n"/>
      <c r="I375">
        <f>IF(A375="","",SUMIFS(Purchases[Quantity],Purchases[ProductID],A375))</f>
        <v/>
      </c>
      <c r="J375">
        <f>IF(A375="","",SUMIFS(Sales[Quantity],Sales[ProductID],A375))</f>
        <v/>
      </c>
      <c r="K375">
        <f>IF(A375="","",N(G375)+N(I375)-N(J375))</f>
        <v/>
      </c>
      <c r="L375" s="10">
        <f>IF(K375="","",K375*N(F375))</f>
        <v/>
      </c>
      <c r="M375">
        <f>IF(K375="","",IF(K375&lt;=N(H375),"LOW","OK"))</f>
        <v/>
      </c>
    </row>
    <row r="376">
      <c r="E376" s="10" t="n"/>
      <c r="F376" s="10" t="n"/>
      <c r="I376">
        <f>IF(A376="","",SUMIFS(Purchases[Quantity],Purchases[ProductID],A376))</f>
        <v/>
      </c>
      <c r="J376">
        <f>IF(A376="","",SUMIFS(Sales[Quantity],Sales[ProductID],A376))</f>
        <v/>
      </c>
      <c r="K376">
        <f>IF(A376="","",N(G376)+N(I376)-N(J376))</f>
        <v/>
      </c>
      <c r="L376" s="10">
        <f>IF(K376="","",K376*N(F376))</f>
        <v/>
      </c>
      <c r="M376">
        <f>IF(K376="","",IF(K376&lt;=N(H376),"LOW","OK"))</f>
        <v/>
      </c>
    </row>
    <row r="377">
      <c r="E377" s="10" t="n"/>
      <c r="F377" s="10" t="n"/>
      <c r="I377">
        <f>IF(A377="","",SUMIFS(Purchases[Quantity],Purchases[ProductID],A377))</f>
        <v/>
      </c>
      <c r="J377">
        <f>IF(A377="","",SUMIFS(Sales[Quantity],Sales[ProductID],A377))</f>
        <v/>
      </c>
      <c r="K377">
        <f>IF(A377="","",N(G377)+N(I377)-N(J377))</f>
        <v/>
      </c>
      <c r="L377" s="10">
        <f>IF(K377="","",K377*N(F377))</f>
        <v/>
      </c>
      <c r="M377">
        <f>IF(K377="","",IF(K377&lt;=N(H377),"LOW","OK"))</f>
        <v/>
      </c>
    </row>
    <row r="378">
      <c r="E378" s="10" t="n"/>
      <c r="F378" s="10" t="n"/>
      <c r="I378">
        <f>IF(A378="","",SUMIFS(Purchases[Quantity],Purchases[ProductID],A378))</f>
        <v/>
      </c>
      <c r="J378">
        <f>IF(A378="","",SUMIFS(Sales[Quantity],Sales[ProductID],A378))</f>
        <v/>
      </c>
      <c r="K378">
        <f>IF(A378="","",N(G378)+N(I378)-N(J378))</f>
        <v/>
      </c>
      <c r="L378" s="10">
        <f>IF(K378="","",K378*N(F378))</f>
        <v/>
      </c>
      <c r="M378">
        <f>IF(K378="","",IF(K378&lt;=N(H378),"LOW","OK"))</f>
        <v/>
      </c>
    </row>
    <row r="379">
      <c r="E379" s="10" t="n"/>
      <c r="F379" s="10" t="n"/>
      <c r="I379">
        <f>IF(A379="","",SUMIFS(Purchases[Quantity],Purchases[ProductID],A379))</f>
        <v/>
      </c>
      <c r="J379">
        <f>IF(A379="","",SUMIFS(Sales[Quantity],Sales[ProductID],A379))</f>
        <v/>
      </c>
      <c r="K379">
        <f>IF(A379="","",N(G379)+N(I379)-N(J379))</f>
        <v/>
      </c>
      <c r="L379" s="10">
        <f>IF(K379="","",K379*N(F379))</f>
        <v/>
      </c>
      <c r="M379">
        <f>IF(K379="","",IF(K379&lt;=N(H379),"LOW","OK"))</f>
        <v/>
      </c>
    </row>
    <row r="380">
      <c r="E380" s="10" t="n"/>
      <c r="F380" s="10" t="n"/>
      <c r="I380">
        <f>IF(A380="","",SUMIFS(Purchases[Quantity],Purchases[ProductID],A380))</f>
        <v/>
      </c>
      <c r="J380">
        <f>IF(A380="","",SUMIFS(Sales[Quantity],Sales[ProductID],A380))</f>
        <v/>
      </c>
      <c r="K380">
        <f>IF(A380="","",N(G380)+N(I380)-N(J380))</f>
        <v/>
      </c>
      <c r="L380" s="10">
        <f>IF(K380="","",K380*N(F380))</f>
        <v/>
      </c>
      <c r="M380">
        <f>IF(K380="","",IF(K380&lt;=N(H380),"LOW","OK"))</f>
        <v/>
      </c>
    </row>
    <row r="381">
      <c r="E381" s="10" t="n"/>
      <c r="F381" s="10" t="n"/>
      <c r="I381">
        <f>IF(A381="","",SUMIFS(Purchases[Quantity],Purchases[ProductID],A381))</f>
        <v/>
      </c>
      <c r="J381">
        <f>IF(A381="","",SUMIFS(Sales[Quantity],Sales[ProductID],A381))</f>
        <v/>
      </c>
      <c r="K381">
        <f>IF(A381="","",N(G381)+N(I381)-N(J381))</f>
        <v/>
      </c>
      <c r="L381" s="10">
        <f>IF(K381="","",K381*N(F381))</f>
        <v/>
      </c>
      <c r="M381">
        <f>IF(K381="","",IF(K381&lt;=N(H381),"LOW","OK"))</f>
        <v/>
      </c>
    </row>
    <row r="382">
      <c r="E382" s="10" t="n"/>
      <c r="F382" s="10" t="n"/>
      <c r="I382">
        <f>IF(A382="","",SUMIFS(Purchases[Quantity],Purchases[ProductID],A382))</f>
        <v/>
      </c>
      <c r="J382">
        <f>IF(A382="","",SUMIFS(Sales[Quantity],Sales[ProductID],A382))</f>
        <v/>
      </c>
      <c r="K382">
        <f>IF(A382="","",N(G382)+N(I382)-N(J382))</f>
        <v/>
      </c>
      <c r="L382" s="10">
        <f>IF(K382="","",K382*N(F382))</f>
        <v/>
      </c>
      <c r="M382">
        <f>IF(K382="","",IF(K382&lt;=N(H382),"LOW","OK"))</f>
        <v/>
      </c>
    </row>
    <row r="383">
      <c r="E383" s="10" t="n"/>
      <c r="F383" s="10" t="n"/>
      <c r="I383">
        <f>IF(A383="","",SUMIFS(Purchases[Quantity],Purchases[ProductID],A383))</f>
        <v/>
      </c>
      <c r="J383">
        <f>IF(A383="","",SUMIFS(Sales[Quantity],Sales[ProductID],A383))</f>
        <v/>
      </c>
      <c r="K383">
        <f>IF(A383="","",N(G383)+N(I383)-N(J383))</f>
        <v/>
      </c>
      <c r="L383" s="10">
        <f>IF(K383="","",K383*N(F383))</f>
        <v/>
      </c>
      <c r="M383">
        <f>IF(K383="","",IF(K383&lt;=N(H383),"LOW","OK"))</f>
        <v/>
      </c>
    </row>
    <row r="384">
      <c r="E384" s="10" t="n"/>
      <c r="F384" s="10" t="n"/>
      <c r="I384">
        <f>IF(A384="","",SUMIFS(Purchases[Quantity],Purchases[ProductID],A384))</f>
        <v/>
      </c>
      <c r="J384">
        <f>IF(A384="","",SUMIFS(Sales[Quantity],Sales[ProductID],A384))</f>
        <v/>
      </c>
      <c r="K384">
        <f>IF(A384="","",N(G384)+N(I384)-N(J384))</f>
        <v/>
      </c>
      <c r="L384" s="10">
        <f>IF(K384="","",K384*N(F384))</f>
        <v/>
      </c>
      <c r="M384">
        <f>IF(K384="","",IF(K384&lt;=N(H384),"LOW","OK"))</f>
        <v/>
      </c>
    </row>
    <row r="385">
      <c r="E385" s="10" t="n"/>
      <c r="F385" s="10" t="n"/>
      <c r="I385">
        <f>IF(A385="","",SUMIFS(Purchases[Quantity],Purchases[ProductID],A385))</f>
        <v/>
      </c>
      <c r="J385">
        <f>IF(A385="","",SUMIFS(Sales[Quantity],Sales[ProductID],A385))</f>
        <v/>
      </c>
      <c r="K385">
        <f>IF(A385="","",N(G385)+N(I385)-N(J385))</f>
        <v/>
      </c>
      <c r="L385" s="10">
        <f>IF(K385="","",K385*N(F385))</f>
        <v/>
      </c>
      <c r="M385">
        <f>IF(K385="","",IF(K385&lt;=N(H385),"LOW","OK"))</f>
        <v/>
      </c>
    </row>
    <row r="386">
      <c r="E386" s="10" t="n"/>
      <c r="F386" s="10" t="n"/>
      <c r="I386">
        <f>IF(A386="","",SUMIFS(Purchases[Quantity],Purchases[ProductID],A386))</f>
        <v/>
      </c>
      <c r="J386">
        <f>IF(A386="","",SUMIFS(Sales[Quantity],Sales[ProductID],A386))</f>
        <v/>
      </c>
      <c r="K386">
        <f>IF(A386="","",N(G386)+N(I386)-N(J386))</f>
        <v/>
      </c>
      <c r="L386" s="10">
        <f>IF(K386="","",K386*N(F386))</f>
        <v/>
      </c>
      <c r="M386">
        <f>IF(K386="","",IF(K386&lt;=N(H386),"LOW","OK"))</f>
        <v/>
      </c>
    </row>
    <row r="387">
      <c r="E387" s="10" t="n"/>
      <c r="F387" s="10" t="n"/>
      <c r="I387">
        <f>IF(A387="","",SUMIFS(Purchases[Quantity],Purchases[ProductID],A387))</f>
        <v/>
      </c>
      <c r="J387">
        <f>IF(A387="","",SUMIFS(Sales[Quantity],Sales[ProductID],A387))</f>
        <v/>
      </c>
      <c r="K387">
        <f>IF(A387="","",N(G387)+N(I387)-N(J387))</f>
        <v/>
      </c>
      <c r="L387" s="10">
        <f>IF(K387="","",K387*N(F387))</f>
        <v/>
      </c>
      <c r="M387">
        <f>IF(K387="","",IF(K387&lt;=N(H387),"LOW","OK"))</f>
        <v/>
      </c>
    </row>
    <row r="388">
      <c r="E388" s="10" t="n"/>
      <c r="F388" s="10" t="n"/>
      <c r="I388">
        <f>IF(A388="","",SUMIFS(Purchases[Quantity],Purchases[ProductID],A388))</f>
        <v/>
      </c>
      <c r="J388">
        <f>IF(A388="","",SUMIFS(Sales[Quantity],Sales[ProductID],A388))</f>
        <v/>
      </c>
      <c r="K388">
        <f>IF(A388="","",N(G388)+N(I388)-N(J388))</f>
        <v/>
      </c>
      <c r="L388" s="10">
        <f>IF(K388="","",K388*N(F388))</f>
        <v/>
      </c>
      <c r="M388">
        <f>IF(K388="","",IF(K388&lt;=N(H388),"LOW","OK"))</f>
        <v/>
      </c>
    </row>
    <row r="389">
      <c r="E389" s="10" t="n"/>
      <c r="F389" s="10" t="n"/>
      <c r="I389">
        <f>IF(A389="","",SUMIFS(Purchases[Quantity],Purchases[ProductID],A389))</f>
        <v/>
      </c>
      <c r="J389">
        <f>IF(A389="","",SUMIFS(Sales[Quantity],Sales[ProductID],A389))</f>
        <v/>
      </c>
      <c r="K389">
        <f>IF(A389="","",N(G389)+N(I389)-N(J389))</f>
        <v/>
      </c>
      <c r="L389" s="10">
        <f>IF(K389="","",K389*N(F389))</f>
        <v/>
      </c>
      <c r="M389">
        <f>IF(K389="","",IF(K389&lt;=N(H389),"LOW","OK"))</f>
        <v/>
      </c>
    </row>
    <row r="390">
      <c r="E390" s="10" t="n"/>
      <c r="F390" s="10" t="n"/>
      <c r="I390">
        <f>IF(A390="","",SUMIFS(Purchases[Quantity],Purchases[ProductID],A390))</f>
        <v/>
      </c>
      <c r="J390">
        <f>IF(A390="","",SUMIFS(Sales[Quantity],Sales[ProductID],A390))</f>
        <v/>
      </c>
      <c r="K390">
        <f>IF(A390="","",N(G390)+N(I390)-N(J390))</f>
        <v/>
      </c>
      <c r="L390" s="10">
        <f>IF(K390="","",K390*N(F390))</f>
        <v/>
      </c>
      <c r="M390">
        <f>IF(K390="","",IF(K390&lt;=N(H390),"LOW","OK"))</f>
        <v/>
      </c>
    </row>
    <row r="391">
      <c r="E391" s="10" t="n"/>
      <c r="F391" s="10" t="n"/>
      <c r="I391">
        <f>IF(A391="","",SUMIFS(Purchases[Quantity],Purchases[ProductID],A391))</f>
        <v/>
      </c>
      <c r="J391">
        <f>IF(A391="","",SUMIFS(Sales[Quantity],Sales[ProductID],A391))</f>
        <v/>
      </c>
      <c r="K391">
        <f>IF(A391="","",N(G391)+N(I391)-N(J391))</f>
        <v/>
      </c>
      <c r="L391" s="10">
        <f>IF(K391="","",K391*N(F391))</f>
        <v/>
      </c>
      <c r="M391">
        <f>IF(K391="","",IF(K391&lt;=N(H391),"LOW","OK"))</f>
        <v/>
      </c>
    </row>
    <row r="392">
      <c r="E392" s="10" t="n"/>
      <c r="F392" s="10" t="n"/>
      <c r="I392">
        <f>IF(A392="","",SUMIFS(Purchases[Quantity],Purchases[ProductID],A392))</f>
        <v/>
      </c>
      <c r="J392">
        <f>IF(A392="","",SUMIFS(Sales[Quantity],Sales[ProductID],A392))</f>
        <v/>
      </c>
      <c r="K392">
        <f>IF(A392="","",N(G392)+N(I392)-N(J392))</f>
        <v/>
      </c>
      <c r="L392" s="10">
        <f>IF(K392="","",K392*N(F392))</f>
        <v/>
      </c>
      <c r="M392">
        <f>IF(K392="","",IF(K392&lt;=N(H392),"LOW","OK"))</f>
        <v/>
      </c>
    </row>
    <row r="393">
      <c r="E393" s="10" t="n"/>
      <c r="F393" s="10" t="n"/>
      <c r="I393">
        <f>IF(A393="","",SUMIFS(Purchases[Quantity],Purchases[ProductID],A393))</f>
        <v/>
      </c>
      <c r="J393">
        <f>IF(A393="","",SUMIFS(Sales[Quantity],Sales[ProductID],A393))</f>
        <v/>
      </c>
      <c r="K393">
        <f>IF(A393="","",N(G393)+N(I393)-N(J393))</f>
        <v/>
      </c>
      <c r="L393" s="10">
        <f>IF(K393="","",K393*N(F393))</f>
        <v/>
      </c>
      <c r="M393">
        <f>IF(K393="","",IF(K393&lt;=N(H393),"LOW","OK"))</f>
        <v/>
      </c>
    </row>
    <row r="394">
      <c r="E394" s="10" t="n"/>
      <c r="F394" s="10" t="n"/>
      <c r="I394">
        <f>IF(A394="","",SUMIFS(Purchases[Quantity],Purchases[ProductID],A394))</f>
        <v/>
      </c>
      <c r="J394">
        <f>IF(A394="","",SUMIFS(Sales[Quantity],Sales[ProductID],A394))</f>
        <v/>
      </c>
      <c r="K394">
        <f>IF(A394="","",N(G394)+N(I394)-N(J394))</f>
        <v/>
      </c>
      <c r="L394" s="10">
        <f>IF(K394="","",K394*N(F394))</f>
        <v/>
      </c>
      <c r="M394">
        <f>IF(K394="","",IF(K394&lt;=N(H394),"LOW","OK"))</f>
        <v/>
      </c>
    </row>
    <row r="395">
      <c r="E395" s="10" t="n"/>
      <c r="F395" s="10" t="n"/>
      <c r="I395">
        <f>IF(A395="","",SUMIFS(Purchases[Quantity],Purchases[ProductID],A395))</f>
        <v/>
      </c>
      <c r="J395">
        <f>IF(A395="","",SUMIFS(Sales[Quantity],Sales[ProductID],A395))</f>
        <v/>
      </c>
      <c r="K395">
        <f>IF(A395="","",N(G395)+N(I395)-N(J395))</f>
        <v/>
      </c>
      <c r="L395" s="10">
        <f>IF(K395="","",K395*N(F395))</f>
        <v/>
      </c>
      <c r="M395">
        <f>IF(K395="","",IF(K395&lt;=N(H395),"LOW","OK"))</f>
        <v/>
      </c>
    </row>
    <row r="396">
      <c r="E396" s="10" t="n"/>
      <c r="F396" s="10" t="n"/>
      <c r="I396">
        <f>IF(A396="","",SUMIFS(Purchases[Quantity],Purchases[ProductID],A396))</f>
        <v/>
      </c>
      <c r="J396">
        <f>IF(A396="","",SUMIFS(Sales[Quantity],Sales[ProductID],A396))</f>
        <v/>
      </c>
      <c r="K396">
        <f>IF(A396="","",N(G396)+N(I396)-N(J396))</f>
        <v/>
      </c>
      <c r="L396" s="10">
        <f>IF(K396="","",K396*N(F396))</f>
        <v/>
      </c>
      <c r="M396">
        <f>IF(K396="","",IF(K396&lt;=N(H396),"LOW","OK"))</f>
        <v/>
      </c>
    </row>
    <row r="397">
      <c r="E397" s="10" t="n"/>
      <c r="F397" s="10" t="n"/>
      <c r="I397">
        <f>IF(A397="","",SUMIFS(Purchases[Quantity],Purchases[ProductID],A397))</f>
        <v/>
      </c>
      <c r="J397">
        <f>IF(A397="","",SUMIFS(Sales[Quantity],Sales[ProductID],A397))</f>
        <v/>
      </c>
      <c r="K397">
        <f>IF(A397="","",N(G397)+N(I397)-N(J397))</f>
        <v/>
      </c>
      <c r="L397" s="10">
        <f>IF(K397="","",K397*N(F397))</f>
        <v/>
      </c>
      <c r="M397">
        <f>IF(K397="","",IF(K397&lt;=N(H397),"LOW","OK"))</f>
        <v/>
      </c>
    </row>
    <row r="398">
      <c r="E398" s="10" t="n"/>
      <c r="F398" s="10" t="n"/>
      <c r="I398">
        <f>IF(A398="","",SUMIFS(Purchases[Quantity],Purchases[ProductID],A398))</f>
        <v/>
      </c>
      <c r="J398">
        <f>IF(A398="","",SUMIFS(Sales[Quantity],Sales[ProductID],A398))</f>
        <v/>
      </c>
      <c r="K398">
        <f>IF(A398="","",N(G398)+N(I398)-N(J398))</f>
        <v/>
      </c>
      <c r="L398" s="10">
        <f>IF(K398="","",K398*N(F398))</f>
        <v/>
      </c>
      <c r="M398">
        <f>IF(K398="","",IF(K398&lt;=N(H398),"LOW","OK"))</f>
        <v/>
      </c>
    </row>
    <row r="399">
      <c r="E399" s="10" t="n"/>
      <c r="F399" s="10" t="n"/>
      <c r="I399">
        <f>IF(A399="","",SUMIFS(Purchases[Quantity],Purchases[ProductID],A399))</f>
        <v/>
      </c>
      <c r="J399">
        <f>IF(A399="","",SUMIFS(Sales[Quantity],Sales[ProductID],A399))</f>
        <v/>
      </c>
      <c r="K399">
        <f>IF(A399="","",N(G399)+N(I399)-N(J399))</f>
        <v/>
      </c>
      <c r="L399" s="10">
        <f>IF(K399="","",K399*N(F399))</f>
        <v/>
      </c>
      <c r="M399">
        <f>IF(K399="","",IF(K399&lt;=N(H399),"LOW","OK"))</f>
        <v/>
      </c>
    </row>
    <row r="400">
      <c r="E400" s="10" t="n"/>
      <c r="F400" s="10" t="n"/>
      <c r="I400">
        <f>IF(A400="","",SUMIFS(Purchases[Quantity],Purchases[ProductID],A400))</f>
        <v/>
      </c>
      <c r="J400">
        <f>IF(A400="","",SUMIFS(Sales[Quantity],Sales[ProductID],A400))</f>
        <v/>
      </c>
      <c r="K400">
        <f>IF(A400="","",N(G400)+N(I400)-N(J400))</f>
        <v/>
      </c>
      <c r="L400" s="10">
        <f>IF(K400="","",K400*N(F400))</f>
        <v/>
      </c>
      <c r="M400">
        <f>IF(K400="","",IF(K400&lt;=N(H400),"LOW","OK"))</f>
        <v/>
      </c>
    </row>
    <row r="401">
      <c r="E401" s="10" t="n"/>
      <c r="F401" s="10" t="n"/>
      <c r="I401">
        <f>IF(A401="","",SUMIFS(Purchases[Quantity],Purchases[ProductID],A401))</f>
        <v/>
      </c>
      <c r="J401">
        <f>IF(A401="","",SUMIFS(Sales[Quantity],Sales[ProductID],A401))</f>
        <v/>
      </c>
      <c r="K401">
        <f>IF(A401="","",N(G401)+N(I401)-N(J401))</f>
        <v/>
      </c>
      <c r="L401" s="10">
        <f>IF(K401="","",K401*N(F401))</f>
        <v/>
      </c>
      <c r="M401">
        <f>IF(K401="","",IF(K401&lt;=N(H401),"LOW","OK"))</f>
        <v/>
      </c>
    </row>
    <row r="402">
      <c r="E402" s="10" t="n"/>
      <c r="F402" s="10" t="n"/>
      <c r="I402">
        <f>IF(A402="","",SUMIFS(Purchases[Quantity],Purchases[ProductID],A402))</f>
        <v/>
      </c>
      <c r="J402">
        <f>IF(A402="","",SUMIFS(Sales[Quantity],Sales[ProductID],A402))</f>
        <v/>
      </c>
      <c r="K402">
        <f>IF(A402="","",N(G402)+N(I402)-N(J402))</f>
        <v/>
      </c>
      <c r="L402" s="10">
        <f>IF(K402="","",K402*N(F402))</f>
        <v/>
      </c>
      <c r="M402">
        <f>IF(K402="","",IF(K402&lt;=N(H402),"LOW","OK"))</f>
        <v/>
      </c>
    </row>
    <row r="403">
      <c r="E403" s="10" t="n"/>
      <c r="F403" s="10" t="n"/>
      <c r="I403">
        <f>IF(A403="","",SUMIFS(Purchases[Quantity],Purchases[ProductID],A403))</f>
        <v/>
      </c>
      <c r="J403">
        <f>IF(A403="","",SUMIFS(Sales[Quantity],Sales[ProductID],A403))</f>
        <v/>
      </c>
      <c r="K403">
        <f>IF(A403="","",N(G403)+N(I403)-N(J403))</f>
        <v/>
      </c>
      <c r="L403" s="10">
        <f>IF(K403="","",K403*N(F403))</f>
        <v/>
      </c>
      <c r="M403">
        <f>IF(K403="","",IF(K403&lt;=N(H403),"LOW","OK"))</f>
        <v/>
      </c>
    </row>
    <row r="404">
      <c r="E404" s="10" t="n"/>
      <c r="F404" s="10" t="n"/>
      <c r="I404">
        <f>IF(A404="","",SUMIFS(Purchases[Quantity],Purchases[ProductID],A404))</f>
        <v/>
      </c>
      <c r="J404">
        <f>IF(A404="","",SUMIFS(Sales[Quantity],Sales[ProductID],A404))</f>
        <v/>
      </c>
      <c r="K404">
        <f>IF(A404="","",N(G404)+N(I404)-N(J404))</f>
        <v/>
      </c>
      <c r="L404" s="10">
        <f>IF(K404="","",K404*N(F404))</f>
        <v/>
      </c>
      <c r="M404">
        <f>IF(K404="","",IF(K404&lt;=N(H404),"LOW","OK"))</f>
        <v/>
      </c>
    </row>
    <row r="405">
      <c r="E405" s="10" t="n"/>
      <c r="F405" s="10" t="n"/>
      <c r="I405">
        <f>IF(A405="","",SUMIFS(Purchases[Quantity],Purchases[ProductID],A405))</f>
        <v/>
      </c>
      <c r="J405">
        <f>IF(A405="","",SUMIFS(Sales[Quantity],Sales[ProductID],A405))</f>
        <v/>
      </c>
      <c r="K405">
        <f>IF(A405="","",N(G405)+N(I405)-N(J405))</f>
        <v/>
      </c>
      <c r="L405" s="10">
        <f>IF(K405="","",K405*N(F405))</f>
        <v/>
      </c>
      <c r="M405">
        <f>IF(K405="","",IF(K405&lt;=N(H405),"LOW","OK"))</f>
        <v/>
      </c>
    </row>
    <row r="406">
      <c r="E406" s="10" t="n"/>
      <c r="F406" s="10" t="n"/>
      <c r="I406">
        <f>IF(A406="","",SUMIFS(Purchases[Quantity],Purchases[ProductID],A406))</f>
        <v/>
      </c>
      <c r="J406">
        <f>IF(A406="","",SUMIFS(Sales[Quantity],Sales[ProductID],A406))</f>
        <v/>
      </c>
      <c r="K406">
        <f>IF(A406="","",N(G406)+N(I406)-N(J406))</f>
        <v/>
      </c>
      <c r="L406" s="10">
        <f>IF(K406="","",K406*N(F406))</f>
        <v/>
      </c>
      <c r="M406">
        <f>IF(K406="","",IF(K406&lt;=N(H406),"LOW","OK"))</f>
        <v/>
      </c>
    </row>
    <row r="407">
      <c r="E407" s="10" t="n"/>
      <c r="F407" s="10" t="n"/>
      <c r="I407">
        <f>IF(A407="","",SUMIFS(Purchases[Quantity],Purchases[ProductID],A407))</f>
        <v/>
      </c>
      <c r="J407">
        <f>IF(A407="","",SUMIFS(Sales[Quantity],Sales[ProductID],A407))</f>
        <v/>
      </c>
      <c r="K407">
        <f>IF(A407="","",N(G407)+N(I407)-N(J407))</f>
        <v/>
      </c>
      <c r="L407" s="10">
        <f>IF(K407="","",K407*N(F407))</f>
        <v/>
      </c>
      <c r="M407">
        <f>IF(K407="","",IF(K407&lt;=N(H407),"LOW","OK"))</f>
        <v/>
      </c>
    </row>
    <row r="408">
      <c r="E408" s="10" t="n"/>
      <c r="F408" s="10" t="n"/>
      <c r="I408">
        <f>IF(A408="","",SUMIFS(Purchases[Quantity],Purchases[ProductID],A408))</f>
        <v/>
      </c>
      <c r="J408">
        <f>IF(A408="","",SUMIFS(Sales[Quantity],Sales[ProductID],A408))</f>
        <v/>
      </c>
      <c r="K408">
        <f>IF(A408="","",N(G408)+N(I408)-N(J408))</f>
        <v/>
      </c>
      <c r="L408" s="10">
        <f>IF(K408="","",K408*N(F408))</f>
        <v/>
      </c>
      <c r="M408">
        <f>IF(K408="","",IF(K408&lt;=N(H408),"LOW","OK"))</f>
        <v/>
      </c>
    </row>
    <row r="409">
      <c r="E409" s="10" t="n"/>
      <c r="F409" s="10" t="n"/>
      <c r="I409">
        <f>IF(A409="","",SUMIFS(Purchases[Quantity],Purchases[ProductID],A409))</f>
        <v/>
      </c>
      <c r="J409">
        <f>IF(A409="","",SUMIFS(Sales[Quantity],Sales[ProductID],A409))</f>
        <v/>
      </c>
      <c r="K409">
        <f>IF(A409="","",N(G409)+N(I409)-N(J409))</f>
        <v/>
      </c>
      <c r="L409" s="10">
        <f>IF(K409="","",K409*N(F409))</f>
        <v/>
      </c>
      <c r="M409">
        <f>IF(K409="","",IF(K409&lt;=N(H409),"LOW","OK"))</f>
        <v/>
      </c>
    </row>
    <row r="410">
      <c r="E410" s="10" t="n"/>
      <c r="F410" s="10" t="n"/>
      <c r="I410">
        <f>IF(A410="","",SUMIFS(Purchases[Quantity],Purchases[ProductID],A410))</f>
        <v/>
      </c>
      <c r="J410">
        <f>IF(A410="","",SUMIFS(Sales[Quantity],Sales[ProductID],A410))</f>
        <v/>
      </c>
      <c r="K410">
        <f>IF(A410="","",N(G410)+N(I410)-N(J410))</f>
        <v/>
      </c>
      <c r="L410" s="10">
        <f>IF(K410="","",K410*N(F410))</f>
        <v/>
      </c>
      <c r="M410">
        <f>IF(K410="","",IF(K410&lt;=N(H410),"LOW","OK"))</f>
        <v/>
      </c>
    </row>
    <row r="411">
      <c r="E411" s="10" t="n"/>
      <c r="F411" s="10" t="n"/>
      <c r="I411">
        <f>IF(A411="","",SUMIFS(Purchases[Quantity],Purchases[ProductID],A411))</f>
        <v/>
      </c>
      <c r="J411">
        <f>IF(A411="","",SUMIFS(Sales[Quantity],Sales[ProductID],A411))</f>
        <v/>
      </c>
      <c r="K411">
        <f>IF(A411="","",N(G411)+N(I411)-N(J411))</f>
        <v/>
      </c>
      <c r="L411" s="10">
        <f>IF(K411="","",K411*N(F411))</f>
        <v/>
      </c>
      <c r="M411">
        <f>IF(K411="","",IF(K411&lt;=N(H411),"LOW","OK"))</f>
        <v/>
      </c>
    </row>
    <row r="412">
      <c r="E412" s="10" t="n"/>
      <c r="F412" s="10" t="n"/>
      <c r="I412">
        <f>IF(A412="","",SUMIFS(Purchases[Quantity],Purchases[ProductID],A412))</f>
        <v/>
      </c>
      <c r="J412">
        <f>IF(A412="","",SUMIFS(Sales[Quantity],Sales[ProductID],A412))</f>
        <v/>
      </c>
      <c r="K412">
        <f>IF(A412="","",N(G412)+N(I412)-N(J412))</f>
        <v/>
      </c>
      <c r="L412" s="10">
        <f>IF(K412="","",K412*N(F412))</f>
        <v/>
      </c>
      <c r="M412">
        <f>IF(K412="","",IF(K412&lt;=N(H412),"LOW","OK"))</f>
        <v/>
      </c>
    </row>
    <row r="413">
      <c r="E413" s="10" t="n"/>
      <c r="F413" s="10" t="n"/>
      <c r="I413">
        <f>IF(A413="","",SUMIFS(Purchases[Quantity],Purchases[ProductID],A413))</f>
        <v/>
      </c>
      <c r="J413">
        <f>IF(A413="","",SUMIFS(Sales[Quantity],Sales[ProductID],A413))</f>
        <v/>
      </c>
      <c r="K413">
        <f>IF(A413="","",N(G413)+N(I413)-N(J413))</f>
        <v/>
      </c>
      <c r="L413" s="10">
        <f>IF(K413="","",K413*N(F413))</f>
        <v/>
      </c>
      <c r="M413">
        <f>IF(K413="","",IF(K413&lt;=N(H413),"LOW","OK"))</f>
        <v/>
      </c>
    </row>
    <row r="414">
      <c r="E414" s="10" t="n"/>
      <c r="F414" s="10" t="n"/>
      <c r="I414">
        <f>IF(A414="","",SUMIFS(Purchases[Quantity],Purchases[ProductID],A414))</f>
        <v/>
      </c>
      <c r="J414">
        <f>IF(A414="","",SUMIFS(Sales[Quantity],Sales[ProductID],A414))</f>
        <v/>
      </c>
      <c r="K414">
        <f>IF(A414="","",N(G414)+N(I414)-N(J414))</f>
        <v/>
      </c>
      <c r="L414" s="10">
        <f>IF(K414="","",K414*N(F414))</f>
        <v/>
      </c>
      <c r="M414">
        <f>IF(K414="","",IF(K414&lt;=N(H414),"LOW","OK"))</f>
        <v/>
      </c>
    </row>
    <row r="415">
      <c r="E415" s="10" t="n"/>
      <c r="F415" s="10" t="n"/>
      <c r="I415">
        <f>IF(A415="","",SUMIFS(Purchases[Quantity],Purchases[ProductID],A415))</f>
        <v/>
      </c>
      <c r="J415">
        <f>IF(A415="","",SUMIFS(Sales[Quantity],Sales[ProductID],A415))</f>
        <v/>
      </c>
      <c r="K415">
        <f>IF(A415="","",N(G415)+N(I415)-N(J415))</f>
        <v/>
      </c>
      <c r="L415" s="10">
        <f>IF(K415="","",K415*N(F415))</f>
        <v/>
      </c>
      <c r="M415">
        <f>IF(K415="","",IF(K415&lt;=N(H415),"LOW","OK"))</f>
        <v/>
      </c>
    </row>
    <row r="416">
      <c r="E416" s="10" t="n"/>
      <c r="F416" s="10" t="n"/>
      <c r="I416">
        <f>IF(A416="","",SUMIFS(Purchases[Quantity],Purchases[ProductID],A416))</f>
        <v/>
      </c>
      <c r="J416">
        <f>IF(A416="","",SUMIFS(Sales[Quantity],Sales[ProductID],A416))</f>
        <v/>
      </c>
      <c r="K416">
        <f>IF(A416="","",N(G416)+N(I416)-N(J416))</f>
        <v/>
      </c>
      <c r="L416" s="10">
        <f>IF(K416="","",K416*N(F416))</f>
        <v/>
      </c>
      <c r="M416">
        <f>IF(K416="","",IF(K416&lt;=N(H416),"LOW","OK"))</f>
        <v/>
      </c>
    </row>
    <row r="417">
      <c r="E417" s="10" t="n"/>
      <c r="F417" s="10" t="n"/>
      <c r="I417">
        <f>IF(A417="","",SUMIFS(Purchases[Quantity],Purchases[ProductID],A417))</f>
        <v/>
      </c>
      <c r="J417">
        <f>IF(A417="","",SUMIFS(Sales[Quantity],Sales[ProductID],A417))</f>
        <v/>
      </c>
      <c r="K417">
        <f>IF(A417="","",N(G417)+N(I417)-N(J417))</f>
        <v/>
      </c>
      <c r="L417" s="10">
        <f>IF(K417="","",K417*N(F417))</f>
        <v/>
      </c>
      <c r="M417">
        <f>IF(K417="","",IF(K417&lt;=N(H417),"LOW","OK"))</f>
        <v/>
      </c>
    </row>
    <row r="418">
      <c r="E418" s="10" t="n"/>
      <c r="F418" s="10" t="n"/>
      <c r="I418">
        <f>IF(A418="","",SUMIFS(Purchases[Quantity],Purchases[ProductID],A418))</f>
        <v/>
      </c>
      <c r="J418">
        <f>IF(A418="","",SUMIFS(Sales[Quantity],Sales[ProductID],A418))</f>
        <v/>
      </c>
      <c r="K418">
        <f>IF(A418="","",N(G418)+N(I418)-N(J418))</f>
        <v/>
      </c>
      <c r="L418" s="10">
        <f>IF(K418="","",K418*N(F418))</f>
        <v/>
      </c>
      <c r="M418">
        <f>IF(K418="","",IF(K418&lt;=N(H418),"LOW","OK"))</f>
        <v/>
      </c>
    </row>
    <row r="419">
      <c r="E419" s="10" t="n"/>
      <c r="F419" s="10" t="n"/>
      <c r="I419">
        <f>IF(A419="","",SUMIFS(Purchases[Quantity],Purchases[ProductID],A419))</f>
        <v/>
      </c>
      <c r="J419">
        <f>IF(A419="","",SUMIFS(Sales[Quantity],Sales[ProductID],A419))</f>
        <v/>
      </c>
      <c r="K419">
        <f>IF(A419="","",N(G419)+N(I419)-N(J419))</f>
        <v/>
      </c>
      <c r="L419" s="10">
        <f>IF(K419="","",K419*N(F419))</f>
        <v/>
      </c>
      <c r="M419">
        <f>IF(K419="","",IF(K419&lt;=N(H419),"LOW","OK"))</f>
        <v/>
      </c>
    </row>
    <row r="420">
      <c r="E420" s="10" t="n"/>
      <c r="F420" s="10" t="n"/>
      <c r="I420">
        <f>IF(A420="","",SUMIFS(Purchases[Quantity],Purchases[ProductID],A420))</f>
        <v/>
      </c>
      <c r="J420">
        <f>IF(A420="","",SUMIFS(Sales[Quantity],Sales[ProductID],A420))</f>
        <v/>
      </c>
      <c r="K420">
        <f>IF(A420="","",N(G420)+N(I420)-N(J420))</f>
        <v/>
      </c>
      <c r="L420" s="10">
        <f>IF(K420="","",K420*N(F420))</f>
        <v/>
      </c>
      <c r="M420">
        <f>IF(K420="","",IF(K420&lt;=N(H420),"LOW","OK"))</f>
        <v/>
      </c>
    </row>
    <row r="421">
      <c r="E421" s="10" t="n"/>
      <c r="F421" s="10" t="n"/>
      <c r="I421">
        <f>IF(A421="","",SUMIFS(Purchases[Quantity],Purchases[ProductID],A421))</f>
        <v/>
      </c>
      <c r="J421">
        <f>IF(A421="","",SUMIFS(Sales[Quantity],Sales[ProductID],A421))</f>
        <v/>
      </c>
      <c r="K421">
        <f>IF(A421="","",N(G421)+N(I421)-N(J421))</f>
        <v/>
      </c>
      <c r="L421" s="10">
        <f>IF(K421="","",K421*N(F421))</f>
        <v/>
      </c>
      <c r="M421">
        <f>IF(K421="","",IF(K421&lt;=N(H421),"LOW","OK"))</f>
        <v/>
      </c>
    </row>
    <row r="422">
      <c r="E422" s="10" t="n"/>
      <c r="F422" s="10" t="n"/>
      <c r="I422">
        <f>IF(A422="","",SUMIFS(Purchases[Quantity],Purchases[ProductID],A422))</f>
        <v/>
      </c>
      <c r="J422">
        <f>IF(A422="","",SUMIFS(Sales[Quantity],Sales[ProductID],A422))</f>
        <v/>
      </c>
      <c r="K422">
        <f>IF(A422="","",N(G422)+N(I422)-N(J422))</f>
        <v/>
      </c>
      <c r="L422" s="10">
        <f>IF(K422="","",K422*N(F422))</f>
        <v/>
      </c>
      <c r="M422">
        <f>IF(K422="","",IF(K422&lt;=N(H422),"LOW","OK"))</f>
        <v/>
      </c>
    </row>
    <row r="423">
      <c r="E423" s="10" t="n"/>
      <c r="F423" s="10" t="n"/>
      <c r="I423">
        <f>IF(A423="","",SUMIFS(Purchases[Quantity],Purchases[ProductID],A423))</f>
        <v/>
      </c>
      <c r="J423">
        <f>IF(A423="","",SUMIFS(Sales[Quantity],Sales[ProductID],A423))</f>
        <v/>
      </c>
      <c r="K423">
        <f>IF(A423="","",N(G423)+N(I423)-N(J423))</f>
        <v/>
      </c>
      <c r="L423" s="10">
        <f>IF(K423="","",K423*N(F423))</f>
        <v/>
      </c>
      <c r="M423">
        <f>IF(K423="","",IF(K423&lt;=N(H423),"LOW","OK"))</f>
        <v/>
      </c>
    </row>
    <row r="424">
      <c r="E424" s="10" t="n"/>
      <c r="F424" s="10" t="n"/>
      <c r="I424">
        <f>IF(A424="","",SUMIFS(Purchases[Quantity],Purchases[ProductID],A424))</f>
        <v/>
      </c>
      <c r="J424">
        <f>IF(A424="","",SUMIFS(Sales[Quantity],Sales[ProductID],A424))</f>
        <v/>
      </c>
      <c r="K424">
        <f>IF(A424="","",N(G424)+N(I424)-N(J424))</f>
        <v/>
      </c>
      <c r="L424" s="10">
        <f>IF(K424="","",K424*N(F424))</f>
        <v/>
      </c>
      <c r="M424">
        <f>IF(K424="","",IF(K424&lt;=N(H424),"LOW","OK"))</f>
        <v/>
      </c>
    </row>
    <row r="425">
      <c r="E425" s="10" t="n"/>
      <c r="F425" s="10" t="n"/>
      <c r="I425">
        <f>IF(A425="","",SUMIFS(Purchases[Quantity],Purchases[ProductID],A425))</f>
        <v/>
      </c>
      <c r="J425">
        <f>IF(A425="","",SUMIFS(Sales[Quantity],Sales[ProductID],A425))</f>
        <v/>
      </c>
      <c r="K425">
        <f>IF(A425="","",N(G425)+N(I425)-N(J425))</f>
        <v/>
      </c>
      <c r="L425" s="10">
        <f>IF(K425="","",K425*N(F425))</f>
        <v/>
      </c>
      <c r="M425">
        <f>IF(K425="","",IF(K425&lt;=N(H425),"LOW","OK"))</f>
        <v/>
      </c>
    </row>
    <row r="426">
      <c r="E426" s="10" t="n"/>
      <c r="F426" s="10" t="n"/>
      <c r="I426">
        <f>IF(A426="","",SUMIFS(Purchases[Quantity],Purchases[ProductID],A426))</f>
        <v/>
      </c>
      <c r="J426">
        <f>IF(A426="","",SUMIFS(Sales[Quantity],Sales[ProductID],A426))</f>
        <v/>
      </c>
      <c r="K426">
        <f>IF(A426="","",N(G426)+N(I426)-N(J426))</f>
        <v/>
      </c>
      <c r="L426" s="10">
        <f>IF(K426="","",K426*N(F426))</f>
        <v/>
      </c>
      <c r="M426">
        <f>IF(K426="","",IF(K426&lt;=N(H426),"LOW","OK"))</f>
        <v/>
      </c>
    </row>
    <row r="427">
      <c r="E427" s="10" t="n"/>
      <c r="F427" s="10" t="n"/>
      <c r="I427">
        <f>IF(A427="","",SUMIFS(Purchases[Quantity],Purchases[ProductID],A427))</f>
        <v/>
      </c>
      <c r="J427">
        <f>IF(A427="","",SUMIFS(Sales[Quantity],Sales[ProductID],A427))</f>
        <v/>
      </c>
      <c r="K427">
        <f>IF(A427="","",N(G427)+N(I427)-N(J427))</f>
        <v/>
      </c>
      <c r="L427" s="10">
        <f>IF(K427="","",K427*N(F427))</f>
        <v/>
      </c>
      <c r="M427">
        <f>IF(K427="","",IF(K427&lt;=N(H427),"LOW","OK"))</f>
        <v/>
      </c>
    </row>
    <row r="428">
      <c r="E428" s="10" t="n"/>
      <c r="F428" s="10" t="n"/>
      <c r="I428">
        <f>IF(A428="","",SUMIFS(Purchases[Quantity],Purchases[ProductID],A428))</f>
        <v/>
      </c>
      <c r="J428">
        <f>IF(A428="","",SUMIFS(Sales[Quantity],Sales[ProductID],A428))</f>
        <v/>
      </c>
      <c r="K428">
        <f>IF(A428="","",N(G428)+N(I428)-N(J428))</f>
        <v/>
      </c>
      <c r="L428" s="10">
        <f>IF(K428="","",K428*N(F428))</f>
        <v/>
      </c>
      <c r="M428">
        <f>IF(K428="","",IF(K428&lt;=N(H428),"LOW","OK"))</f>
        <v/>
      </c>
    </row>
    <row r="429">
      <c r="E429" s="10" t="n"/>
      <c r="F429" s="10" t="n"/>
      <c r="I429">
        <f>IF(A429="","",SUMIFS(Purchases[Quantity],Purchases[ProductID],A429))</f>
        <v/>
      </c>
      <c r="J429">
        <f>IF(A429="","",SUMIFS(Sales[Quantity],Sales[ProductID],A429))</f>
        <v/>
      </c>
      <c r="K429">
        <f>IF(A429="","",N(G429)+N(I429)-N(J429))</f>
        <v/>
      </c>
      <c r="L429" s="10">
        <f>IF(K429="","",K429*N(F429))</f>
        <v/>
      </c>
      <c r="M429">
        <f>IF(K429="","",IF(K429&lt;=N(H429),"LOW","OK"))</f>
        <v/>
      </c>
    </row>
    <row r="430">
      <c r="E430" s="10" t="n"/>
      <c r="F430" s="10" t="n"/>
      <c r="I430">
        <f>IF(A430="","",SUMIFS(Purchases[Quantity],Purchases[ProductID],A430))</f>
        <v/>
      </c>
      <c r="J430">
        <f>IF(A430="","",SUMIFS(Sales[Quantity],Sales[ProductID],A430))</f>
        <v/>
      </c>
      <c r="K430">
        <f>IF(A430="","",N(G430)+N(I430)-N(J430))</f>
        <v/>
      </c>
      <c r="L430" s="10">
        <f>IF(K430="","",K430*N(F430))</f>
        <v/>
      </c>
      <c r="M430">
        <f>IF(K430="","",IF(K430&lt;=N(H430),"LOW","OK"))</f>
        <v/>
      </c>
    </row>
    <row r="431">
      <c r="E431" s="10" t="n"/>
      <c r="F431" s="10" t="n"/>
      <c r="I431">
        <f>IF(A431="","",SUMIFS(Purchases[Quantity],Purchases[ProductID],A431))</f>
        <v/>
      </c>
      <c r="J431">
        <f>IF(A431="","",SUMIFS(Sales[Quantity],Sales[ProductID],A431))</f>
        <v/>
      </c>
      <c r="K431">
        <f>IF(A431="","",N(G431)+N(I431)-N(J431))</f>
        <v/>
      </c>
      <c r="L431" s="10">
        <f>IF(K431="","",K431*N(F431))</f>
        <v/>
      </c>
      <c r="M431">
        <f>IF(K431="","",IF(K431&lt;=N(H431),"LOW","OK"))</f>
        <v/>
      </c>
    </row>
    <row r="432">
      <c r="E432" s="10" t="n"/>
      <c r="F432" s="10" t="n"/>
      <c r="I432">
        <f>IF(A432="","",SUMIFS(Purchases[Quantity],Purchases[ProductID],A432))</f>
        <v/>
      </c>
      <c r="J432">
        <f>IF(A432="","",SUMIFS(Sales[Quantity],Sales[ProductID],A432))</f>
        <v/>
      </c>
      <c r="K432">
        <f>IF(A432="","",N(G432)+N(I432)-N(J432))</f>
        <v/>
      </c>
      <c r="L432" s="10">
        <f>IF(K432="","",K432*N(F432))</f>
        <v/>
      </c>
      <c r="M432">
        <f>IF(K432="","",IF(K432&lt;=N(H432),"LOW","OK"))</f>
        <v/>
      </c>
    </row>
    <row r="433">
      <c r="E433" s="10" t="n"/>
      <c r="F433" s="10" t="n"/>
      <c r="I433">
        <f>IF(A433="","",SUMIFS(Purchases[Quantity],Purchases[ProductID],A433))</f>
        <v/>
      </c>
      <c r="J433">
        <f>IF(A433="","",SUMIFS(Sales[Quantity],Sales[ProductID],A433))</f>
        <v/>
      </c>
      <c r="K433">
        <f>IF(A433="","",N(G433)+N(I433)-N(J433))</f>
        <v/>
      </c>
      <c r="L433" s="10">
        <f>IF(K433="","",K433*N(F433))</f>
        <v/>
      </c>
      <c r="M433">
        <f>IF(K433="","",IF(K433&lt;=N(H433),"LOW","OK"))</f>
        <v/>
      </c>
    </row>
    <row r="434">
      <c r="E434" s="10" t="n"/>
      <c r="F434" s="10" t="n"/>
      <c r="I434">
        <f>IF(A434="","",SUMIFS(Purchases[Quantity],Purchases[ProductID],A434))</f>
        <v/>
      </c>
      <c r="J434">
        <f>IF(A434="","",SUMIFS(Sales[Quantity],Sales[ProductID],A434))</f>
        <v/>
      </c>
      <c r="K434">
        <f>IF(A434="","",N(G434)+N(I434)-N(J434))</f>
        <v/>
      </c>
      <c r="L434" s="10">
        <f>IF(K434="","",K434*N(F434))</f>
        <v/>
      </c>
      <c r="M434">
        <f>IF(K434="","",IF(K434&lt;=N(H434),"LOW","OK"))</f>
        <v/>
      </c>
    </row>
    <row r="435">
      <c r="E435" s="10" t="n"/>
      <c r="F435" s="10" t="n"/>
      <c r="I435">
        <f>IF(A435="","",SUMIFS(Purchases[Quantity],Purchases[ProductID],A435))</f>
        <v/>
      </c>
      <c r="J435">
        <f>IF(A435="","",SUMIFS(Sales[Quantity],Sales[ProductID],A435))</f>
        <v/>
      </c>
      <c r="K435">
        <f>IF(A435="","",N(G435)+N(I435)-N(J435))</f>
        <v/>
      </c>
      <c r="L435" s="10">
        <f>IF(K435="","",K435*N(F435))</f>
        <v/>
      </c>
      <c r="M435">
        <f>IF(K435="","",IF(K435&lt;=N(H435),"LOW","OK"))</f>
        <v/>
      </c>
    </row>
    <row r="436">
      <c r="E436" s="10" t="n"/>
      <c r="F436" s="10" t="n"/>
      <c r="I436">
        <f>IF(A436="","",SUMIFS(Purchases[Quantity],Purchases[ProductID],A436))</f>
        <v/>
      </c>
      <c r="J436">
        <f>IF(A436="","",SUMIFS(Sales[Quantity],Sales[ProductID],A436))</f>
        <v/>
      </c>
      <c r="K436">
        <f>IF(A436="","",N(G436)+N(I436)-N(J436))</f>
        <v/>
      </c>
      <c r="L436" s="10">
        <f>IF(K436="","",K436*N(F436))</f>
        <v/>
      </c>
      <c r="M436">
        <f>IF(K436="","",IF(K436&lt;=N(H436),"LOW","OK"))</f>
        <v/>
      </c>
    </row>
    <row r="437">
      <c r="E437" s="10" t="n"/>
      <c r="F437" s="10" t="n"/>
      <c r="I437">
        <f>IF(A437="","",SUMIFS(Purchases[Quantity],Purchases[ProductID],A437))</f>
        <v/>
      </c>
      <c r="J437">
        <f>IF(A437="","",SUMIFS(Sales[Quantity],Sales[ProductID],A437))</f>
        <v/>
      </c>
      <c r="K437">
        <f>IF(A437="","",N(G437)+N(I437)-N(J437))</f>
        <v/>
      </c>
      <c r="L437" s="10">
        <f>IF(K437="","",K437*N(F437))</f>
        <v/>
      </c>
      <c r="M437">
        <f>IF(K437="","",IF(K437&lt;=N(H437),"LOW","OK"))</f>
        <v/>
      </c>
    </row>
    <row r="438">
      <c r="E438" s="10" t="n"/>
      <c r="F438" s="10" t="n"/>
      <c r="I438">
        <f>IF(A438="","",SUMIFS(Purchases[Quantity],Purchases[ProductID],A438))</f>
        <v/>
      </c>
      <c r="J438">
        <f>IF(A438="","",SUMIFS(Sales[Quantity],Sales[ProductID],A438))</f>
        <v/>
      </c>
      <c r="K438">
        <f>IF(A438="","",N(G438)+N(I438)-N(J438))</f>
        <v/>
      </c>
      <c r="L438" s="10">
        <f>IF(K438="","",K438*N(F438))</f>
        <v/>
      </c>
      <c r="M438">
        <f>IF(K438="","",IF(K438&lt;=N(H438),"LOW","OK"))</f>
        <v/>
      </c>
    </row>
    <row r="439">
      <c r="E439" s="10" t="n"/>
      <c r="F439" s="10" t="n"/>
      <c r="I439">
        <f>IF(A439="","",SUMIFS(Purchases[Quantity],Purchases[ProductID],A439))</f>
        <v/>
      </c>
      <c r="J439">
        <f>IF(A439="","",SUMIFS(Sales[Quantity],Sales[ProductID],A439))</f>
        <v/>
      </c>
      <c r="K439">
        <f>IF(A439="","",N(G439)+N(I439)-N(J439))</f>
        <v/>
      </c>
      <c r="L439" s="10">
        <f>IF(K439="","",K439*N(F439))</f>
        <v/>
      </c>
      <c r="M439">
        <f>IF(K439="","",IF(K439&lt;=N(H439),"LOW","OK"))</f>
        <v/>
      </c>
    </row>
    <row r="440">
      <c r="E440" s="10" t="n"/>
      <c r="F440" s="10" t="n"/>
      <c r="I440">
        <f>IF(A440="","",SUMIFS(Purchases[Quantity],Purchases[ProductID],A440))</f>
        <v/>
      </c>
      <c r="J440">
        <f>IF(A440="","",SUMIFS(Sales[Quantity],Sales[ProductID],A440))</f>
        <v/>
      </c>
      <c r="K440">
        <f>IF(A440="","",N(G440)+N(I440)-N(J440))</f>
        <v/>
      </c>
      <c r="L440" s="10">
        <f>IF(K440="","",K440*N(F440))</f>
        <v/>
      </c>
      <c r="M440">
        <f>IF(K440="","",IF(K440&lt;=N(H440),"LOW","OK"))</f>
        <v/>
      </c>
    </row>
    <row r="441">
      <c r="E441" s="10" t="n"/>
      <c r="F441" s="10" t="n"/>
      <c r="I441">
        <f>IF(A441="","",SUMIFS(Purchases[Quantity],Purchases[ProductID],A441))</f>
        <v/>
      </c>
      <c r="J441">
        <f>IF(A441="","",SUMIFS(Sales[Quantity],Sales[ProductID],A441))</f>
        <v/>
      </c>
      <c r="K441">
        <f>IF(A441="","",N(G441)+N(I441)-N(J441))</f>
        <v/>
      </c>
      <c r="L441" s="10">
        <f>IF(K441="","",K441*N(F441))</f>
        <v/>
      </c>
      <c r="M441">
        <f>IF(K441="","",IF(K441&lt;=N(H441),"LOW","OK"))</f>
        <v/>
      </c>
    </row>
    <row r="442">
      <c r="E442" s="10" t="n"/>
      <c r="F442" s="10" t="n"/>
      <c r="I442">
        <f>IF(A442="","",SUMIFS(Purchases[Quantity],Purchases[ProductID],A442))</f>
        <v/>
      </c>
      <c r="J442">
        <f>IF(A442="","",SUMIFS(Sales[Quantity],Sales[ProductID],A442))</f>
        <v/>
      </c>
      <c r="K442">
        <f>IF(A442="","",N(G442)+N(I442)-N(J442))</f>
        <v/>
      </c>
      <c r="L442" s="10">
        <f>IF(K442="","",K442*N(F442))</f>
        <v/>
      </c>
      <c r="M442">
        <f>IF(K442="","",IF(K442&lt;=N(H442),"LOW","OK"))</f>
        <v/>
      </c>
    </row>
    <row r="443">
      <c r="E443" s="10" t="n"/>
      <c r="F443" s="10" t="n"/>
      <c r="I443">
        <f>IF(A443="","",SUMIFS(Purchases[Quantity],Purchases[ProductID],A443))</f>
        <v/>
      </c>
      <c r="J443">
        <f>IF(A443="","",SUMIFS(Sales[Quantity],Sales[ProductID],A443))</f>
        <v/>
      </c>
      <c r="K443">
        <f>IF(A443="","",N(G443)+N(I443)-N(J443))</f>
        <v/>
      </c>
      <c r="L443" s="10">
        <f>IF(K443="","",K443*N(F443))</f>
        <v/>
      </c>
      <c r="M443">
        <f>IF(K443="","",IF(K443&lt;=N(H443),"LOW","OK"))</f>
        <v/>
      </c>
    </row>
    <row r="444">
      <c r="E444" s="10" t="n"/>
      <c r="F444" s="10" t="n"/>
      <c r="I444">
        <f>IF(A444="","",SUMIFS(Purchases[Quantity],Purchases[ProductID],A444))</f>
        <v/>
      </c>
      <c r="J444">
        <f>IF(A444="","",SUMIFS(Sales[Quantity],Sales[ProductID],A444))</f>
        <v/>
      </c>
      <c r="K444">
        <f>IF(A444="","",N(G444)+N(I444)-N(J444))</f>
        <v/>
      </c>
      <c r="L444" s="10">
        <f>IF(K444="","",K444*N(F444))</f>
        <v/>
      </c>
      <c r="M444">
        <f>IF(K444="","",IF(K444&lt;=N(H444),"LOW","OK"))</f>
        <v/>
      </c>
    </row>
    <row r="445">
      <c r="E445" s="10" t="n"/>
      <c r="F445" s="10" t="n"/>
      <c r="I445">
        <f>IF(A445="","",SUMIFS(Purchases[Quantity],Purchases[ProductID],A445))</f>
        <v/>
      </c>
      <c r="J445">
        <f>IF(A445="","",SUMIFS(Sales[Quantity],Sales[ProductID],A445))</f>
        <v/>
      </c>
      <c r="K445">
        <f>IF(A445="","",N(G445)+N(I445)-N(J445))</f>
        <v/>
      </c>
      <c r="L445" s="10">
        <f>IF(K445="","",K445*N(F445))</f>
        <v/>
      </c>
      <c r="M445">
        <f>IF(K445="","",IF(K445&lt;=N(H445),"LOW","OK"))</f>
        <v/>
      </c>
    </row>
    <row r="446">
      <c r="E446" s="10" t="n"/>
      <c r="F446" s="10" t="n"/>
      <c r="I446">
        <f>IF(A446="","",SUMIFS(Purchases[Quantity],Purchases[ProductID],A446))</f>
        <v/>
      </c>
      <c r="J446">
        <f>IF(A446="","",SUMIFS(Sales[Quantity],Sales[ProductID],A446))</f>
        <v/>
      </c>
      <c r="K446">
        <f>IF(A446="","",N(G446)+N(I446)-N(J446))</f>
        <v/>
      </c>
      <c r="L446" s="10">
        <f>IF(K446="","",K446*N(F446))</f>
        <v/>
      </c>
      <c r="M446">
        <f>IF(K446="","",IF(K446&lt;=N(H446),"LOW","OK"))</f>
        <v/>
      </c>
    </row>
    <row r="447">
      <c r="E447" s="10" t="n"/>
      <c r="F447" s="10" t="n"/>
      <c r="I447">
        <f>IF(A447="","",SUMIFS(Purchases[Quantity],Purchases[ProductID],A447))</f>
        <v/>
      </c>
      <c r="J447">
        <f>IF(A447="","",SUMIFS(Sales[Quantity],Sales[ProductID],A447))</f>
        <v/>
      </c>
      <c r="K447">
        <f>IF(A447="","",N(G447)+N(I447)-N(J447))</f>
        <v/>
      </c>
      <c r="L447" s="10">
        <f>IF(K447="","",K447*N(F447))</f>
        <v/>
      </c>
      <c r="M447">
        <f>IF(K447="","",IF(K447&lt;=N(H447),"LOW","OK"))</f>
        <v/>
      </c>
    </row>
    <row r="448">
      <c r="E448" s="10" t="n"/>
      <c r="F448" s="10" t="n"/>
      <c r="I448">
        <f>IF(A448="","",SUMIFS(Purchases[Quantity],Purchases[ProductID],A448))</f>
        <v/>
      </c>
      <c r="J448">
        <f>IF(A448="","",SUMIFS(Sales[Quantity],Sales[ProductID],A448))</f>
        <v/>
      </c>
      <c r="K448">
        <f>IF(A448="","",N(G448)+N(I448)-N(J448))</f>
        <v/>
      </c>
      <c r="L448" s="10">
        <f>IF(K448="","",K448*N(F448))</f>
        <v/>
      </c>
      <c r="M448">
        <f>IF(K448="","",IF(K448&lt;=N(H448),"LOW","OK"))</f>
        <v/>
      </c>
    </row>
    <row r="449">
      <c r="E449" s="10" t="n"/>
      <c r="F449" s="10" t="n"/>
      <c r="I449">
        <f>IF(A449="","",SUMIFS(Purchases[Quantity],Purchases[ProductID],A449))</f>
        <v/>
      </c>
      <c r="J449">
        <f>IF(A449="","",SUMIFS(Sales[Quantity],Sales[ProductID],A449))</f>
        <v/>
      </c>
      <c r="K449">
        <f>IF(A449="","",N(G449)+N(I449)-N(J449))</f>
        <v/>
      </c>
      <c r="L449" s="10">
        <f>IF(K449="","",K449*N(F449))</f>
        <v/>
      </c>
      <c r="M449">
        <f>IF(K449="","",IF(K449&lt;=N(H449),"LOW","OK"))</f>
        <v/>
      </c>
    </row>
    <row r="450">
      <c r="E450" s="10" t="n"/>
      <c r="F450" s="10" t="n"/>
      <c r="I450">
        <f>IF(A450="","",SUMIFS(Purchases[Quantity],Purchases[ProductID],A450))</f>
        <v/>
      </c>
      <c r="J450">
        <f>IF(A450="","",SUMIFS(Sales[Quantity],Sales[ProductID],A450))</f>
        <v/>
      </c>
      <c r="K450">
        <f>IF(A450="","",N(G450)+N(I450)-N(J450))</f>
        <v/>
      </c>
      <c r="L450" s="10">
        <f>IF(K450="","",K450*N(F450))</f>
        <v/>
      </c>
      <c r="M450">
        <f>IF(K450="","",IF(K450&lt;=N(H450),"LOW","OK"))</f>
        <v/>
      </c>
    </row>
    <row r="451">
      <c r="E451" s="10" t="n"/>
      <c r="F451" s="10" t="n"/>
      <c r="I451">
        <f>IF(A451="","",SUMIFS(Purchases[Quantity],Purchases[ProductID],A451))</f>
        <v/>
      </c>
      <c r="J451">
        <f>IF(A451="","",SUMIFS(Sales[Quantity],Sales[ProductID],A451))</f>
        <v/>
      </c>
      <c r="K451">
        <f>IF(A451="","",N(G451)+N(I451)-N(J451))</f>
        <v/>
      </c>
      <c r="L451" s="10">
        <f>IF(K451="","",K451*N(F451))</f>
        <v/>
      </c>
      <c r="M451">
        <f>IF(K451="","",IF(K451&lt;=N(H451),"LOW","OK"))</f>
        <v/>
      </c>
    </row>
    <row r="452">
      <c r="E452" s="10" t="n"/>
      <c r="F452" s="10" t="n"/>
      <c r="I452">
        <f>IF(A452="","",SUMIFS(Purchases[Quantity],Purchases[ProductID],A452))</f>
        <v/>
      </c>
      <c r="J452">
        <f>IF(A452="","",SUMIFS(Sales[Quantity],Sales[ProductID],A452))</f>
        <v/>
      </c>
      <c r="K452">
        <f>IF(A452="","",N(G452)+N(I452)-N(J452))</f>
        <v/>
      </c>
      <c r="L452" s="10">
        <f>IF(K452="","",K452*N(F452))</f>
        <v/>
      </c>
      <c r="M452">
        <f>IF(K452="","",IF(K452&lt;=N(H452),"LOW","OK"))</f>
        <v/>
      </c>
    </row>
    <row r="453">
      <c r="E453" s="10" t="n"/>
      <c r="F453" s="10" t="n"/>
      <c r="I453">
        <f>IF(A453="","",SUMIFS(Purchases[Quantity],Purchases[ProductID],A453))</f>
        <v/>
      </c>
      <c r="J453">
        <f>IF(A453="","",SUMIFS(Sales[Quantity],Sales[ProductID],A453))</f>
        <v/>
      </c>
      <c r="K453">
        <f>IF(A453="","",N(G453)+N(I453)-N(J453))</f>
        <v/>
      </c>
      <c r="L453" s="10">
        <f>IF(K453="","",K453*N(F453))</f>
        <v/>
      </c>
      <c r="M453">
        <f>IF(K453="","",IF(K453&lt;=N(H453),"LOW","OK"))</f>
        <v/>
      </c>
    </row>
    <row r="454">
      <c r="E454" s="10" t="n"/>
      <c r="F454" s="10" t="n"/>
      <c r="I454">
        <f>IF(A454="","",SUMIFS(Purchases[Quantity],Purchases[ProductID],A454))</f>
        <v/>
      </c>
      <c r="J454">
        <f>IF(A454="","",SUMIFS(Sales[Quantity],Sales[ProductID],A454))</f>
        <v/>
      </c>
      <c r="K454">
        <f>IF(A454="","",N(G454)+N(I454)-N(J454))</f>
        <v/>
      </c>
      <c r="L454" s="10">
        <f>IF(K454="","",K454*N(F454))</f>
        <v/>
      </c>
      <c r="M454">
        <f>IF(K454="","",IF(K454&lt;=N(H454),"LOW","OK"))</f>
        <v/>
      </c>
    </row>
    <row r="455">
      <c r="E455" s="10" t="n"/>
      <c r="F455" s="10" t="n"/>
      <c r="I455">
        <f>IF(A455="","",SUMIFS(Purchases[Quantity],Purchases[ProductID],A455))</f>
        <v/>
      </c>
      <c r="J455">
        <f>IF(A455="","",SUMIFS(Sales[Quantity],Sales[ProductID],A455))</f>
        <v/>
      </c>
      <c r="K455">
        <f>IF(A455="","",N(G455)+N(I455)-N(J455))</f>
        <v/>
      </c>
      <c r="L455" s="10">
        <f>IF(K455="","",K455*N(F455))</f>
        <v/>
      </c>
      <c r="M455">
        <f>IF(K455="","",IF(K455&lt;=N(H455),"LOW","OK"))</f>
        <v/>
      </c>
    </row>
    <row r="456">
      <c r="E456" s="10" t="n"/>
      <c r="F456" s="10" t="n"/>
      <c r="I456">
        <f>IF(A456="","",SUMIFS(Purchases[Quantity],Purchases[ProductID],A456))</f>
        <v/>
      </c>
      <c r="J456">
        <f>IF(A456="","",SUMIFS(Sales[Quantity],Sales[ProductID],A456))</f>
        <v/>
      </c>
      <c r="K456">
        <f>IF(A456="","",N(G456)+N(I456)-N(J456))</f>
        <v/>
      </c>
      <c r="L456" s="10">
        <f>IF(K456="","",K456*N(F456))</f>
        <v/>
      </c>
      <c r="M456">
        <f>IF(K456="","",IF(K456&lt;=N(H456),"LOW","OK"))</f>
        <v/>
      </c>
    </row>
    <row r="457">
      <c r="E457" s="10" t="n"/>
      <c r="F457" s="10" t="n"/>
      <c r="I457">
        <f>IF(A457="","",SUMIFS(Purchases[Quantity],Purchases[ProductID],A457))</f>
        <v/>
      </c>
      <c r="J457">
        <f>IF(A457="","",SUMIFS(Sales[Quantity],Sales[ProductID],A457))</f>
        <v/>
      </c>
      <c r="K457">
        <f>IF(A457="","",N(G457)+N(I457)-N(J457))</f>
        <v/>
      </c>
      <c r="L457" s="10">
        <f>IF(K457="","",K457*N(F457))</f>
        <v/>
      </c>
      <c r="M457">
        <f>IF(K457="","",IF(K457&lt;=N(H457),"LOW","OK"))</f>
        <v/>
      </c>
    </row>
    <row r="458">
      <c r="E458" s="10" t="n"/>
      <c r="F458" s="10" t="n"/>
      <c r="I458">
        <f>IF(A458="","",SUMIFS(Purchases[Quantity],Purchases[ProductID],A458))</f>
        <v/>
      </c>
      <c r="J458">
        <f>IF(A458="","",SUMIFS(Sales[Quantity],Sales[ProductID],A458))</f>
        <v/>
      </c>
      <c r="K458">
        <f>IF(A458="","",N(G458)+N(I458)-N(J458))</f>
        <v/>
      </c>
      <c r="L458" s="10">
        <f>IF(K458="","",K458*N(F458))</f>
        <v/>
      </c>
      <c r="M458">
        <f>IF(K458="","",IF(K458&lt;=N(H458),"LOW","OK"))</f>
        <v/>
      </c>
    </row>
    <row r="459">
      <c r="E459" s="10" t="n"/>
      <c r="F459" s="10" t="n"/>
      <c r="I459">
        <f>IF(A459="","",SUMIFS(Purchases[Quantity],Purchases[ProductID],A459))</f>
        <v/>
      </c>
      <c r="J459">
        <f>IF(A459="","",SUMIFS(Sales[Quantity],Sales[ProductID],A459))</f>
        <v/>
      </c>
      <c r="K459">
        <f>IF(A459="","",N(G459)+N(I459)-N(J459))</f>
        <v/>
      </c>
      <c r="L459" s="10">
        <f>IF(K459="","",K459*N(F459))</f>
        <v/>
      </c>
      <c r="M459">
        <f>IF(K459="","",IF(K459&lt;=N(H459),"LOW","OK"))</f>
        <v/>
      </c>
    </row>
    <row r="460">
      <c r="E460" s="10" t="n"/>
      <c r="F460" s="10" t="n"/>
      <c r="I460">
        <f>IF(A460="","",SUMIFS(Purchases[Quantity],Purchases[ProductID],A460))</f>
        <v/>
      </c>
      <c r="J460">
        <f>IF(A460="","",SUMIFS(Sales[Quantity],Sales[ProductID],A460))</f>
        <v/>
      </c>
      <c r="K460">
        <f>IF(A460="","",N(G460)+N(I460)-N(J460))</f>
        <v/>
      </c>
      <c r="L460" s="10">
        <f>IF(K460="","",K460*N(F460))</f>
        <v/>
      </c>
      <c r="M460">
        <f>IF(K460="","",IF(K460&lt;=N(H460),"LOW","OK"))</f>
        <v/>
      </c>
    </row>
    <row r="461">
      <c r="E461" s="10" t="n"/>
      <c r="F461" s="10" t="n"/>
      <c r="I461">
        <f>IF(A461="","",SUMIFS(Purchases[Quantity],Purchases[ProductID],A461))</f>
        <v/>
      </c>
      <c r="J461">
        <f>IF(A461="","",SUMIFS(Sales[Quantity],Sales[ProductID],A461))</f>
        <v/>
      </c>
      <c r="K461">
        <f>IF(A461="","",N(G461)+N(I461)-N(J461))</f>
        <v/>
      </c>
      <c r="L461" s="10">
        <f>IF(K461="","",K461*N(F461))</f>
        <v/>
      </c>
      <c r="M461">
        <f>IF(K461="","",IF(K461&lt;=N(H461),"LOW","OK"))</f>
        <v/>
      </c>
    </row>
    <row r="462">
      <c r="E462" s="10" t="n"/>
      <c r="F462" s="10" t="n"/>
      <c r="I462">
        <f>IF(A462="","",SUMIFS(Purchases[Quantity],Purchases[ProductID],A462))</f>
        <v/>
      </c>
      <c r="J462">
        <f>IF(A462="","",SUMIFS(Sales[Quantity],Sales[ProductID],A462))</f>
        <v/>
      </c>
      <c r="K462">
        <f>IF(A462="","",N(G462)+N(I462)-N(J462))</f>
        <v/>
      </c>
      <c r="L462" s="10">
        <f>IF(K462="","",K462*N(F462))</f>
        <v/>
      </c>
      <c r="M462">
        <f>IF(K462="","",IF(K462&lt;=N(H462),"LOW","OK"))</f>
        <v/>
      </c>
    </row>
    <row r="463">
      <c r="E463" s="10" t="n"/>
      <c r="F463" s="10" t="n"/>
      <c r="I463">
        <f>IF(A463="","",SUMIFS(Purchases[Quantity],Purchases[ProductID],A463))</f>
        <v/>
      </c>
      <c r="J463">
        <f>IF(A463="","",SUMIFS(Sales[Quantity],Sales[ProductID],A463))</f>
        <v/>
      </c>
      <c r="K463">
        <f>IF(A463="","",N(G463)+N(I463)-N(J463))</f>
        <v/>
      </c>
      <c r="L463" s="10">
        <f>IF(K463="","",K463*N(F463))</f>
        <v/>
      </c>
      <c r="M463">
        <f>IF(K463="","",IF(K463&lt;=N(H463),"LOW","OK"))</f>
        <v/>
      </c>
    </row>
    <row r="464">
      <c r="E464" s="10" t="n"/>
      <c r="F464" s="10" t="n"/>
      <c r="I464">
        <f>IF(A464="","",SUMIFS(Purchases[Quantity],Purchases[ProductID],A464))</f>
        <v/>
      </c>
      <c r="J464">
        <f>IF(A464="","",SUMIFS(Sales[Quantity],Sales[ProductID],A464))</f>
        <v/>
      </c>
      <c r="K464">
        <f>IF(A464="","",N(G464)+N(I464)-N(J464))</f>
        <v/>
      </c>
      <c r="L464" s="10">
        <f>IF(K464="","",K464*N(F464))</f>
        <v/>
      </c>
      <c r="M464">
        <f>IF(K464="","",IF(K464&lt;=N(H464),"LOW","OK"))</f>
        <v/>
      </c>
    </row>
    <row r="465">
      <c r="E465" s="10" t="n"/>
      <c r="F465" s="10" t="n"/>
      <c r="I465">
        <f>IF(A465="","",SUMIFS(Purchases[Quantity],Purchases[ProductID],A465))</f>
        <v/>
      </c>
      <c r="J465">
        <f>IF(A465="","",SUMIFS(Sales[Quantity],Sales[ProductID],A465))</f>
        <v/>
      </c>
      <c r="K465">
        <f>IF(A465="","",N(G465)+N(I465)-N(J465))</f>
        <v/>
      </c>
      <c r="L465" s="10">
        <f>IF(K465="","",K465*N(F465))</f>
        <v/>
      </c>
      <c r="M465">
        <f>IF(K465="","",IF(K465&lt;=N(H465),"LOW","OK"))</f>
        <v/>
      </c>
    </row>
    <row r="466">
      <c r="E466" s="10" t="n"/>
      <c r="F466" s="10" t="n"/>
      <c r="I466">
        <f>IF(A466="","",SUMIFS(Purchases[Quantity],Purchases[ProductID],A466))</f>
        <v/>
      </c>
      <c r="J466">
        <f>IF(A466="","",SUMIFS(Sales[Quantity],Sales[ProductID],A466))</f>
        <v/>
      </c>
      <c r="K466">
        <f>IF(A466="","",N(G466)+N(I466)-N(J466))</f>
        <v/>
      </c>
      <c r="L466" s="10">
        <f>IF(K466="","",K466*N(F466))</f>
        <v/>
      </c>
      <c r="M466">
        <f>IF(K466="","",IF(K466&lt;=N(H466),"LOW","OK"))</f>
        <v/>
      </c>
    </row>
    <row r="467">
      <c r="E467" s="10" t="n"/>
      <c r="F467" s="10" t="n"/>
      <c r="I467">
        <f>IF(A467="","",SUMIFS(Purchases[Quantity],Purchases[ProductID],A467))</f>
        <v/>
      </c>
      <c r="J467">
        <f>IF(A467="","",SUMIFS(Sales[Quantity],Sales[ProductID],A467))</f>
        <v/>
      </c>
      <c r="K467">
        <f>IF(A467="","",N(G467)+N(I467)-N(J467))</f>
        <v/>
      </c>
      <c r="L467" s="10">
        <f>IF(K467="","",K467*N(F467))</f>
        <v/>
      </c>
      <c r="M467">
        <f>IF(K467="","",IF(K467&lt;=N(H467),"LOW","OK"))</f>
        <v/>
      </c>
    </row>
    <row r="468">
      <c r="E468" s="10" t="n"/>
      <c r="F468" s="10" t="n"/>
      <c r="I468">
        <f>IF(A468="","",SUMIFS(Purchases[Quantity],Purchases[ProductID],A468))</f>
        <v/>
      </c>
      <c r="J468">
        <f>IF(A468="","",SUMIFS(Sales[Quantity],Sales[ProductID],A468))</f>
        <v/>
      </c>
      <c r="K468">
        <f>IF(A468="","",N(G468)+N(I468)-N(J468))</f>
        <v/>
      </c>
      <c r="L468" s="10">
        <f>IF(K468="","",K468*N(F468))</f>
        <v/>
      </c>
      <c r="M468">
        <f>IF(K468="","",IF(K468&lt;=N(H468),"LOW","OK"))</f>
        <v/>
      </c>
    </row>
    <row r="469">
      <c r="E469" s="10" t="n"/>
      <c r="F469" s="10" t="n"/>
      <c r="I469">
        <f>IF(A469="","",SUMIFS(Purchases[Quantity],Purchases[ProductID],A469))</f>
        <v/>
      </c>
      <c r="J469">
        <f>IF(A469="","",SUMIFS(Sales[Quantity],Sales[ProductID],A469))</f>
        <v/>
      </c>
      <c r="K469">
        <f>IF(A469="","",N(G469)+N(I469)-N(J469))</f>
        <v/>
      </c>
      <c r="L469" s="10">
        <f>IF(K469="","",K469*N(F469))</f>
        <v/>
      </c>
      <c r="M469">
        <f>IF(K469="","",IF(K469&lt;=N(H469),"LOW","OK"))</f>
        <v/>
      </c>
    </row>
    <row r="470">
      <c r="E470" s="10" t="n"/>
      <c r="F470" s="10" t="n"/>
      <c r="I470">
        <f>IF(A470="","",SUMIFS(Purchases[Quantity],Purchases[ProductID],A470))</f>
        <v/>
      </c>
      <c r="J470">
        <f>IF(A470="","",SUMIFS(Sales[Quantity],Sales[ProductID],A470))</f>
        <v/>
      </c>
      <c r="K470">
        <f>IF(A470="","",N(G470)+N(I470)-N(J470))</f>
        <v/>
      </c>
      <c r="L470" s="10">
        <f>IF(K470="","",K470*N(F470))</f>
        <v/>
      </c>
      <c r="M470">
        <f>IF(K470="","",IF(K470&lt;=N(H470),"LOW","OK"))</f>
        <v/>
      </c>
    </row>
    <row r="471">
      <c r="E471" s="10" t="n"/>
      <c r="F471" s="10" t="n"/>
      <c r="I471">
        <f>IF(A471="","",SUMIFS(Purchases[Quantity],Purchases[ProductID],A471))</f>
        <v/>
      </c>
      <c r="J471">
        <f>IF(A471="","",SUMIFS(Sales[Quantity],Sales[ProductID],A471))</f>
        <v/>
      </c>
      <c r="K471">
        <f>IF(A471="","",N(G471)+N(I471)-N(J471))</f>
        <v/>
      </c>
      <c r="L471" s="10">
        <f>IF(K471="","",K471*N(F471))</f>
        <v/>
      </c>
      <c r="M471">
        <f>IF(K471="","",IF(K471&lt;=N(H471),"LOW","OK"))</f>
        <v/>
      </c>
    </row>
    <row r="472">
      <c r="E472" s="10" t="n"/>
      <c r="F472" s="10" t="n"/>
      <c r="I472">
        <f>IF(A472="","",SUMIFS(Purchases[Quantity],Purchases[ProductID],A472))</f>
        <v/>
      </c>
      <c r="J472">
        <f>IF(A472="","",SUMIFS(Sales[Quantity],Sales[ProductID],A472))</f>
        <v/>
      </c>
      <c r="K472">
        <f>IF(A472="","",N(G472)+N(I472)-N(J472))</f>
        <v/>
      </c>
      <c r="L472" s="10">
        <f>IF(K472="","",K472*N(F472))</f>
        <v/>
      </c>
      <c r="M472">
        <f>IF(K472="","",IF(K472&lt;=N(H472),"LOW","OK"))</f>
        <v/>
      </c>
    </row>
    <row r="473">
      <c r="E473" s="10" t="n"/>
      <c r="F473" s="10" t="n"/>
      <c r="I473">
        <f>IF(A473="","",SUMIFS(Purchases[Quantity],Purchases[ProductID],A473))</f>
        <v/>
      </c>
      <c r="J473">
        <f>IF(A473="","",SUMIFS(Sales[Quantity],Sales[ProductID],A473))</f>
        <v/>
      </c>
      <c r="K473">
        <f>IF(A473="","",N(G473)+N(I473)-N(J473))</f>
        <v/>
      </c>
      <c r="L473" s="10">
        <f>IF(K473="","",K473*N(F473))</f>
        <v/>
      </c>
      <c r="M473">
        <f>IF(K473="","",IF(K473&lt;=N(H473),"LOW","OK"))</f>
        <v/>
      </c>
    </row>
    <row r="474">
      <c r="E474" s="10" t="n"/>
      <c r="F474" s="10" t="n"/>
      <c r="I474">
        <f>IF(A474="","",SUMIFS(Purchases[Quantity],Purchases[ProductID],A474))</f>
        <v/>
      </c>
      <c r="J474">
        <f>IF(A474="","",SUMIFS(Sales[Quantity],Sales[ProductID],A474))</f>
        <v/>
      </c>
      <c r="K474">
        <f>IF(A474="","",N(G474)+N(I474)-N(J474))</f>
        <v/>
      </c>
      <c r="L474" s="10">
        <f>IF(K474="","",K474*N(F474))</f>
        <v/>
      </c>
      <c r="M474">
        <f>IF(K474="","",IF(K474&lt;=N(H474),"LOW","OK"))</f>
        <v/>
      </c>
    </row>
    <row r="475">
      <c r="E475" s="10" t="n"/>
      <c r="F475" s="10" t="n"/>
      <c r="I475">
        <f>IF(A475="","",SUMIFS(Purchases[Quantity],Purchases[ProductID],A475))</f>
        <v/>
      </c>
      <c r="J475">
        <f>IF(A475="","",SUMIFS(Sales[Quantity],Sales[ProductID],A475))</f>
        <v/>
      </c>
      <c r="K475">
        <f>IF(A475="","",N(G475)+N(I475)-N(J475))</f>
        <v/>
      </c>
      <c r="L475" s="10">
        <f>IF(K475="","",K475*N(F475))</f>
        <v/>
      </c>
      <c r="M475">
        <f>IF(K475="","",IF(K475&lt;=N(H475),"LOW","OK"))</f>
        <v/>
      </c>
    </row>
    <row r="476">
      <c r="E476" s="10" t="n"/>
      <c r="F476" s="10" t="n"/>
      <c r="I476">
        <f>IF(A476="","",SUMIFS(Purchases[Quantity],Purchases[ProductID],A476))</f>
        <v/>
      </c>
      <c r="J476">
        <f>IF(A476="","",SUMIFS(Sales[Quantity],Sales[ProductID],A476))</f>
        <v/>
      </c>
      <c r="K476">
        <f>IF(A476="","",N(G476)+N(I476)-N(J476))</f>
        <v/>
      </c>
      <c r="L476" s="10">
        <f>IF(K476="","",K476*N(F476))</f>
        <v/>
      </c>
      <c r="M476">
        <f>IF(K476="","",IF(K476&lt;=N(H476),"LOW","OK"))</f>
        <v/>
      </c>
    </row>
    <row r="477">
      <c r="E477" s="10" t="n"/>
      <c r="F477" s="10" t="n"/>
      <c r="I477">
        <f>IF(A477="","",SUMIFS(Purchases[Quantity],Purchases[ProductID],A477))</f>
        <v/>
      </c>
      <c r="J477">
        <f>IF(A477="","",SUMIFS(Sales[Quantity],Sales[ProductID],A477))</f>
        <v/>
      </c>
      <c r="K477">
        <f>IF(A477="","",N(G477)+N(I477)-N(J477))</f>
        <v/>
      </c>
      <c r="L477" s="10">
        <f>IF(K477="","",K477*N(F477))</f>
        <v/>
      </c>
      <c r="M477">
        <f>IF(K477="","",IF(K477&lt;=N(H477),"LOW","OK"))</f>
        <v/>
      </c>
    </row>
    <row r="478">
      <c r="E478" s="10" t="n"/>
      <c r="F478" s="10" t="n"/>
      <c r="I478">
        <f>IF(A478="","",SUMIFS(Purchases[Quantity],Purchases[ProductID],A478))</f>
        <v/>
      </c>
      <c r="J478">
        <f>IF(A478="","",SUMIFS(Sales[Quantity],Sales[ProductID],A478))</f>
        <v/>
      </c>
      <c r="K478">
        <f>IF(A478="","",N(G478)+N(I478)-N(J478))</f>
        <v/>
      </c>
      <c r="L478" s="10">
        <f>IF(K478="","",K478*N(F478))</f>
        <v/>
      </c>
      <c r="M478">
        <f>IF(K478="","",IF(K478&lt;=N(H478),"LOW","OK"))</f>
        <v/>
      </c>
    </row>
    <row r="479">
      <c r="E479" s="10" t="n"/>
      <c r="F479" s="10" t="n"/>
      <c r="I479">
        <f>IF(A479="","",SUMIFS(Purchases[Quantity],Purchases[ProductID],A479))</f>
        <v/>
      </c>
      <c r="J479">
        <f>IF(A479="","",SUMIFS(Sales[Quantity],Sales[ProductID],A479))</f>
        <v/>
      </c>
      <c r="K479">
        <f>IF(A479="","",N(G479)+N(I479)-N(J479))</f>
        <v/>
      </c>
      <c r="L479" s="10">
        <f>IF(K479="","",K479*N(F479))</f>
        <v/>
      </c>
      <c r="M479">
        <f>IF(K479="","",IF(K479&lt;=N(H479),"LOW","OK"))</f>
        <v/>
      </c>
    </row>
    <row r="480">
      <c r="E480" s="10" t="n"/>
      <c r="F480" s="10" t="n"/>
      <c r="I480">
        <f>IF(A480="","",SUMIFS(Purchases[Quantity],Purchases[ProductID],A480))</f>
        <v/>
      </c>
      <c r="J480">
        <f>IF(A480="","",SUMIFS(Sales[Quantity],Sales[ProductID],A480))</f>
        <v/>
      </c>
      <c r="K480">
        <f>IF(A480="","",N(G480)+N(I480)-N(J480))</f>
        <v/>
      </c>
      <c r="L480" s="10">
        <f>IF(K480="","",K480*N(F480))</f>
        <v/>
      </c>
      <c r="M480">
        <f>IF(K480="","",IF(K480&lt;=N(H480),"LOW","OK"))</f>
        <v/>
      </c>
    </row>
    <row r="481">
      <c r="E481" s="10" t="n"/>
      <c r="F481" s="10" t="n"/>
      <c r="I481">
        <f>IF(A481="","",SUMIFS(Purchases[Quantity],Purchases[ProductID],A481))</f>
        <v/>
      </c>
      <c r="J481">
        <f>IF(A481="","",SUMIFS(Sales[Quantity],Sales[ProductID],A481))</f>
        <v/>
      </c>
      <c r="K481">
        <f>IF(A481="","",N(G481)+N(I481)-N(J481))</f>
        <v/>
      </c>
      <c r="L481" s="10">
        <f>IF(K481="","",K481*N(F481))</f>
        <v/>
      </c>
      <c r="M481">
        <f>IF(K481="","",IF(K481&lt;=N(H481),"LOW","OK"))</f>
        <v/>
      </c>
    </row>
    <row r="482">
      <c r="E482" s="10" t="n"/>
      <c r="F482" s="10" t="n"/>
      <c r="I482">
        <f>IF(A482="","",SUMIFS(Purchases[Quantity],Purchases[ProductID],A482))</f>
        <v/>
      </c>
      <c r="J482">
        <f>IF(A482="","",SUMIFS(Sales[Quantity],Sales[ProductID],A482))</f>
        <v/>
      </c>
      <c r="K482">
        <f>IF(A482="","",N(G482)+N(I482)-N(J482))</f>
        <v/>
      </c>
      <c r="L482" s="10">
        <f>IF(K482="","",K482*N(F482))</f>
        <v/>
      </c>
      <c r="M482">
        <f>IF(K482="","",IF(K482&lt;=N(H482),"LOW","OK"))</f>
        <v/>
      </c>
    </row>
    <row r="483">
      <c r="E483" s="10" t="n"/>
      <c r="F483" s="10" t="n"/>
      <c r="I483">
        <f>IF(A483="","",SUMIFS(Purchases[Quantity],Purchases[ProductID],A483))</f>
        <v/>
      </c>
      <c r="J483">
        <f>IF(A483="","",SUMIFS(Sales[Quantity],Sales[ProductID],A483))</f>
        <v/>
      </c>
      <c r="K483">
        <f>IF(A483="","",N(G483)+N(I483)-N(J483))</f>
        <v/>
      </c>
      <c r="L483" s="10">
        <f>IF(K483="","",K483*N(F483))</f>
        <v/>
      </c>
      <c r="M483">
        <f>IF(K483="","",IF(K483&lt;=N(H483),"LOW","OK"))</f>
        <v/>
      </c>
    </row>
    <row r="484">
      <c r="E484" s="10" t="n"/>
      <c r="F484" s="10" t="n"/>
      <c r="I484">
        <f>IF(A484="","",SUMIFS(Purchases[Quantity],Purchases[ProductID],A484))</f>
        <v/>
      </c>
      <c r="J484">
        <f>IF(A484="","",SUMIFS(Sales[Quantity],Sales[ProductID],A484))</f>
        <v/>
      </c>
      <c r="K484">
        <f>IF(A484="","",N(G484)+N(I484)-N(J484))</f>
        <v/>
      </c>
      <c r="L484" s="10">
        <f>IF(K484="","",K484*N(F484))</f>
        <v/>
      </c>
      <c r="M484">
        <f>IF(K484="","",IF(K484&lt;=N(H484),"LOW","OK"))</f>
        <v/>
      </c>
    </row>
    <row r="485">
      <c r="E485" s="10" t="n"/>
      <c r="F485" s="10" t="n"/>
      <c r="I485">
        <f>IF(A485="","",SUMIFS(Purchases[Quantity],Purchases[ProductID],A485))</f>
        <v/>
      </c>
      <c r="J485">
        <f>IF(A485="","",SUMIFS(Sales[Quantity],Sales[ProductID],A485))</f>
        <v/>
      </c>
      <c r="K485">
        <f>IF(A485="","",N(G485)+N(I485)-N(J485))</f>
        <v/>
      </c>
      <c r="L485" s="10">
        <f>IF(K485="","",K485*N(F485))</f>
        <v/>
      </c>
      <c r="M485">
        <f>IF(K485="","",IF(K485&lt;=N(H485),"LOW","OK"))</f>
        <v/>
      </c>
    </row>
    <row r="486">
      <c r="E486" s="10" t="n"/>
      <c r="F486" s="10" t="n"/>
      <c r="I486">
        <f>IF(A486="","",SUMIFS(Purchases[Quantity],Purchases[ProductID],A486))</f>
        <v/>
      </c>
      <c r="J486">
        <f>IF(A486="","",SUMIFS(Sales[Quantity],Sales[ProductID],A486))</f>
        <v/>
      </c>
      <c r="K486">
        <f>IF(A486="","",N(G486)+N(I486)-N(J486))</f>
        <v/>
      </c>
      <c r="L486" s="10">
        <f>IF(K486="","",K486*N(F486))</f>
        <v/>
      </c>
      <c r="M486">
        <f>IF(K486="","",IF(K486&lt;=N(H486),"LOW","OK"))</f>
        <v/>
      </c>
    </row>
    <row r="487">
      <c r="E487" s="10" t="n"/>
      <c r="F487" s="10" t="n"/>
      <c r="I487">
        <f>IF(A487="","",SUMIFS(Purchases[Quantity],Purchases[ProductID],A487))</f>
        <v/>
      </c>
      <c r="J487">
        <f>IF(A487="","",SUMIFS(Sales[Quantity],Sales[ProductID],A487))</f>
        <v/>
      </c>
      <c r="K487">
        <f>IF(A487="","",N(G487)+N(I487)-N(J487))</f>
        <v/>
      </c>
      <c r="L487" s="10">
        <f>IF(K487="","",K487*N(F487))</f>
        <v/>
      </c>
      <c r="M487">
        <f>IF(K487="","",IF(K487&lt;=N(H487),"LOW","OK"))</f>
        <v/>
      </c>
    </row>
    <row r="488">
      <c r="E488" s="10" t="n"/>
      <c r="F488" s="10" t="n"/>
      <c r="I488">
        <f>IF(A488="","",SUMIFS(Purchases[Quantity],Purchases[ProductID],A488))</f>
        <v/>
      </c>
      <c r="J488">
        <f>IF(A488="","",SUMIFS(Sales[Quantity],Sales[ProductID],A488))</f>
        <v/>
      </c>
      <c r="K488">
        <f>IF(A488="","",N(G488)+N(I488)-N(J488))</f>
        <v/>
      </c>
      <c r="L488" s="10">
        <f>IF(K488="","",K488*N(F488))</f>
        <v/>
      </c>
      <c r="M488">
        <f>IF(K488="","",IF(K488&lt;=N(H488),"LOW","OK"))</f>
        <v/>
      </c>
    </row>
    <row r="489">
      <c r="E489" s="10" t="n"/>
      <c r="F489" s="10" t="n"/>
      <c r="I489">
        <f>IF(A489="","",SUMIFS(Purchases[Quantity],Purchases[ProductID],A489))</f>
        <v/>
      </c>
      <c r="J489">
        <f>IF(A489="","",SUMIFS(Sales[Quantity],Sales[ProductID],A489))</f>
        <v/>
      </c>
      <c r="K489">
        <f>IF(A489="","",N(G489)+N(I489)-N(J489))</f>
        <v/>
      </c>
      <c r="L489" s="10">
        <f>IF(K489="","",K489*N(F489))</f>
        <v/>
      </c>
      <c r="M489">
        <f>IF(K489="","",IF(K489&lt;=N(H489),"LOW","OK"))</f>
        <v/>
      </c>
    </row>
    <row r="490">
      <c r="E490" s="10" t="n"/>
      <c r="F490" s="10" t="n"/>
      <c r="I490">
        <f>IF(A490="","",SUMIFS(Purchases[Quantity],Purchases[ProductID],A490))</f>
        <v/>
      </c>
      <c r="J490">
        <f>IF(A490="","",SUMIFS(Sales[Quantity],Sales[ProductID],A490))</f>
        <v/>
      </c>
      <c r="K490">
        <f>IF(A490="","",N(G490)+N(I490)-N(J490))</f>
        <v/>
      </c>
      <c r="L490" s="10">
        <f>IF(K490="","",K490*N(F490))</f>
        <v/>
      </c>
      <c r="M490">
        <f>IF(K490="","",IF(K490&lt;=N(H490),"LOW","OK"))</f>
        <v/>
      </c>
    </row>
    <row r="491">
      <c r="E491" s="10" t="n"/>
      <c r="F491" s="10" t="n"/>
      <c r="I491">
        <f>IF(A491="","",SUMIFS(Purchases[Quantity],Purchases[ProductID],A491))</f>
        <v/>
      </c>
      <c r="J491">
        <f>IF(A491="","",SUMIFS(Sales[Quantity],Sales[ProductID],A491))</f>
        <v/>
      </c>
      <c r="K491">
        <f>IF(A491="","",N(G491)+N(I491)-N(J491))</f>
        <v/>
      </c>
      <c r="L491" s="10">
        <f>IF(K491="","",K491*N(F491))</f>
        <v/>
      </c>
      <c r="M491">
        <f>IF(K491="","",IF(K491&lt;=N(H491),"LOW","OK"))</f>
        <v/>
      </c>
    </row>
    <row r="492">
      <c r="E492" s="10" t="n"/>
      <c r="F492" s="10" t="n"/>
      <c r="I492">
        <f>IF(A492="","",SUMIFS(Purchases[Quantity],Purchases[ProductID],A492))</f>
        <v/>
      </c>
      <c r="J492">
        <f>IF(A492="","",SUMIFS(Sales[Quantity],Sales[ProductID],A492))</f>
        <v/>
      </c>
      <c r="K492">
        <f>IF(A492="","",N(G492)+N(I492)-N(J492))</f>
        <v/>
      </c>
      <c r="L492" s="10">
        <f>IF(K492="","",K492*N(F492))</f>
        <v/>
      </c>
      <c r="M492">
        <f>IF(K492="","",IF(K492&lt;=N(H492),"LOW","OK"))</f>
        <v/>
      </c>
    </row>
    <row r="493">
      <c r="E493" s="10" t="n"/>
      <c r="F493" s="10" t="n"/>
      <c r="I493">
        <f>IF(A493="","",SUMIFS(Purchases[Quantity],Purchases[ProductID],A493))</f>
        <v/>
      </c>
      <c r="J493">
        <f>IF(A493="","",SUMIFS(Sales[Quantity],Sales[ProductID],A493))</f>
        <v/>
      </c>
      <c r="K493">
        <f>IF(A493="","",N(G493)+N(I493)-N(J493))</f>
        <v/>
      </c>
      <c r="L493" s="10">
        <f>IF(K493="","",K493*N(F493))</f>
        <v/>
      </c>
      <c r="M493">
        <f>IF(K493="","",IF(K493&lt;=N(H493),"LOW","OK"))</f>
        <v/>
      </c>
    </row>
    <row r="494">
      <c r="E494" s="10" t="n"/>
      <c r="F494" s="10" t="n"/>
      <c r="I494">
        <f>IF(A494="","",SUMIFS(Purchases[Quantity],Purchases[ProductID],A494))</f>
        <v/>
      </c>
      <c r="J494">
        <f>IF(A494="","",SUMIFS(Sales[Quantity],Sales[ProductID],A494))</f>
        <v/>
      </c>
      <c r="K494">
        <f>IF(A494="","",N(G494)+N(I494)-N(J494))</f>
        <v/>
      </c>
      <c r="L494" s="10">
        <f>IF(K494="","",K494*N(F494))</f>
        <v/>
      </c>
      <c r="M494">
        <f>IF(K494="","",IF(K494&lt;=N(H494),"LOW","OK"))</f>
        <v/>
      </c>
    </row>
    <row r="495">
      <c r="E495" s="10" t="n"/>
      <c r="F495" s="10" t="n"/>
      <c r="I495">
        <f>IF(A495="","",SUMIFS(Purchases[Quantity],Purchases[ProductID],A495))</f>
        <v/>
      </c>
      <c r="J495">
        <f>IF(A495="","",SUMIFS(Sales[Quantity],Sales[ProductID],A495))</f>
        <v/>
      </c>
      <c r="K495">
        <f>IF(A495="","",N(G495)+N(I495)-N(J495))</f>
        <v/>
      </c>
      <c r="L495" s="10">
        <f>IF(K495="","",K495*N(F495))</f>
        <v/>
      </c>
      <c r="M495">
        <f>IF(K495="","",IF(K495&lt;=N(H495),"LOW","OK"))</f>
        <v/>
      </c>
    </row>
    <row r="496">
      <c r="E496" s="10" t="n"/>
      <c r="F496" s="10" t="n"/>
      <c r="I496">
        <f>IF(A496="","",SUMIFS(Purchases[Quantity],Purchases[ProductID],A496))</f>
        <v/>
      </c>
      <c r="J496">
        <f>IF(A496="","",SUMIFS(Sales[Quantity],Sales[ProductID],A496))</f>
        <v/>
      </c>
      <c r="K496">
        <f>IF(A496="","",N(G496)+N(I496)-N(J496))</f>
        <v/>
      </c>
      <c r="L496" s="10">
        <f>IF(K496="","",K496*N(F496))</f>
        <v/>
      </c>
      <c r="M496">
        <f>IF(K496="","",IF(K496&lt;=N(H496),"LOW","OK"))</f>
        <v/>
      </c>
    </row>
    <row r="497">
      <c r="E497" s="10" t="n"/>
      <c r="F497" s="10" t="n"/>
      <c r="I497">
        <f>IF(A497="","",SUMIFS(Purchases[Quantity],Purchases[ProductID],A497))</f>
        <v/>
      </c>
      <c r="J497">
        <f>IF(A497="","",SUMIFS(Sales[Quantity],Sales[ProductID],A497))</f>
        <v/>
      </c>
      <c r="K497">
        <f>IF(A497="","",N(G497)+N(I497)-N(J497))</f>
        <v/>
      </c>
      <c r="L497" s="10">
        <f>IF(K497="","",K497*N(F497))</f>
        <v/>
      </c>
      <c r="M497">
        <f>IF(K497="","",IF(K497&lt;=N(H497),"LOW","OK"))</f>
        <v/>
      </c>
    </row>
    <row r="498">
      <c r="E498" s="10" t="n"/>
      <c r="F498" s="10" t="n"/>
      <c r="I498">
        <f>IF(A498="","",SUMIFS(Purchases[Quantity],Purchases[ProductID],A498))</f>
        <v/>
      </c>
      <c r="J498">
        <f>IF(A498="","",SUMIFS(Sales[Quantity],Sales[ProductID],A498))</f>
        <v/>
      </c>
      <c r="K498">
        <f>IF(A498="","",N(G498)+N(I498)-N(J498))</f>
        <v/>
      </c>
      <c r="L498" s="10">
        <f>IF(K498="","",K498*N(F498))</f>
        <v/>
      </c>
      <c r="M498">
        <f>IF(K498="","",IF(K498&lt;=N(H498),"LOW","OK"))</f>
        <v/>
      </c>
    </row>
    <row r="499">
      <c r="E499" s="10" t="n"/>
      <c r="F499" s="10" t="n"/>
      <c r="I499">
        <f>IF(A499="","",SUMIFS(Purchases[Quantity],Purchases[ProductID],A499))</f>
        <v/>
      </c>
      <c r="J499">
        <f>IF(A499="","",SUMIFS(Sales[Quantity],Sales[ProductID],A499))</f>
        <v/>
      </c>
      <c r="K499">
        <f>IF(A499="","",N(G499)+N(I499)-N(J499))</f>
        <v/>
      </c>
      <c r="L499" s="10">
        <f>IF(K499="","",K499*N(F499))</f>
        <v/>
      </c>
      <c r="M499">
        <f>IF(K499="","",IF(K499&lt;=N(H499),"LOW","OK"))</f>
        <v/>
      </c>
    </row>
    <row r="500">
      <c r="E500" s="10" t="n"/>
      <c r="F500" s="10" t="n"/>
      <c r="I500">
        <f>IF(A500="","",SUMIFS(Purchases[Quantity],Purchases[ProductID],A500))</f>
        <v/>
      </c>
      <c r="J500">
        <f>IF(A500="","",SUMIFS(Sales[Quantity],Sales[ProductID],A500))</f>
        <v/>
      </c>
      <c r="K500">
        <f>IF(A500="","",N(G500)+N(I500)-N(J500))</f>
        <v/>
      </c>
      <c r="L500" s="10">
        <f>IF(K500="","",K500*N(F500))</f>
        <v/>
      </c>
      <c r="M500">
        <f>IF(K500="","",IF(K500&lt;=N(H500),"LOW","OK"))</f>
        <v/>
      </c>
    </row>
    <row r="501">
      <c r="E501" s="10" t="n"/>
      <c r="F501" s="10" t="n"/>
      <c r="I501">
        <f>IF(A501="","",SUMIFS(Purchases[Quantity],Purchases[ProductID],A501))</f>
        <v/>
      </c>
      <c r="J501">
        <f>IF(A501="","",SUMIFS(Sales[Quantity],Sales[ProductID],A501))</f>
        <v/>
      </c>
      <c r="K501">
        <f>IF(A501="","",N(G501)+N(I501)-N(J501))</f>
        <v/>
      </c>
      <c r="L501" s="10">
        <f>IF(K501="","",K501*N(F501))</f>
        <v/>
      </c>
      <c r="M501">
        <f>IF(K501="","",IF(K501&lt;=N(H501),"LOW","OK"))</f>
        <v/>
      </c>
    </row>
    <row r="502">
      <c r="E502" s="10" t="n"/>
      <c r="F502" s="10" t="n"/>
      <c r="I502">
        <f>IF(A502="","",SUMIFS(Purchases[Quantity],Purchases[ProductID],A502))</f>
        <v/>
      </c>
      <c r="J502">
        <f>IF(A502="","",SUMIFS(Sales[Quantity],Sales[ProductID],A502))</f>
        <v/>
      </c>
      <c r="K502">
        <f>IF(A502="","",N(G502)+N(I502)-N(J502))</f>
        <v/>
      </c>
      <c r="L502" s="10">
        <f>IF(K502="","",K502*N(F502))</f>
        <v/>
      </c>
      <c r="M502">
        <f>IF(K502="","",IF(K502&lt;=N(H502),"LOW","OK"))</f>
        <v/>
      </c>
    </row>
    <row r="503">
      <c r="E503" s="10" t="n"/>
      <c r="F503" s="10" t="n"/>
      <c r="I503">
        <f>IF(A503="","",SUMIFS(Purchases[Quantity],Purchases[ProductID],A503))</f>
        <v/>
      </c>
      <c r="J503">
        <f>IF(A503="","",SUMIFS(Sales[Quantity],Sales[ProductID],A503))</f>
        <v/>
      </c>
      <c r="K503">
        <f>IF(A503="","",N(G503)+N(I503)-N(J503))</f>
        <v/>
      </c>
      <c r="L503" s="10">
        <f>IF(K503="","",K503*N(F503))</f>
        <v/>
      </c>
      <c r="M503">
        <f>IF(K503="","",IF(K503&lt;=N(H503),"LOW","OK"))</f>
        <v/>
      </c>
    </row>
    <row r="504">
      <c r="E504" s="10" t="n"/>
      <c r="F504" s="10" t="n"/>
      <c r="I504">
        <f>IF(A504="","",SUMIFS(Purchases[Quantity],Purchases[ProductID],A504))</f>
        <v/>
      </c>
      <c r="J504">
        <f>IF(A504="","",SUMIFS(Sales[Quantity],Sales[ProductID],A504))</f>
        <v/>
      </c>
      <c r="K504">
        <f>IF(A504="","",N(G504)+N(I504)-N(J504))</f>
        <v/>
      </c>
      <c r="L504" s="10">
        <f>IF(K504="","",K504*N(F504))</f>
        <v/>
      </c>
      <c r="M504">
        <f>IF(K504="","",IF(K504&lt;=N(H504),"LOW","OK"))</f>
        <v/>
      </c>
    </row>
    <row r="505">
      <c r="E505" s="10" t="n"/>
      <c r="F505" s="10" t="n"/>
      <c r="I505">
        <f>IF(A505="","",SUMIFS(Purchases[Quantity],Purchases[ProductID],A505))</f>
        <v/>
      </c>
      <c r="J505">
        <f>IF(A505="","",SUMIFS(Sales[Quantity],Sales[ProductID],A505))</f>
        <v/>
      </c>
      <c r="K505">
        <f>IF(A505="","",N(G505)+N(I505)-N(J505))</f>
        <v/>
      </c>
      <c r="L505" s="10">
        <f>IF(K505="","",K505*N(F505))</f>
        <v/>
      </c>
      <c r="M505">
        <f>IF(K505="","",IF(K505&lt;=N(H505),"LOW","OK"))</f>
        <v/>
      </c>
    </row>
    <row r="506">
      <c r="E506" s="10" t="n"/>
      <c r="F506" s="10" t="n"/>
      <c r="I506">
        <f>IF(A506="","",SUMIFS(Purchases[Quantity],Purchases[ProductID],A506))</f>
        <v/>
      </c>
      <c r="J506">
        <f>IF(A506="","",SUMIFS(Sales[Quantity],Sales[ProductID],A506))</f>
        <v/>
      </c>
      <c r="K506">
        <f>IF(A506="","",N(G506)+N(I506)-N(J506))</f>
        <v/>
      </c>
      <c r="L506" s="10">
        <f>IF(K506="","",K506*N(F506))</f>
        <v/>
      </c>
      <c r="M506">
        <f>IF(K506="","",IF(K506&lt;=N(H506),"LOW","OK"))</f>
        <v/>
      </c>
    </row>
    <row r="507">
      <c r="E507" s="10" t="n"/>
      <c r="F507" s="10" t="n"/>
      <c r="I507">
        <f>IF(A507="","",SUMIFS(Purchases[Quantity],Purchases[ProductID],A507))</f>
        <v/>
      </c>
      <c r="J507">
        <f>IF(A507="","",SUMIFS(Sales[Quantity],Sales[ProductID],A507))</f>
        <v/>
      </c>
      <c r="K507">
        <f>IF(A507="","",N(G507)+N(I507)-N(J507))</f>
        <v/>
      </c>
      <c r="L507" s="10">
        <f>IF(K507="","",K507*N(F507))</f>
        <v/>
      </c>
      <c r="M507">
        <f>IF(K507="","",IF(K507&lt;=N(H507),"LOW","OK"))</f>
        <v/>
      </c>
    </row>
    <row r="508">
      <c r="E508" s="10" t="n"/>
      <c r="F508" s="10" t="n"/>
      <c r="I508">
        <f>IF(A508="","",SUMIFS(Purchases[Quantity],Purchases[ProductID],A508))</f>
        <v/>
      </c>
      <c r="J508">
        <f>IF(A508="","",SUMIFS(Sales[Quantity],Sales[ProductID],A508))</f>
        <v/>
      </c>
      <c r="K508">
        <f>IF(A508="","",N(G508)+N(I508)-N(J508))</f>
        <v/>
      </c>
      <c r="L508" s="10">
        <f>IF(K508="","",K508*N(F508))</f>
        <v/>
      </c>
      <c r="M508">
        <f>IF(K508="","",IF(K508&lt;=N(H508),"LOW","OK"))</f>
        <v/>
      </c>
    </row>
    <row r="509">
      <c r="E509" s="10" t="n"/>
      <c r="F509" s="10" t="n"/>
      <c r="I509">
        <f>IF(A509="","",SUMIFS(Purchases[Quantity],Purchases[ProductID],A509))</f>
        <v/>
      </c>
      <c r="J509">
        <f>IF(A509="","",SUMIFS(Sales[Quantity],Sales[ProductID],A509))</f>
        <v/>
      </c>
      <c r="K509">
        <f>IF(A509="","",N(G509)+N(I509)-N(J509))</f>
        <v/>
      </c>
      <c r="L509" s="10">
        <f>IF(K509="","",K509*N(F509))</f>
        <v/>
      </c>
      <c r="M509">
        <f>IF(K509="","",IF(K509&lt;=N(H509),"LOW","OK"))</f>
        <v/>
      </c>
    </row>
    <row r="510">
      <c r="E510" s="10" t="n"/>
      <c r="F510" s="10" t="n"/>
      <c r="I510">
        <f>IF(A510="","",SUMIFS(Purchases[Quantity],Purchases[ProductID],A510))</f>
        <v/>
      </c>
      <c r="J510">
        <f>IF(A510="","",SUMIFS(Sales[Quantity],Sales[ProductID],A510))</f>
        <v/>
      </c>
      <c r="K510">
        <f>IF(A510="","",N(G510)+N(I510)-N(J510))</f>
        <v/>
      </c>
      <c r="L510" s="10">
        <f>IF(K510="","",K510*N(F510))</f>
        <v/>
      </c>
      <c r="M510">
        <f>IF(K510="","",IF(K510&lt;=N(H510),"LOW","OK"))</f>
        <v/>
      </c>
    </row>
    <row r="511">
      <c r="E511" s="10" t="n"/>
      <c r="F511" s="10" t="n"/>
      <c r="I511">
        <f>IF(A511="","",SUMIFS(Purchases[Quantity],Purchases[ProductID],A511))</f>
        <v/>
      </c>
      <c r="J511">
        <f>IF(A511="","",SUMIFS(Sales[Quantity],Sales[ProductID],A511))</f>
        <v/>
      </c>
      <c r="K511">
        <f>IF(A511="","",N(G511)+N(I511)-N(J511))</f>
        <v/>
      </c>
      <c r="L511" s="10">
        <f>IF(K511="","",K511*N(F511))</f>
        <v/>
      </c>
      <c r="M511">
        <f>IF(K511="","",IF(K511&lt;=N(H511),"LOW","OK"))</f>
        <v/>
      </c>
    </row>
    <row r="512">
      <c r="E512" s="10" t="n"/>
      <c r="F512" s="10" t="n"/>
      <c r="I512">
        <f>IF(A512="","",SUMIFS(Purchases[Quantity],Purchases[ProductID],A512))</f>
        <v/>
      </c>
      <c r="J512">
        <f>IF(A512="","",SUMIFS(Sales[Quantity],Sales[ProductID],A512))</f>
        <v/>
      </c>
      <c r="K512">
        <f>IF(A512="","",N(G512)+N(I512)-N(J512))</f>
        <v/>
      </c>
      <c r="L512" s="10">
        <f>IF(K512="","",K512*N(F512))</f>
        <v/>
      </c>
      <c r="M512">
        <f>IF(K512="","",IF(K512&lt;=N(H512),"LOW","OK"))</f>
        <v/>
      </c>
    </row>
    <row r="513">
      <c r="E513" s="10" t="n"/>
      <c r="F513" s="10" t="n"/>
      <c r="I513">
        <f>IF(A513="","",SUMIFS(Purchases[Quantity],Purchases[ProductID],A513))</f>
        <v/>
      </c>
      <c r="J513">
        <f>IF(A513="","",SUMIFS(Sales[Quantity],Sales[ProductID],A513))</f>
        <v/>
      </c>
      <c r="K513">
        <f>IF(A513="","",N(G513)+N(I513)-N(J513))</f>
        <v/>
      </c>
      <c r="L513" s="10">
        <f>IF(K513="","",K513*N(F513))</f>
        <v/>
      </c>
      <c r="M513">
        <f>IF(K513="","",IF(K513&lt;=N(H513),"LOW","OK"))</f>
        <v/>
      </c>
    </row>
    <row r="514">
      <c r="E514" s="10" t="n"/>
      <c r="F514" s="10" t="n"/>
      <c r="I514">
        <f>IF(A514="","",SUMIFS(Purchases[Quantity],Purchases[ProductID],A514))</f>
        <v/>
      </c>
      <c r="J514">
        <f>IF(A514="","",SUMIFS(Sales[Quantity],Sales[ProductID],A514))</f>
        <v/>
      </c>
      <c r="K514">
        <f>IF(A514="","",N(G514)+N(I514)-N(J514))</f>
        <v/>
      </c>
      <c r="L514" s="10">
        <f>IF(K514="","",K514*N(F514))</f>
        <v/>
      </c>
      <c r="M514">
        <f>IF(K514="","",IF(K514&lt;=N(H514),"LOW","OK"))</f>
        <v/>
      </c>
    </row>
    <row r="515">
      <c r="E515" s="10" t="n"/>
      <c r="F515" s="10" t="n"/>
      <c r="I515">
        <f>IF(A515="","",SUMIFS(Purchases[Quantity],Purchases[ProductID],A515))</f>
        <v/>
      </c>
      <c r="J515">
        <f>IF(A515="","",SUMIFS(Sales[Quantity],Sales[ProductID],A515))</f>
        <v/>
      </c>
      <c r="K515">
        <f>IF(A515="","",N(G515)+N(I515)-N(J515))</f>
        <v/>
      </c>
      <c r="L515" s="10">
        <f>IF(K515="","",K515*N(F515))</f>
        <v/>
      </c>
      <c r="M515">
        <f>IF(K515="","",IF(K515&lt;=N(H515),"LOW","OK"))</f>
        <v/>
      </c>
    </row>
    <row r="516">
      <c r="E516" s="10" t="n"/>
      <c r="F516" s="10" t="n"/>
      <c r="I516">
        <f>IF(A516="","",SUMIFS(Purchases[Quantity],Purchases[ProductID],A516))</f>
        <v/>
      </c>
      <c r="J516">
        <f>IF(A516="","",SUMIFS(Sales[Quantity],Sales[ProductID],A516))</f>
        <v/>
      </c>
      <c r="K516">
        <f>IF(A516="","",N(G516)+N(I516)-N(J516))</f>
        <v/>
      </c>
      <c r="L516" s="10">
        <f>IF(K516="","",K516*N(F516))</f>
        <v/>
      </c>
      <c r="M516">
        <f>IF(K516="","",IF(K516&lt;=N(H516),"LOW","OK"))</f>
        <v/>
      </c>
    </row>
    <row r="517">
      <c r="E517" s="10" t="n"/>
      <c r="F517" s="10" t="n"/>
      <c r="I517">
        <f>IF(A517="","",SUMIFS(Purchases[Quantity],Purchases[ProductID],A517))</f>
        <v/>
      </c>
      <c r="J517">
        <f>IF(A517="","",SUMIFS(Sales[Quantity],Sales[ProductID],A517))</f>
        <v/>
      </c>
      <c r="K517">
        <f>IF(A517="","",N(G517)+N(I517)-N(J517))</f>
        <v/>
      </c>
      <c r="L517" s="10">
        <f>IF(K517="","",K517*N(F517))</f>
        <v/>
      </c>
      <c r="M517">
        <f>IF(K517="","",IF(K517&lt;=N(H517),"LOW","OK"))</f>
        <v/>
      </c>
    </row>
    <row r="518">
      <c r="E518" s="10" t="n"/>
      <c r="F518" s="10" t="n"/>
      <c r="I518">
        <f>IF(A518="","",SUMIFS(Purchases[Quantity],Purchases[ProductID],A518))</f>
        <v/>
      </c>
      <c r="J518">
        <f>IF(A518="","",SUMIFS(Sales[Quantity],Sales[ProductID],A518))</f>
        <v/>
      </c>
      <c r="K518">
        <f>IF(A518="","",N(G518)+N(I518)-N(J518))</f>
        <v/>
      </c>
      <c r="L518" s="10">
        <f>IF(K518="","",K518*N(F518))</f>
        <v/>
      </c>
      <c r="M518">
        <f>IF(K518="","",IF(K518&lt;=N(H518),"LOW","OK"))</f>
        <v/>
      </c>
    </row>
    <row r="519">
      <c r="E519" s="10" t="n"/>
      <c r="F519" s="10" t="n"/>
      <c r="I519">
        <f>IF(A519="","",SUMIFS(Purchases[Quantity],Purchases[ProductID],A519))</f>
        <v/>
      </c>
      <c r="J519">
        <f>IF(A519="","",SUMIFS(Sales[Quantity],Sales[ProductID],A519))</f>
        <v/>
      </c>
      <c r="K519">
        <f>IF(A519="","",N(G519)+N(I519)-N(J519))</f>
        <v/>
      </c>
      <c r="L519" s="10">
        <f>IF(K519="","",K519*N(F519))</f>
        <v/>
      </c>
      <c r="M519">
        <f>IF(K519="","",IF(K519&lt;=N(H519),"LOW","OK"))</f>
        <v/>
      </c>
    </row>
    <row r="520">
      <c r="E520" s="10" t="n"/>
      <c r="F520" s="10" t="n"/>
      <c r="I520">
        <f>IF(A520="","",SUMIFS(Purchases[Quantity],Purchases[ProductID],A520))</f>
        <v/>
      </c>
      <c r="J520">
        <f>IF(A520="","",SUMIFS(Sales[Quantity],Sales[ProductID],A520))</f>
        <v/>
      </c>
      <c r="K520">
        <f>IF(A520="","",N(G520)+N(I520)-N(J520))</f>
        <v/>
      </c>
      <c r="L520" s="10">
        <f>IF(K520="","",K520*N(F520))</f>
        <v/>
      </c>
      <c r="M520">
        <f>IF(K520="","",IF(K520&lt;=N(H520),"LOW","OK"))</f>
        <v/>
      </c>
    </row>
    <row r="521">
      <c r="E521" s="10" t="n"/>
      <c r="F521" s="10" t="n"/>
      <c r="I521">
        <f>IF(A521="","",SUMIFS(Purchases[Quantity],Purchases[ProductID],A521))</f>
        <v/>
      </c>
      <c r="J521">
        <f>IF(A521="","",SUMIFS(Sales[Quantity],Sales[ProductID],A521))</f>
        <v/>
      </c>
      <c r="K521">
        <f>IF(A521="","",N(G521)+N(I521)-N(J521))</f>
        <v/>
      </c>
      <c r="L521" s="10">
        <f>IF(K521="","",K521*N(F521))</f>
        <v/>
      </c>
      <c r="M521">
        <f>IF(K521="","",IF(K521&lt;=N(H521),"LOW","OK"))</f>
        <v/>
      </c>
    </row>
    <row r="522">
      <c r="E522" s="10" t="n"/>
      <c r="F522" s="10" t="n"/>
      <c r="I522">
        <f>IF(A522="","",SUMIFS(Purchases[Quantity],Purchases[ProductID],A522))</f>
        <v/>
      </c>
      <c r="J522">
        <f>IF(A522="","",SUMIFS(Sales[Quantity],Sales[ProductID],A522))</f>
        <v/>
      </c>
      <c r="K522">
        <f>IF(A522="","",N(G522)+N(I522)-N(J522))</f>
        <v/>
      </c>
      <c r="L522" s="10">
        <f>IF(K522="","",K522*N(F522))</f>
        <v/>
      </c>
      <c r="M522">
        <f>IF(K522="","",IF(K522&lt;=N(H522),"LOW","OK"))</f>
        <v/>
      </c>
    </row>
    <row r="523">
      <c r="E523" s="10" t="n"/>
      <c r="F523" s="10" t="n"/>
      <c r="I523">
        <f>IF(A523="","",SUMIFS(Purchases[Quantity],Purchases[ProductID],A523))</f>
        <v/>
      </c>
      <c r="J523">
        <f>IF(A523="","",SUMIFS(Sales[Quantity],Sales[ProductID],A523))</f>
        <v/>
      </c>
      <c r="K523">
        <f>IF(A523="","",N(G523)+N(I523)-N(J523))</f>
        <v/>
      </c>
      <c r="L523" s="10">
        <f>IF(K523="","",K523*N(F523))</f>
        <v/>
      </c>
      <c r="M523">
        <f>IF(K523="","",IF(K523&lt;=N(H523),"LOW","OK"))</f>
        <v/>
      </c>
    </row>
    <row r="524">
      <c r="E524" s="10" t="n"/>
      <c r="F524" s="10" t="n"/>
      <c r="I524">
        <f>IF(A524="","",SUMIFS(Purchases[Quantity],Purchases[ProductID],A524))</f>
        <v/>
      </c>
      <c r="J524">
        <f>IF(A524="","",SUMIFS(Sales[Quantity],Sales[ProductID],A524))</f>
        <v/>
      </c>
      <c r="K524">
        <f>IF(A524="","",N(G524)+N(I524)-N(J524))</f>
        <v/>
      </c>
      <c r="L524" s="10">
        <f>IF(K524="","",K524*N(F524))</f>
        <v/>
      </c>
      <c r="M524">
        <f>IF(K524="","",IF(K524&lt;=N(H524),"LOW","OK"))</f>
        <v/>
      </c>
    </row>
    <row r="525">
      <c r="E525" s="10" t="n"/>
      <c r="F525" s="10" t="n"/>
      <c r="I525">
        <f>IF(A525="","",SUMIFS(Purchases[Quantity],Purchases[ProductID],A525))</f>
        <v/>
      </c>
      <c r="J525">
        <f>IF(A525="","",SUMIFS(Sales[Quantity],Sales[ProductID],A525))</f>
        <v/>
      </c>
      <c r="K525">
        <f>IF(A525="","",N(G525)+N(I525)-N(J525))</f>
        <v/>
      </c>
      <c r="L525" s="10">
        <f>IF(K525="","",K525*N(F525))</f>
        <v/>
      </c>
      <c r="M525">
        <f>IF(K525="","",IF(K525&lt;=N(H525),"LOW","OK"))</f>
        <v/>
      </c>
    </row>
    <row r="526">
      <c r="E526" s="10" t="n"/>
      <c r="F526" s="10" t="n"/>
      <c r="I526">
        <f>IF(A526="","",SUMIFS(Purchases[Quantity],Purchases[ProductID],A526))</f>
        <v/>
      </c>
      <c r="J526">
        <f>IF(A526="","",SUMIFS(Sales[Quantity],Sales[ProductID],A526))</f>
        <v/>
      </c>
      <c r="K526">
        <f>IF(A526="","",N(G526)+N(I526)-N(J526))</f>
        <v/>
      </c>
      <c r="L526" s="10">
        <f>IF(K526="","",K526*N(F526))</f>
        <v/>
      </c>
      <c r="M526">
        <f>IF(K526="","",IF(K526&lt;=N(H526),"LOW","OK"))</f>
        <v/>
      </c>
    </row>
    <row r="527">
      <c r="E527" s="10" t="n"/>
      <c r="F527" s="10" t="n"/>
      <c r="I527">
        <f>IF(A527="","",SUMIFS(Purchases[Quantity],Purchases[ProductID],A527))</f>
        <v/>
      </c>
      <c r="J527">
        <f>IF(A527="","",SUMIFS(Sales[Quantity],Sales[ProductID],A527))</f>
        <v/>
      </c>
      <c r="K527">
        <f>IF(A527="","",N(G527)+N(I527)-N(J527))</f>
        <v/>
      </c>
      <c r="L527" s="10">
        <f>IF(K527="","",K527*N(F527))</f>
        <v/>
      </c>
      <c r="M527">
        <f>IF(K527="","",IF(K527&lt;=N(H527),"LOW","OK"))</f>
        <v/>
      </c>
    </row>
    <row r="528">
      <c r="E528" s="10" t="n"/>
      <c r="F528" s="10" t="n"/>
      <c r="I528">
        <f>IF(A528="","",SUMIFS(Purchases[Quantity],Purchases[ProductID],A528))</f>
        <v/>
      </c>
      <c r="J528">
        <f>IF(A528="","",SUMIFS(Sales[Quantity],Sales[ProductID],A528))</f>
        <v/>
      </c>
      <c r="K528">
        <f>IF(A528="","",N(G528)+N(I528)-N(J528))</f>
        <v/>
      </c>
      <c r="L528" s="10">
        <f>IF(K528="","",K528*N(F528))</f>
        <v/>
      </c>
      <c r="M528">
        <f>IF(K528="","",IF(K528&lt;=N(H528),"LOW","OK"))</f>
        <v/>
      </c>
    </row>
    <row r="529">
      <c r="E529" s="10" t="n"/>
      <c r="F529" s="10" t="n"/>
      <c r="I529">
        <f>IF(A529="","",SUMIFS(Purchases[Quantity],Purchases[ProductID],A529))</f>
        <v/>
      </c>
      <c r="J529">
        <f>IF(A529="","",SUMIFS(Sales[Quantity],Sales[ProductID],A529))</f>
        <v/>
      </c>
      <c r="K529">
        <f>IF(A529="","",N(G529)+N(I529)-N(J529))</f>
        <v/>
      </c>
      <c r="L529" s="10">
        <f>IF(K529="","",K529*N(F529))</f>
        <v/>
      </c>
      <c r="M529">
        <f>IF(K529="","",IF(K529&lt;=N(H529),"LOW","OK"))</f>
        <v/>
      </c>
    </row>
    <row r="530">
      <c r="E530" s="10" t="n"/>
      <c r="F530" s="10" t="n"/>
      <c r="I530">
        <f>IF(A530="","",SUMIFS(Purchases[Quantity],Purchases[ProductID],A530))</f>
        <v/>
      </c>
      <c r="J530">
        <f>IF(A530="","",SUMIFS(Sales[Quantity],Sales[ProductID],A530))</f>
        <v/>
      </c>
      <c r="K530">
        <f>IF(A530="","",N(G530)+N(I530)-N(J530))</f>
        <v/>
      </c>
      <c r="L530" s="10">
        <f>IF(K530="","",K530*N(F530))</f>
        <v/>
      </c>
      <c r="M530">
        <f>IF(K530="","",IF(K530&lt;=N(H530),"LOW","OK"))</f>
        <v/>
      </c>
    </row>
    <row r="531">
      <c r="E531" s="10" t="n"/>
      <c r="F531" s="10" t="n"/>
      <c r="I531">
        <f>IF(A531="","",SUMIFS(Purchases[Quantity],Purchases[ProductID],A531))</f>
        <v/>
      </c>
      <c r="J531">
        <f>IF(A531="","",SUMIFS(Sales[Quantity],Sales[ProductID],A531))</f>
        <v/>
      </c>
      <c r="K531">
        <f>IF(A531="","",N(G531)+N(I531)-N(J531))</f>
        <v/>
      </c>
      <c r="L531" s="10">
        <f>IF(K531="","",K531*N(F531))</f>
        <v/>
      </c>
      <c r="M531">
        <f>IF(K531="","",IF(K531&lt;=N(H531),"LOW","OK"))</f>
        <v/>
      </c>
    </row>
    <row r="532">
      <c r="E532" s="10" t="n"/>
      <c r="F532" s="10" t="n"/>
      <c r="I532">
        <f>IF(A532="","",SUMIFS(Purchases[Quantity],Purchases[ProductID],A532))</f>
        <v/>
      </c>
      <c r="J532">
        <f>IF(A532="","",SUMIFS(Sales[Quantity],Sales[ProductID],A532))</f>
        <v/>
      </c>
      <c r="K532">
        <f>IF(A532="","",N(G532)+N(I532)-N(J532))</f>
        <v/>
      </c>
      <c r="L532" s="10">
        <f>IF(K532="","",K532*N(F532))</f>
        <v/>
      </c>
      <c r="M532">
        <f>IF(K532="","",IF(K532&lt;=N(H532),"LOW","OK"))</f>
        <v/>
      </c>
    </row>
    <row r="533">
      <c r="E533" s="10" t="n"/>
      <c r="F533" s="10" t="n"/>
      <c r="I533">
        <f>IF(A533="","",SUMIFS(Purchases[Quantity],Purchases[ProductID],A533))</f>
        <v/>
      </c>
      <c r="J533">
        <f>IF(A533="","",SUMIFS(Sales[Quantity],Sales[ProductID],A533))</f>
        <v/>
      </c>
      <c r="K533">
        <f>IF(A533="","",N(G533)+N(I533)-N(J533))</f>
        <v/>
      </c>
      <c r="L533" s="10">
        <f>IF(K533="","",K533*N(F533))</f>
        <v/>
      </c>
      <c r="M533">
        <f>IF(K533="","",IF(K533&lt;=N(H533),"LOW","OK"))</f>
        <v/>
      </c>
    </row>
    <row r="534">
      <c r="E534" s="10" t="n"/>
      <c r="F534" s="10" t="n"/>
      <c r="I534">
        <f>IF(A534="","",SUMIFS(Purchases[Quantity],Purchases[ProductID],A534))</f>
        <v/>
      </c>
      <c r="J534">
        <f>IF(A534="","",SUMIFS(Sales[Quantity],Sales[ProductID],A534))</f>
        <v/>
      </c>
      <c r="K534">
        <f>IF(A534="","",N(G534)+N(I534)-N(J534))</f>
        <v/>
      </c>
      <c r="L534" s="10">
        <f>IF(K534="","",K534*N(F534))</f>
        <v/>
      </c>
      <c r="M534">
        <f>IF(K534="","",IF(K534&lt;=N(H534),"LOW","OK"))</f>
        <v/>
      </c>
    </row>
    <row r="535">
      <c r="E535" s="10" t="n"/>
      <c r="F535" s="10" t="n"/>
      <c r="I535">
        <f>IF(A535="","",SUMIFS(Purchases[Quantity],Purchases[ProductID],A535))</f>
        <v/>
      </c>
      <c r="J535">
        <f>IF(A535="","",SUMIFS(Sales[Quantity],Sales[ProductID],A535))</f>
        <v/>
      </c>
      <c r="K535">
        <f>IF(A535="","",N(G535)+N(I535)-N(J535))</f>
        <v/>
      </c>
      <c r="L535" s="10">
        <f>IF(K535="","",K535*N(F535))</f>
        <v/>
      </c>
      <c r="M535">
        <f>IF(K535="","",IF(K535&lt;=N(H535),"LOW","OK"))</f>
        <v/>
      </c>
    </row>
    <row r="536">
      <c r="E536" s="10" t="n"/>
      <c r="F536" s="10" t="n"/>
      <c r="I536">
        <f>IF(A536="","",SUMIFS(Purchases[Quantity],Purchases[ProductID],A536))</f>
        <v/>
      </c>
      <c r="J536">
        <f>IF(A536="","",SUMIFS(Sales[Quantity],Sales[ProductID],A536))</f>
        <v/>
      </c>
      <c r="K536">
        <f>IF(A536="","",N(G536)+N(I536)-N(J536))</f>
        <v/>
      </c>
      <c r="L536" s="10">
        <f>IF(K536="","",K536*N(F536))</f>
        <v/>
      </c>
      <c r="M536">
        <f>IF(K536="","",IF(K536&lt;=N(H536),"LOW","OK"))</f>
        <v/>
      </c>
    </row>
    <row r="537">
      <c r="E537" s="10" t="n"/>
      <c r="F537" s="10" t="n"/>
      <c r="I537">
        <f>IF(A537="","",SUMIFS(Purchases[Quantity],Purchases[ProductID],A537))</f>
        <v/>
      </c>
      <c r="J537">
        <f>IF(A537="","",SUMIFS(Sales[Quantity],Sales[ProductID],A537))</f>
        <v/>
      </c>
      <c r="K537">
        <f>IF(A537="","",N(G537)+N(I537)-N(J537))</f>
        <v/>
      </c>
      <c r="L537" s="10">
        <f>IF(K537="","",K537*N(F537))</f>
        <v/>
      </c>
      <c r="M537">
        <f>IF(K537="","",IF(K537&lt;=N(H537),"LOW","OK"))</f>
        <v/>
      </c>
    </row>
    <row r="538">
      <c r="E538" s="10" t="n"/>
      <c r="F538" s="10" t="n"/>
      <c r="I538">
        <f>IF(A538="","",SUMIFS(Purchases[Quantity],Purchases[ProductID],A538))</f>
        <v/>
      </c>
      <c r="J538">
        <f>IF(A538="","",SUMIFS(Sales[Quantity],Sales[ProductID],A538))</f>
        <v/>
      </c>
      <c r="K538">
        <f>IF(A538="","",N(G538)+N(I538)-N(J538))</f>
        <v/>
      </c>
      <c r="L538" s="10">
        <f>IF(K538="","",K538*N(F538))</f>
        <v/>
      </c>
      <c r="M538">
        <f>IF(K538="","",IF(K538&lt;=N(H538),"LOW","OK"))</f>
        <v/>
      </c>
    </row>
    <row r="539">
      <c r="E539" s="10" t="n"/>
      <c r="F539" s="10" t="n"/>
      <c r="I539">
        <f>IF(A539="","",SUMIFS(Purchases[Quantity],Purchases[ProductID],A539))</f>
        <v/>
      </c>
      <c r="J539">
        <f>IF(A539="","",SUMIFS(Sales[Quantity],Sales[ProductID],A539))</f>
        <v/>
      </c>
      <c r="K539">
        <f>IF(A539="","",N(G539)+N(I539)-N(J539))</f>
        <v/>
      </c>
      <c r="L539" s="10">
        <f>IF(K539="","",K539*N(F539))</f>
        <v/>
      </c>
      <c r="M539">
        <f>IF(K539="","",IF(K539&lt;=N(H539),"LOW","OK"))</f>
        <v/>
      </c>
    </row>
    <row r="540">
      <c r="E540" s="10" t="n"/>
      <c r="F540" s="10" t="n"/>
      <c r="I540">
        <f>IF(A540="","",SUMIFS(Purchases[Quantity],Purchases[ProductID],A540))</f>
        <v/>
      </c>
      <c r="J540">
        <f>IF(A540="","",SUMIFS(Sales[Quantity],Sales[ProductID],A540))</f>
        <v/>
      </c>
      <c r="K540">
        <f>IF(A540="","",N(G540)+N(I540)-N(J540))</f>
        <v/>
      </c>
      <c r="L540" s="10">
        <f>IF(K540="","",K540*N(F540))</f>
        <v/>
      </c>
      <c r="M540">
        <f>IF(K540="","",IF(K540&lt;=N(H540),"LOW","OK"))</f>
        <v/>
      </c>
    </row>
    <row r="541">
      <c r="E541" s="10" t="n"/>
      <c r="F541" s="10" t="n"/>
      <c r="I541">
        <f>IF(A541="","",SUMIFS(Purchases[Quantity],Purchases[ProductID],A541))</f>
        <v/>
      </c>
      <c r="J541">
        <f>IF(A541="","",SUMIFS(Sales[Quantity],Sales[ProductID],A541))</f>
        <v/>
      </c>
      <c r="K541">
        <f>IF(A541="","",N(G541)+N(I541)-N(J541))</f>
        <v/>
      </c>
      <c r="L541" s="10">
        <f>IF(K541="","",K541*N(F541))</f>
        <v/>
      </c>
      <c r="M541">
        <f>IF(K541="","",IF(K541&lt;=N(H541),"LOW","OK"))</f>
        <v/>
      </c>
    </row>
    <row r="542">
      <c r="E542" s="10" t="n"/>
      <c r="F542" s="10" t="n"/>
      <c r="I542">
        <f>IF(A542="","",SUMIFS(Purchases[Quantity],Purchases[ProductID],A542))</f>
        <v/>
      </c>
      <c r="J542">
        <f>IF(A542="","",SUMIFS(Sales[Quantity],Sales[ProductID],A542))</f>
        <v/>
      </c>
      <c r="K542">
        <f>IF(A542="","",N(G542)+N(I542)-N(J542))</f>
        <v/>
      </c>
      <c r="L542" s="10">
        <f>IF(K542="","",K542*N(F542))</f>
        <v/>
      </c>
      <c r="M542">
        <f>IF(K542="","",IF(K542&lt;=N(H542),"LOW","OK"))</f>
        <v/>
      </c>
    </row>
    <row r="543">
      <c r="E543" s="10" t="n"/>
      <c r="F543" s="10" t="n"/>
      <c r="I543">
        <f>IF(A543="","",SUMIFS(Purchases[Quantity],Purchases[ProductID],A543))</f>
        <v/>
      </c>
      <c r="J543">
        <f>IF(A543="","",SUMIFS(Sales[Quantity],Sales[ProductID],A543))</f>
        <v/>
      </c>
      <c r="K543">
        <f>IF(A543="","",N(G543)+N(I543)-N(J543))</f>
        <v/>
      </c>
      <c r="L543" s="10">
        <f>IF(K543="","",K543*N(F543))</f>
        <v/>
      </c>
      <c r="M543">
        <f>IF(K543="","",IF(K543&lt;=N(H543),"LOW","OK"))</f>
        <v/>
      </c>
    </row>
    <row r="544">
      <c r="E544" s="10" t="n"/>
      <c r="F544" s="10" t="n"/>
      <c r="I544">
        <f>IF(A544="","",SUMIFS(Purchases[Quantity],Purchases[ProductID],A544))</f>
        <v/>
      </c>
      <c r="J544">
        <f>IF(A544="","",SUMIFS(Sales[Quantity],Sales[ProductID],A544))</f>
        <v/>
      </c>
      <c r="K544">
        <f>IF(A544="","",N(G544)+N(I544)-N(J544))</f>
        <v/>
      </c>
      <c r="L544" s="10">
        <f>IF(K544="","",K544*N(F544))</f>
        <v/>
      </c>
      <c r="M544">
        <f>IF(K544="","",IF(K544&lt;=N(H544),"LOW","OK"))</f>
        <v/>
      </c>
    </row>
    <row r="545">
      <c r="E545" s="10" t="n"/>
      <c r="F545" s="10" t="n"/>
      <c r="I545">
        <f>IF(A545="","",SUMIFS(Purchases[Quantity],Purchases[ProductID],A545))</f>
        <v/>
      </c>
      <c r="J545">
        <f>IF(A545="","",SUMIFS(Sales[Quantity],Sales[ProductID],A545))</f>
        <v/>
      </c>
      <c r="K545">
        <f>IF(A545="","",N(G545)+N(I545)-N(J545))</f>
        <v/>
      </c>
      <c r="L545" s="10">
        <f>IF(K545="","",K545*N(F545))</f>
        <v/>
      </c>
      <c r="M545">
        <f>IF(K545="","",IF(K545&lt;=N(H545),"LOW","OK"))</f>
        <v/>
      </c>
    </row>
    <row r="546">
      <c r="E546" s="10" t="n"/>
      <c r="F546" s="10" t="n"/>
      <c r="I546">
        <f>IF(A546="","",SUMIFS(Purchases[Quantity],Purchases[ProductID],A546))</f>
        <v/>
      </c>
      <c r="J546">
        <f>IF(A546="","",SUMIFS(Sales[Quantity],Sales[ProductID],A546))</f>
        <v/>
      </c>
      <c r="K546">
        <f>IF(A546="","",N(G546)+N(I546)-N(J546))</f>
        <v/>
      </c>
      <c r="L546" s="10">
        <f>IF(K546="","",K546*N(F546))</f>
        <v/>
      </c>
      <c r="M546">
        <f>IF(K546="","",IF(K546&lt;=N(H546),"LOW","OK"))</f>
        <v/>
      </c>
    </row>
    <row r="547">
      <c r="E547" s="10" t="n"/>
      <c r="F547" s="10" t="n"/>
      <c r="I547">
        <f>IF(A547="","",SUMIFS(Purchases[Quantity],Purchases[ProductID],A547))</f>
        <v/>
      </c>
      <c r="J547">
        <f>IF(A547="","",SUMIFS(Sales[Quantity],Sales[ProductID],A547))</f>
        <v/>
      </c>
      <c r="K547">
        <f>IF(A547="","",N(G547)+N(I547)-N(J547))</f>
        <v/>
      </c>
      <c r="L547" s="10">
        <f>IF(K547="","",K547*N(F547))</f>
        <v/>
      </c>
      <c r="M547">
        <f>IF(K547="","",IF(K547&lt;=N(H547),"LOW","OK"))</f>
        <v/>
      </c>
    </row>
    <row r="548">
      <c r="E548" s="10" t="n"/>
      <c r="F548" s="10" t="n"/>
      <c r="I548">
        <f>IF(A548="","",SUMIFS(Purchases[Quantity],Purchases[ProductID],A548))</f>
        <v/>
      </c>
      <c r="J548">
        <f>IF(A548="","",SUMIFS(Sales[Quantity],Sales[ProductID],A548))</f>
        <v/>
      </c>
      <c r="K548">
        <f>IF(A548="","",N(G548)+N(I548)-N(J548))</f>
        <v/>
      </c>
      <c r="L548" s="10">
        <f>IF(K548="","",K548*N(F548))</f>
        <v/>
      </c>
      <c r="M548">
        <f>IF(K548="","",IF(K548&lt;=N(H548),"LOW","OK"))</f>
        <v/>
      </c>
    </row>
    <row r="549">
      <c r="E549" s="10" t="n"/>
      <c r="F549" s="10" t="n"/>
      <c r="I549">
        <f>IF(A549="","",SUMIFS(Purchases[Quantity],Purchases[ProductID],A549))</f>
        <v/>
      </c>
      <c r="J549">
        <f>IF(A549="","",SUMIFS(Sales[Quantity],Sales[ProductID],A549))</f>
        <v/>
      </c>
      <c r="K549">
        <f>IF(A549="","",N(G549)+N(I549)-N(J549))</f>
        <v/>
      </c>
      <c r="L549" s="10">
        <f>IF(K549="","",K549*N(F549))</f>
        <v/>
      </c>
      <c r="M549">
        <f>IF(K549="","",IF(K549&lt;=N(H549),"LOW","OK"))</f>
        <v/>
      </c>
    </row>
    <row r="550">
      <c r="E550" s="10" t="n"/>
      <c r="F550" s="10" t="n"/>
      <c r="I550">
        <f>IF(A550="","",SUMIFS(Purchases[Quantity],Purchases[ProductID],A550))</f>
        <v/>
      </c>
      <c r="J550">
        <f>IF(A550="","",SUMIFS(Sales[Quantity],Sales[ProductID],A550))</f>
        <v/>
      </c>
      <c r="K550">
        <f>IF(A550="","",N(G550)+N(I550)-N(J550))</f>
        <v/>
      </c>
      <c r="L550" s="10">
        <f>IF(K550="","",K550*N(F550))</f>
        <v/>
      </c>
      <c r="M550">
        <f>IF(K550="","",IF(K550&lt;=N(H550),"LOW","OK"))</f>
        <v/>
      </c>
    </row>
    <row r="551">
      <c r="E551" s="10" t="n"/>
      <c r="F551" s="10" t="n"/>
      <c r="I551">
        <f>IF(A551="","",SUMIFS(Purchases[Quantity],Purchases[ProductID],A551))</f>
        <v/>
      </c>
      <c r="J551">
        <f>IF(A551="","",SUMIFS(Sales[Quantity],Sales[ProductID],A551))</f>
        <v/>
      </c>
      <c r="K551">
        <f>IF(A551="","",N(G551)+N(I551)-N(J551))</f>
        <v/>
      </c>
      <c r="L551" s="10">
        <f>IF(K551="","",K551*N(F551))</f>
        <v/>
      </c>
      <c r="M551">
        <f>IF(K551="","",IF(K551&lt;=N(H551),"LOW","OK"))</f>
        <v/>
      </c>
    </row>
    <row r="552">
      <c r="E552" s="10" t="n"/>
      <c r="F552" s="10" t="n"/>
      <c r="I552">
        <f>IF(A552="","",SUMIFS(Purchases[Quantity],Purchases[ProductID],A552))</f>
        <v/>
      </c>
      <c r="J552">
        <f>IF(A552="","",SUMIFS(Sales[Quantity],Sales[ProductID],A552))</f>
        <v/>
      </c>
      <c r="K552">
        <f>IF(A552="","",N(G552)+N(I552)-N(J552))</f>
        <v/>
      </c>
      <c r="L552" s="10">
        <f>IF(K552="","",K552*N(F552))</f>
        <v/>
      </c>
      <c r="M552">
        <f>IF(K552="","",IF(K552&lt;=N(H552),"LOW","OK"))</f>
        <v/>
      </c>
    </row>
    <row r="553">
      <c r="E553" s="10" t="n"/>
      <c r="F553" s="10" t="n"/>
      <c r="I553">
        <f>IF(A553="","",SUMIFS(Purchases[Quantity],Purchases[ProductID],A553))</f>
        <v/>
      </c>
      <c r="J553">
        <f>IF(A553="","",SUMIFS(Sales[Quantity],Sales[ProductID],A553))</f>
        <v/>
      </c>
      <c r="K553">
        <f>IF(A553="","",N(G553)+N(I553)-N(J553))</f>
        <v/>
      </c>
      <c r="L553" s="10">
        <f>IF(K553="","",K553*N(F553))</f>
        <v/>
      </c>
      <c r="M553">
        <f>IF(K553="","",IF(K553&lt;=N(H553),"LOW","OK"))</f>
        <v/>
      </c>
    </row>
    <row r="554">
      <c r="E554" s="10" t="n"/>
      <c r="F554" s="10" t="n"/>
      <c r="I554">
        <f>IF(A554="","",SUMIFS(Purchases[Quantity],Purchases[ProductID],A554))</f>
        <v/>
      </c>
      <c r="J554">
        <f>IF(A554="","",SUMIFS(Sales[Quantity],Sales[ProductID],A554))</f>
        <v/>
      </c>
      <c r="K554">
        <f>IF(A554="","",N(G554)+N(I554)-N(J554))</f>
        <v/>
      </c>
      <c r="L554" s="10">
        <f>IF(K554="","",K554*N(F554))</f>
        <v/>
      </c>
      <c r="M554">
        <f>IF(K554="","",IF(K554&lt;=N(H554),"LOW","OK"))</f>
        <v/>
      </c>
    </row>
    <row r="555">
      <c r="E555" s="10" t="n"/>
      <c r="F555" s="10" t="n"/>
      <c r="I555">
        <f>IF(A555="","",SUMIFS(Purchases[Quantity],Purchases[ProductID],A555))</f>
        <v/>
      </c>
      <c r="J555">
        <f>IF(A555="","",SUMIFS(Sales[Quantity],Sales[ProductID],A555))</f>
        <v/>
      </c>
      <c r="K555">
        <f>IF(A555="","",N(G555)+N(I555)-N(J555))</f>
        <v/>
      </c>
      <c r="L555" s="10">
        <f>IF(K555="","",K555*N(F555))</f>
        <v/>
      </c>
      <c r="M555">
        <f>IF(K555="","",IF(K555&lt;=N(H555),"LOW","OK"))</f>
        <v/>
      </c>
    </row>
    <row r="556">
      <c r="E556" s="10" t="n"/>
      <c r="F556" s="10" t="n"/>
      <c r="I556">
        <f>IF(A556="","",SUMIFS(Purchases[Quantity],Purchases[ProductID],A556))</f>
        <v/>
      </c>
      <c r="J556">
        <f>IF(A556="","",SUMIFS(Sales[Quantity],Sales[ProductID],A556))</f>
        <v/>
      </c>
      <c r="K556">
        <f>IF(A556="","",N(G556)+N(I556)-N(J556))</f>
        <v/>
      </c>
      <c r="L556" s="10">
        <f>IF(K556="","",K556*N(F556))</f>
        <v/>
      </c>
      <c r="M556">
        <f>IF(K556="","",IF(K556&lt;=N(H556),"LOW","OK"))</f>
        <v/>
      </c>
    </row>
    <row r="557">
      <c r="E557" s="10" t="n"/>
      <c r="F557" s="10" t="n"/>
      <c r="I557">
        <f>IF(A557="","",SUMIFS(Purchases[Quantity],Purchases[ProductID],A557))</f>
        <v/>
      </c>
      <c r="J557">
        <f>IF(A557="","",SUMIFS(Sales[Quantity],Sales[ProductID],A557))</f>
        <v/>
      </c>
      <c r="K557">
        <f>IF(A557="","",N(G557)+N(I557)-N(J557))</f>
        <v/>
      </c>
      <c r="L557" s="10">
        <f>IF(K557="","",K557*N(F557))</f>
        <v/>
      </c>
      <c r="M557">
        <f>IF(K557="","",IF(K557&lt;=N(H557),"LOW","OK"))</f>
        <v/>
      </c>
    </row>
    <row r="558">
      <c r="E558" s="10" t="n"/>
      <c r="F558" s="10" t="n"/>
      <c r="I558">
        <f>IF(A558="","",SUMIFS(Purchases[Quantity],Purchases[ProductID],A558))</f>
        <v/>
      </c>
      <c r="J558">
        <f>IF(A558="","",SUMIFS(Sales[Quantity],Sales[ProductID],A558))</f>
        <v/>
      </c>
      <c r="K558">
        <f>IF(A558="","",N(G558)+N(I558)-N(J558))</f>
        <v/>
      </c>
      <c r="L558" s="10">
        <f>IF(K558="","",K558*N(F558))</f>
        <v/>
      </c>
      <c r="M558">
        <f>IF(K558="","",IF(K558&lt;=N(H558),"LOW","OK"))</f>
        <v/>
      </c>
    </row>
    <row r="559">
      <c r="E559" s="10" t="n"/>
      <c r="F559" s="10" t="n"/>
      <c r="I559">
        <f>IF(A559="","",SUMIFS(Purchases[Quantity],Purchases[ProductID],A559))</f>
        <v/>
      </c>
      <c r="J559">
        <f>IF(A559="","",SUMIFS(Sales[Quantity],Sales[ProductID],A559))</f>
        <v/>
      </c>
      <c r="K559">
        <f>IF(A559="","",N(G559)+N(I559)-N(J559))</f>
        <v/>
      </c>
      <c r="L559" s="10">
        <f>IF(K559="","",K559*N(F559))</f>
        <v/>
      </c>
      <c r="M559">
        <f>IF(K559="","",IF(K559&lt;=N(H559),"LOW","OK"))</f>
        <v/>
      </c>
    </row>
    <row r="560">
      <c r="E560" s="10" t="n"/>
      <c r="F560" s="10" t="n"/>
      <c r="I560">
        <f>IF(A560="","",SUMIFS(Purchases[Quantity],Purchases[ProductID],A560))</f>
        <v/>
      </c>
      <c r="J560">
        <f>IF(A560="","",SUMIFS(Sales[Quantity],Sales[ProductID],A560))</f>
        <v/>
      </c>
      <c r="K560">
        <f>IF(A560="","",N(G560)+N(I560)-N(J560))</f>
        <v/>
      </c>
      <c r="L560" s="10">
        <f>IF(K560="","",K560*N(F560))</f>
        <v/>
      </c>
      <c r="M560">
        <f>IF(K560="","",IF(K560&lt;=N(H560),"LOW","OK"))</f>
        <v/>
      </c>
    </row>
    <row r="561">
      <c r="E561" s="10" t="n"/>
      <c r="F561" s="10" t="n"/>
      <c r="I561">
        <f>IF(A561="","",SUMIFS(Purchases[Quantity],Purchases[ProductID],A561))</f>
        <v/>
      </c>
      <c r="J561">
        <f>IF(A561="","",SUMIFS(Sales[Quantity],Sales[ProductID],A561))</f>
        <v/>
      </c>
      <c r="K561">
        <f>IF(A561="","",N(G561)+N(I561)-N(J561))</f>
        <v/>
      </c>
      <c r="L561" s="10">
        <f>IF(K561="","",K561*N(F561))</f>
        <v/>
      </c>
      <c r="M561">
        <f>IF(K561="","",IF(K561&lt;=N(H561),"LOW","OK"))</f>
        <v/>
      </c>
    </row>
    <row r="562">
      <c r="E562" s="10" t="n"/>
      <c r="F562" s="10" t="n"/>
      <c r="I562">
        <f>IF(A562="","",SUMIFS(Purchases[Quantity],Purchases[ProductID],A562))</f>
        <v/>
      </c>
      <c r="J562">
        <f>IF(A562="","",SUMIFS(Sales[Quantity],Sales[ProductID],A562))</f>
        <v/>
      </c>
      <c r="K562">
        <f>IF(A562="","",N(G562)+N(I562)-N(J562))</f>
        <v/>
      </c>
      <c r="L562" s="10">
        <f>IF(K562="","",K562*N(F562))</f>
        <v/>
      </c>
      <c r="M562">
        <f>IF(K562="","",IF(K562&lt;=N(H562),"LOW","OK"))</f>
        <v/>
      </c>
    </row>
    <row r="563">
      <c r="E563" s="10" t="n"/>
      <c r="F563" s="10" t="n"/>
      <c r="I563">
        <f>IF(A563="","",SUMIFS(Purchases[Quantity],Purchases[ProductID],A563))</f>
        <v/>
      </c>
      <c r="J563">
        <f>IF(A563="","",SUMIFS(Sales[Quantity],Sales[ProductID],A563))</f>
        <v/>
      </c>
      <c r="K563">
        <f>IF(A563="","",N(G563)+N(I563)-N(J563))</f>
        <v/>
      </c>
      <c r="L563" s="10">
        <f>IF(K563="","",K563*N(F563))</f>
        <v/>
      </c>
      <c r="M563">
        <f>IF(K563="","",IF(K563&lt;=N(H563),"LOW","OK"))</f>
        <v/>
      </c>
    </row>
    <row r="564">
      <c r="E564" s="10" t="n"/>
      <c r="F564" s="10" t="n"/>
      <c r="I564">
        <f>IF(A564="","",SUMIFS(Purchases[Quantity],Purchases[ProductID],A564))</f>
        <v/>
      </c>
      <c r="J564">
        <f>IF(A564="","",SUMIFS(Sales[Quantity],Sales[ProductID],A564))</f>
        <v/>
      </c>
      <c r="K564">
        <f>IF(A564="","",N(G564)+N(I564)-N(J564))</f>
        <v/>
      </c>
      <c r="L564" s="10">
        <f>IF(K564="","",K564*N(F564))</f>
        <v/>
      </c>
      <c r="M564">
        <f>IF(K564="","",IF(K564&lt;=N(H564),"LOW","OK"))</f>
        <v/>
      </c>
    </row>
    <row r="565">
      <c r="E565" s="10" t="n"/>
      <c r="F565" s="10" t="n"/>
      <c r="I565">
        <f>IF(A565="","",SUMIFS(Purchases[Quantity],Purchases[ProductID],A565))</f>
        <v/>
      </c>
      <c r="J565">
        <f>IF(A565="","",SUMIFS(Sales[Quantity],Sales[ProductID],A565))</f>
        <v/>
      </c>
      <c r="K565">
        <f>IF(A565="","",N(G565)+N(I565)-N(J565))</f>
        <v/>
      </c>
      <c r="L565" s="10">
        <f>IF(K565="","",K565*N(F565))</f>
        <v/>
      </c>
      <c r="M565">
        <f>IF(K565="","",IF(K565&lt;=N(H565),"LOW","OK"))</f>
        <v/>
      </c>
    </row>
    <row r="566">
      <c r="E566" s="10" t="n"/>
      <c r="F566" s="10" t="n"/>
      <c r="I566">
        <f>IF(A566="","",SUMIFS(Purchases[Quantity],Purchases[ProductID],A566))</f>
        <v/>
      </c>
      <c r="J566">
        <f>IF(A566="","",SUMIFS(Sales[Quantity],Sales[ProductID],A566))</f>
        <v/>
      </c>
      <c r="K566">
        <f>IF(A566="","",N(G566)+N(I566)-N(J566))</f>
        <v/>
      </c>
      <c r="L566" s="10">
        <f>IF(K566="","",K566*N(F566))</f>
        <v/>
      </c>
      <c r="M566">
        <f>IF(K566="","",IF(K566&lt;=N(H566),"LOW","OK"))</f>
        <v/>
      </c>
    </row>
    <row r="567">
      <c r="E567" s="10" t="n"/>
      <c r="F567" s="10" t="n"/>
      <c r="I567">
        <f>IF(A567="","",SUMIFS(Purchases[Quantity],Purchases[ProductID],A567))</f>
        <v/>
      </c>
      <c r="J567">
        <f>IF(A567="","",SUMIFS(Sales[Quantity],Sales[ProductID],A567))</f>
        <v/>
      </c>
      <c r="K567">
        <f>IF(A567="","",N(G567)+N(I567)-N(J567))</f>
        <v/>
      </c>
      <c r="L567" s="10">
        <f>IF(K567="","",K567*N(F567))</f>
        <v/>
      </c>
      <c r="M567">
        <f>IF(K567="","",IF(K567&lt;=N(H567),"LOW","OK"))</f>
        <v/>
      </c>
    </row>
    <row r="568">
      <c r="E568" s="10" t="n"/>
      <c r="F568" s="10" t="n"/>
      <c r="I568">
        <f>IF(A568="","",SUMIFS(Purchases[Quantity],Purchases[ProductID],A568))</f>
        <v/>
      </c>
      <c r="J568">
        <f>IF(A568="","",SUMIFS(Sales[Quantity],Sales[ProductID],A568))</f>
        <v/>
      </c>
      <c r="K568">
        <f>IF(A568="","",N(G568)+N(I568)-N(J568))</f>
        <v/>
      </c>
      <c r="L568" s="10">
        <f>IF(K568="","",K568*N(F568))</f>
        <v/>
      </c>
      <c r="M568">
        <f>IF(K568="","",IF(K568&lt;=N(H568),"LOW","OK"))</f>
        <v/>
      </c>
    </row>
    <row r="569">
      <c r="E569" s="10" t="n"/>
      <c r="F569" s="10" t="n"/>
      <c r="I569">
        <f>IF(A569="","",SUMIFS(Purchases[Quantity],Purchases[ProductID],A569))</f>
        <v/>
      </c>
      <c r="J569">
        <f>IF(A569="","",SUMIFS(Sales[Quantity],Sales[ProductID],A569))</f>
        <v/>
      </c>
      <c r="K569">
        <f>IF(A569="","",N(G569)+N(I569)-N(J569))</f>
        <v/>
      </c>
      <c r="L569" s="10">
        <f>IF(K569="","",K569*N(F569))</f>
        <v/>
      </c>
      <c r="M569">
        <f>IF(K569="","",IF(K569&lt;=N(H569),"LOW","OK"))</f>
        <v/>
      </c>
    </row>
    <row r="570">
      <c r="E570" s="10" t="n"/>
      <c r="F570" s="10" t="n"/>
      <c r="I570">
        <f>IF(A570="","",SUMIFS(Purchases[Quantity],Purchases[ProductID],A570))</f>
        <v/>
      </c>
      <c r="J570">
        <f>IF(A570="","",SUMIFS(Sales[Quantity],Sales[ProductID],A570))</f>
        <v/>
      </c>
      <c r="K570">
        <f>IF(A570="","",N(G570)+N(I570)-N(J570))</f>
        <v/>
      </c>
      <c r="L570" s="10">
        <f>IF(K570="","",K570*N(F570))</f>
        <v/>
      </c>
      <c r="M570">
        <f>IF(K570="","",IF(K570&lt;=N(H570),"LOW","OK"))</f>
        <v/>
      </c>
    </row>
    <row r="571">
      <c r="E571" s="10" t="n"/>
      <c r="F571" s="10" t="n"/>
      <c r="I571">
        <f>IF(A571="","",SUMIFS(Purchases[Quantity],Purchases[ProductID],A571))</f>
        <v/>
      </c>
      <c r="J571">
        <f>IF(A571="","",SUMIFS(Sales[Quantity],Sales[ProductID],A571))</f>
        <v/>
      </c>
      <c r="K571">
        <f>IF(A571="","",N(G571)+N(I571)-N(J571))</f>
        <v/>
      </c>
      <c r="L571" s="10">
        <f>IF(K571="","",K571*N(F571))</f>
        <v/>
      </c>
      <c r="M571">
        <f>IF(K571="","",IF(K571&lt;=N(H571),"LOW","OK"))</f>
        <v/>
      </c>
    </row>
    <row r="572">
      <c r="E572" s="10" t="n"/>
      <c r="F572" s="10" t="n"/>
      <c r="I572">
        <f>IF(A572="","",SUMIFS(Purchases[Quantity],Purchases[ProductID],A572))</f>
        <v/>
      </c>
      <c r="J572">
        <f>IF(A572="","",SUMIFS(Sales[Quantity],Sales[ProductID],A572))</f>
        <v/>
      </c>
      <c r="K572">
        <f>IF(A572="","",N(G572)+N(I572)-N(J572))</f>
        <v/>
      </c>
      <c r="L572" s="10">
        <f>IF(K572="","",K572*N(F572))</f>
        <v/>
      </c>
      <c r="M572">
        <f>IF(K572="","",IF(K572&lt;=N(H572),"LOW","OK"))</f>
        <v/>
      </c>
    </row>
    <row r="573">
      <c r="E573" s="10" t="n"/>
      <c r="F573" s="10" t="n"/>
      <c r="I573">
        <f>IF(A573="","",SUMIFS(Purchases[Quantity],Purchases[ProductID],A573))</f>
        <v/>
      </c>
      <c r="J573">
        <f>IF(A573="","",SUMIFS(Sales[Quantity],Sales[ProductID],A573))</f>
        <v/>
      </c>
      <c r="K573">
        <f>IF(A573="","",N(G573)+N(I573)-N(J573))</f>
        <v/>
      </c>
      <c r="L573" s="10">
        <f>IF(K573="","",K573*N(F573))</f>
        <v/>
      </c>
      <c r="M573">
        <f>IF(K573="","",IF(K573&lt;=N(H573),"LOW","OK"))</f>
        <v/>
      </c>
    </row>
    <row r="574">
      <c r="E574" s="10" t="n"/>
      <c r="F574" s="10" t="n"/>
      <c r="I574">
        <f>IF(A574="","",SUMIFS(Purchases[Quantity],Purchases[ProductID],A574))</f>
        <v/>
      </c>
      <c r="J574">
        <f>IF(A574="","",SUMIFS(Sales[Quantity],Sales[ProductID],A574))</f>
        <v/>
      </c>
      <c r="K574">
        <f>IF(A574="","",N(G574)+N(I574)-N(J574))</f>
        <v/>
      </c>
      <c r="L574" s="10">
        <f>IF(K574="","",K574*N(F574))</f>
        <v/>
      </c>
      <c r="M574">
        <f>IF(K574="","",IF(K574&lt;=N(H574),"LOW","OK"))</f>
        <v/>
      </c>
    </row>
    <row r="575">
      <c r="E575" s="10" t="n"/>
      <c r="F575" s="10" t="n"/>
      <c r="I575">
        <f>IF(A575="","",SUMIFS(Purchases[Quantity],Purchases[ProductID],A575))</f>
        <v/>
      </c>
      <c r="J575">
        <f>IF(A575="","",SUMIFS(Sales[Quantity],Sales[ProductID],A575))</f>
        <v/>
      </c>
      <c r="K575">
        <f>IF(A575="","",N(G575)+N(I575)-N(J575))</f>
        <v/>
      </c>
      <c r="L575" s="10">
        <f>IF(K575="","",K575*N(F575))</f>
        <v/>
      </c>
      <c r="M575">
        <f>IF(K575="","",IF(K575&lt;=N(H575),"LOW","OK"))</f>
        <v/>
      </c>
    </row>
    <row r="576">
      <c r="E576" s="10" t="n"/>
      <c r="F576" s="10" t="n"/>
      <c r="I576">
        <f>IF(A576="","",SUMIFS(Purchases[Quantity],Purchases[ProductID],A576))</f>
        <v/>
      </c>
      <c r="J576">
        <f>IF(A576="","",SUMIFS(Sales[Quantity],Sales[ProductID],A576))</f>
        <v/>
      </c>
      <c r="K576">
        <f>IF(A576="","",N(G576)+N(I576)-N(J576))</f>
        <v/>
      </c>
      <c r="L576" s="10">
        <f>IF(K576="","",K576*N(F576))</f>
        <v/>
      </c>
      <c r="M576">
        <f>IF(K576="","",IF(K576&lt;=N(H576),"LOW","OK"))</f>
        <v/>
      </c>
    </row>
    <row r="577">
      <c r="E577" s="10" t="n"/>
      <c r="F577" s="10" t="n"/>
      <c r="I577">
        <f>IF(A577="","",SUMIFS(Purchases[Quantity],Purchases[ProductID],A577))</f>
        <v/>
      </c>
      <c r="J577">
        <f>IF(A577="","",SUMIFS(Sales[Quantity],Sales[ProductID],A577))</f>
        <v/>
      </c>
      <c r="K577">
        <f>IF(A577="","",N(G577)+N(I577)-N(J577))</f>
        <v/>
      </c>
      <c r="L577" s="10">
        <f>IF(K577="","",K577*N(F577))</f>
        <v/>
      </c>
      <c r="M577">
        <f>IF(K577="","",IF(K577&lt;=N(H577),"LOW","OK"))</f>
        <v/>
      </c>
    </row>
    <row r="578">
      <c r="E578" s="10" t="n"/>
      <c r="F578" s="10" t="n"/>
      <c r="I578">
        <f>IF(A578="","",SUMIFS(Purchases[Quantity],Purchases[ProductID],A578))</f>
        <v/>
      </c>
      <c r="J578">
        <f>IF(A578="","",SUMIFS(Sales[Quantity],Sales[ProductID],A578))</f>
        <v/>
      </c>
      <c r="K578">
        <f>IF(A578="","",N(G578)+N(I578)-N(J578))</f>
        <v/>
      </c>
      <c r="L578" s="10">
        <f>IF(K578="","",K578*N(F578))</f>
        <v/>
      </c>
      <c r="M578">
        <f>IF(K578="","",IF(K578&lt;=N(H578),"LOW","OK"))</f>
        <v/>
      </c>
    </row>
    <row r="579">
      <c r="E579" s="10" t="n"/>
      <c r="F579" s="10" t="n"/>
      <c r="I579">
        <f>IF(A579="","",SUMIFS(Purchases[Quantity],Purchases[ProductID],A579))</f>
        <v/>
      </c>
      <c r="J579">
        <f>IF(A579="","",SUMIFS(Sales[Quantity],Sales[ProductID],A579))</f>
        <v/>
      </c>
      <c r="K579">
        <f>IF(A579="","",N(G579)+N(I579)-N(J579))</f>
        <v/>
      </c>
      <c r="L579" s="10">
        <f>IF(K579="","",K579*N(F579))</f>
        <v/>
      </c>
      <c r="M579">
        <f>IF(K579="","",IF(K579&lt;=N(H579),"LOW","OK"))</f>
        <v/>
      </c>
    </row>
    <row r="580">
      <c r="E580" s="10" t="n"/>
      <c r="F580" s="10" t="n"/>
      <c r="I580">
        <f>IF(A580="","",SUMIFS(Purchases[Quantity],Purchases[ProductID],A580))</f>
        <v/>
      </c>
      <c r="J580">
        <f>IF(A580="","",SUMIFS(Sales[Quantity],Sales[ProductID],A580))</f>
        <v/>
      </c>
      <c r="K580">
        <f>IF(A580="","",N(G580)+N(I580)-N(J580))</f>
        <v/>
      </c>
      <c r="L580" s="10">
        <f>IF(K580="","",K580*N(F580))</f>
        <v/>
      </c>
      <c r="M580">
        <f>IF(K580="","",IF(K580&lt;=N(H580),"LOW","OK"))</f>
        <v/>
      </c>
    </row>
    <row r="581">
      <c r="E581" s="10" t="n"/>
      <c r="F581" s="10" t="n"/>
      <c r="I581">
        <f>IF(A581="","",SUMIFS(Purchases[Quantity],Purchases[ProductID],A581))</f>
        <v/>
      </c>
      <c r="J581">
        <f>IF(A581="","",SUMIFS(Sales[Quantity],Sales[ProductID],A581))</f>
        <v/>
      </c>
      <c r="K581">
        <f>IF(A581="","",N(G581)+N(I581)-N(J581))</f>
        <v/>
      </c>
      <c r="L581" s="10">
        <f>IF(K581="","",K581*N(F581))</f>
        <v/>
      </c>
      <c r="M581">
        <f>IF(K581="","",IF(K581&lt;=N(H581),"LOW","OK"))</f>
        <v/>
      </c>
    </row>
    <row r="582">
      <c r="E582" s="10" t="n"/>
      <c r="F582" s="10" t="n"/>
      <c r="I582">
        <f>IF(A582="","",SUMIFS(Purchases[Quantity],Purchases[ProductID],A582))</f>
        <v/>
      </c>
      <c r="J582">
        <f>IF(A582="","",SUMIFS(Sales[Quantity],Sales[ProductID],A582))</f>
        <v/>
      </c>
      <c r="K582">
        <f>IF(A582="","",N(G582)+N(I582)-N(J582))</f>
        <v/>
      </c>
      <c r="L582" s="10">
        <f>IF(K582="","",K582*N(F582))</f>
        <v/>
      </c>
      <c r="M582">
        <f>IF(K582="","",IF(K582&lt;=N(H582),"LOW","OK"))</f>
        <v/>
      </c>
    </row>
    <row r="583">
      <c r="E583" s="10" t="n"/>
      <c r="F583" s="10" t="n"/>
      <c r="I583">
        <f>IF(A583="","",SUMIFS(Purchases[Quantity],Purchases[ProductID],A583))</f>
        <v/>
      </c>
      <c r="J583">
        <f>IF(A583="","",SUMIFS(Sales[Quantity],Sales[ProductID],A583))</f>
        <v/>
      </c>
      <c r="K583">
        <f>IF(A583="","",N(G583)+N(I583)-N(J583))</f>
        <v/>
      </c>
      <c r="L583" s="10">
        <f>IF(K583="","",K583*N(F583))</f>
        <v/>
      </c>
      <c r="M583">
        <f>IF(K583="","",IF(K583&lt;=N(H583),"LOW","OK"))</f>
        <v/>
      </c>
    </row>
    <row r="584">
      <c r="E584" s="10" t="n"/>
      <c r="F584" s="10" t="n"/>
      <c r="I584">
        <f>IF(A584="","",SUMIFS(Purchases[Quantity],Purchases[ProductID],A584))</f>
        <v/>
      </c>
      <c r="J584">
        <f>IF(A584="","",SUMIFS(Sales[Quantity],Sales[ProductID],A584))</f>
        <v/>
      </c>
      <c r="K584">
        <f>IF(A584="","",N(G584)+N(I584)-N(J584))</f>
        <v/>
      </c>
      <c r="L584" s="10">
        <f>IF(K584="","",K584*N(F584))</f>
        <v/>
      </c>
      <c r="M584">
        <f>IF(K584="","",IF(K584&lt;=N(H584),"LOW","OK"))</f>
        <v/>
      </c>
    </row>
    <row r="585">
      <c r="E585" s="10" t="n"/>
      <c r="F585" s="10" t="n"/>
      <c r="I585">
        <f>IF(A585="","",SUMIFS(Purchases[Quantity],Purchases[ProductID],A585))</f>
        <v/>
      </c>
      <c r="J585">
        <f>IF(A585="","",SUMIFS(Sales[Quantity],Sales[ProductID],A585))</f>
        <v/>
      </c>
      <c r="K585">
        <f>IF(A585="","",N(G585)+N(I585)-N(J585))</f>
        <v/>
      </c>
      <c r="L585" s="10">
        <f>IF(K585="","",K585*N(F585))</f>
        <v/>
      </c>
      <c r="M585">
        <f>IF(K585="","",IF(K585&lt;=N(H585),"LOW","OK"))</f>
        <v/>
      </c>
    </row>
    <row r="586">
      <c r="E586" s="10" t="n"/>
      <c r="F586" s="10" t="n"/>
      <c r="I586">
        <f>IF(A586="","",SUMIFS(Purchases[Quantity],Purchases[ProductID],A586))</f>
        <v/>
      </c>
      <c r="J586">
        <f>IF(A586="","",SUMIFS(Sales[Quantity],Sales[ProductID],A586))</f>
        <v/>
      </c>
      <c r="K586">
        <f>IF(A586="","",N(G586)+N(I586)-N(J586))</f>
        <v/>
      </c>
      <c r="L586" s="10">
        <f>IF(K586="","",K586*N(F586))</f>
        <v/>
      </c>
      <c r="M586">
        <f>IF(K586="","",IF(K586&lt;=N(H586),"LOW","OK"))</f>
        <v/>
      </c>
    </row>
    <row r="587">
      <c r="E587" s="10" t="n"/>
      <c r="F587" s="10" t="n"/>
      <c r="I587">
        <f>IF(A587="","",SUMIFS(Purchases[Quantity],Purchases[ProductID],A587))</f>
        <v/>
      </c>
      <c r="J587">
        <f>IF(A587="","",SUMIFS(Sales[Quantity],Sales[ProductID],A587))</f>
        <v/>
      </c>
      <c r="K587">
        <f>IF(A587="","",N(G587)+N(I587)-N(J587))</f>
        <v/>
      </c>
      <c r="L587" s="10">
        <f>IF(K587="","",K587*N(F587))</f>
        <v/>
      </c>
      <c r="M587">
        <f>IF(K587="","",IF(K587&lt;=N(H587),"LOW","OK"))</f>
        <v/>
      </c>
    </row>
    <row r="588">
      <c r="E588" s="10" t="n"/>
      <c r="F588" s="10" t="n"/>
      <c r="I588">
        <f>IF(A588="","",SUMIFS(Purchases[Quantity],Purchases[ProductID],A588))</f>
        <v/>
      </c>
      <c r="J588">
        <f>IF(A588="","",SUMIFS(Sales[Quantity],Sales[ProductID],A588))</f>
        <v/>
      </c>
      <c r="K588">
        <f>IF(A588="","",N(G588)+N(I588)-N(J588))</f>
        <v/>
      </c>
      <c r="L588" s="10">
        <f>IF(K588="","",K588*N(F588))</f>
        <v/>
      </c>
      <c r="M588">
        <f>IF(K588="","",IF(K588&lt;=N(H588),"LOW","OK"))</f>
        <v/>
      </c>
    </row>
    <row r="589">
      <c r="E589" s="10" t="n"/>
      <c r="F589" s="10" t="n"/>
      <c r="I589">
        <f>IF(A589="","",SUMIFS(Purchases[Quantity],Purchases[ProductID],A589))</f>
        <v/>
      </c>
      <c r="J589">
        <f>IF(A589="","",SUMIFS(Sales[Quantity],Sales[ProductID],A589))</f>
        <v/>
      </c>
      <c r="K589">
        <f>IF(A589="","",N(G589)+N(I589)-N(J589))</f>
        <v/>
      </c>
      <c r="L589" s="10">
        <f>IF(K589="","",K589*N(F589))</f>
        <v/>
      </c>
      <c r="M589">
        <f>IF(K589="","",IF(K589&lt;=N(H589),"LOW","OK"))</f>
        <v/>
      </c>
    </row>
    <row r="590">
      <c r="E590" s="10" t="n"/>
      <c r="F590" s="10" t="n"/>
      <c r="I590">
        <f>IF(A590="","",SUMIFS(Purchases[Quantity],Purchases[ProductID],A590))</f>
        <v/>
      </c>
      <c r="J590">
        <f>IF(A590="","",SUMIFS(Sales[Quantity],Sales[ProductID],A590))</f>
        <v/>
      </c>
      <c r="K590">
        <f>IF(A590="","",N(G590)+N(I590)-N(J590))</f>
        <v/>
      </c>
      <c r="L590" s="10">
        <f>IF(K590="","",K590*N(F590))</f>
        <v/>
      </c>
      <c r="M590">
        <f>IF(K590="","",IF(K590&lt;=N(H590),"LOW","OK"))</f>
        <v/>
      </c>
    </row>
    <row r="591">
      <c r="E591" s="10" t="n"/>
      <c r="F591" s="10" t="n"/>
      <c r="I591">
        <f>IF(A591="","",SUMIFS(Purchases[Quantity],Purchases[ProductID],A591))</f>
        <v/>
      </c>
      <c r="J591">
        <f>IF(A591="","",SUMIFS(Sales[Quantity],Sales[ProductID],A591))</f>
        <v/>
      </c>
      <c r="K591">
        <f>IF(A591="","",N(G591)+N(I591)-N(J591))</f>
        <v/>
      </c>
      <c r="L591" s="10">
        <f>IF(K591="","",K591*N(F591))</f>
        <v/>
      </c>
      <c r="M591">
        <f>IF(K591="","",IF(K591&lt;=N(H591),"LOW","OK"))</f>
        <v/>
      </c>
    </row>
    <row r="592">
      <c r="E592" s="10" t="n"/>
      <c r="F592" s="10" t="n"/>
      <c r="I592">
        <f>IF(A592="","",SUMIFS(Purchases[Quantity],Purchases[ProductID],A592))</f>
        <v/>
      </c>
      <c r="J592">
        <f>IF(A592="","",SUMIFS(Sales[Quantity],Sales[ProductID],A592))</f>
        <v/>
      </c>
      <c r="K592">
        <f>IF(A592="","",N(G592)+N(I592)-N(J592))</f>
        <v/>
      </c>
      <c r="L592" s="10">
        <f>IF(K592="","",K592*N(F592))</f>
        <v/>
      </c>
      <c r="M592">
        <f>IF(K592="","",IF(K592&lt;=N(H592),"LOW","OK"))</f>
        <v/>
      </c>
    </row>
    <row r="593">
      <c r="E593" s="10" t="n"/>
      <c r="F593" s="10" t="n"/>
      <c r="I593">
        <f>IF(A593="","",SUMIFS(Purchases[Quantity],Purchases[ProductID],A593))</f>
        <v/>
      </c>
      <c r="J593">
        <f>IF(A593="","",SUMIFS(Sales[Quantity],Sales[ProductID],A593))</f>
        <v/>
      </c>
      <c r="K593">
        <f>IF(A593="","",N(G593)+N(I593)-N(J593))</f>
        <v/>
      </c>
      <c r="L593" s="10">
        <f>IF(K593="","",K593*N(F593))</f>
        <v/>
      </c>
      <c r="M593">
        <f>IF(K593="","",IF(K593&lt;=N(H593),"LOW","OK"))</f>
        <v/>
      </c>
    </row>
    <row r="594">
      <c r="E594" s="10" t="n"/>
      <c r="F594" s="10" t="n"/>
      <c r="I594">
        <f>IF(A594="","",SUMIFS(Purchases[Quantity],Purchases[ProductID],A594))</f>
        <v/>
      </c>
      <c r="J594">
        <f>IF(A594="","",SUMIFS(Sales[Quantity],Sales[ProductID],A594))</f>
        <v/>
      </c>
      <c r="K594">
        <f>IF(A594="","",N(G594)+N(I594)-N(J594))</f>
        <v/>
      </c>
      <c r="L594" s="10">
        <f>IF(K594="","",K594*N(F594))</f>
        <v/>
      </c>
      <c r="M594">
        <f>IF(K594="","",IF(K594&lt;=N(H594),"LOW","OK"))</f>
        <v/>
      </c>
    </row>
    <row r="595">
      <c r="E595" s="10" t="n"/>
      <c r="F595" s="10" t="n"/>
      <c r="I595">
        <f>IF(A595="","",SUMIFS(Purchases[Quantity],Purchases[ProductID],A595))</f>
        <v/>
      </c>
      <c r="J595">
        <f>IF(A595="","",SUMIFS(Sales[Quantity],Sales[ProductID],A595))</f>
        <v/>
      </c>
      <c r="K595">
        <f>IF(A595="","",N(G595)+N(I595)-N(J595))</f>
        <v/>
      </c>
      <c r="L595" s="10">
        <f>IF(K595="","",K595*N(F595))</f>
        <v/>
      </c>
      <c r="M595">
        <f>IF(K595="","",IF(K595&lt;=N(H595),"LOW","OK"))</f>
        <v/>
      </c>
    </row>
    <row r="596">
      <c r="E596" s="10" t="n"/>
      <c r="F596" s="10" t="n"/>
      <c r="I596">
        <f>IF(A596="","",SUMIFS(Purchases[Quantity],Purchases[ProductID],A596))</f>
        <v/>
      </c>
      <c r="J596">
        <f>IF(A596="","",SUMIFS(Sales[Quantity],Sales[ProductID],A596))</f>
        <v/>
      </c>
      <c r="K596">
        <f>IF(A596="","",N(G596)+N(I596)-N(J596))</f>
        <v/>
      </c>
      <c r="L596" s="10">
        <f>IF(K596="","",K596*N(F596))</f>
        <v/>
      </c>
      <c r="M596">
        <f>IF(K596="","",IF(K596&lt;=N(H596),"LOW","OK"))</f>
        <v/>
      </c>
    </row>
    <row r="597">
      <c r="E597" s="10" t="n"/>
      <c r="F597" s="10" t="n"/>
      <c r="I597">
        <f>IF(A597="","",SUMIFS(Purchases[Quantity],Purchases[ProductID],A597))</f>
        <v/>
      </c>
      <c r="J597">
        <f>IF(A597="","",SUMIFS(Sales[Quantity],Sales[ProductID],A597))</f>
        <v/>
      </c>
      <c r="K597">
        <f>IF(A597="","",N(G597)+N(I597)-N(J597))</f>
        <v/>
      </c>
      <c r="L597" s="10">
        <f>IF(K597="","",K597*N(F597))</f>
        <v/>
      </c>
      <c r="M597">
        <f>IF(K597="","",IF(K597&lt;=N(H597),"LOW","OK"))</f>
        <v/>
      </c>
    </row>
    <row r="598">
      <c r="E598" s="10" t="n"/>
      <c r="F598" s="10" t="n"/>
      <c r="I598">
        <f>IF(A598="","",SUMIFS(Purchases[Quantity],Purchases[ProductID],A598))</f>
        <v/>
      </c>
      <c r="J598">
        <f>IF(A598="","",SUMIFS(Sales[Quantity],Sales[ProductID],A598))</f>
        <v/>
      </c>
      <c r="K598">
        <f>IF(A598="","",N(G598)+N(I598)-N(J598))</f>
        <v/>
      </c>
      <c r="L598" s="10">
        <f>IF(K598="","",K598*N(F598))</f>
        <v/>
      </c>
      <c r="M598">
        <f>IF(K598="","",IF(K598&lt;=N(H598),"LOW","OK"))</f>
        <v/>
      </c>
    </row>
    <row r="599">
      <c r="E599" s="10" t="n"/>
      <c r="F599" s="10" t="n"/>
      <c r="I599">
        <f>IF(A599="","",SUMIFS(Purchases[Quantity],Purchases[ProductID],A599))</f>
        <v/>
      </c>
      <c r="J599">
        <f>IF(A599="","",SUMIFS(Sales[Quantity],Sales[ProductID],A599))</f>
        <v/>
      </c>
      <c r="K599">
        <f>IF(A599="","",N(G599)+N(I599)-N(J599))</f>
        <v/>
      </c>
      <c r="L599" s="10">
        <f>IF(K599="","",K599*N(F599))</f>
        <v/>
      </c>
      <c r="M599">
        <f>IF(K599="","",IF(K599&lt;=N(H599),"LOW","OK"))</f>
        <v/>
      </c>
    </row>
    <row r="600">
      <c r="E600" s="10" t="n"/>
      <c r="F600" s="10" t="n"/>
      <c r="I600">
        <f>IF(A600="","",SUMIFS(Purchases[Quantity],Purchases[ProductID],A600))</f>
        <v/>
      </c>
      <c r="J600">
        <f>IF(A600="","",SUMIFS(Sales[Quantity],Sales[ProductID],A600))</f>
        <v/>
      </c>
      <c r="K600">
        <f>IF(A600="","",N(G600)+N(I600)-N(J600))</f>
        <v/>
      </c>
      <c r="L600" s="10">
        <f>IF(K600="","",K600*N(F600))</f>
        <v/>
      </c>
      <c r="M600">
        <f>IF(K600="","",IF(K600&lt;=N(H600),"LOW","OK"))</f>
        <v/>
      </c>
    </row>
    <row r="601">
      <c r="E601" s="10" t="n"/>
      <c r="F601" s="10" t="n"/>
      <c r="I601">
        <f>IF(A601="","",SUMIFS(Purchases[Quantity],Purchases[ProductID],A601))</f>
        <v/>
      </c>
      <c r="J601">
        <f>IF(A601="","",SUMIFS(Sales[Quantity],Sales[ProductID],A601))</f>
        <v/>
      </c>
      <c r="K601">
        <f>IF(A601="","",N(G601)+N(I601)-N(J601))</f>
        <v/>
      </c>
      <c r="L601" s="10">
        <f>IF(K601="","",K601*N(F601))</f>
        <v/>
      </c>
      <c r="M601">
        <f>IF(K601="","",IF(K601&lt;=N(H601),"LOW","OK"))</f>
        <v/>
      </c>
    </row>
    <row r="602">
      <c r="E602" s="10" t="n"/>
      <c r="F602" s="10" t="n"/>
      <c r="I602">
        <f>IF(A602="","",SUMIFS(Purchases[Quantity],Purchases[ProductID],A602))</f>
        <v/>
      </c>
      <c r="J602">
        <f>IF(A602="","",SUMIFS(Sales[Quantity],Sales[ProductID],A602))</f>
        <v/>
      </c>
      <c r="K602">
        <f>IF(A602="","",N(G602)+N(I602)-N(J602))</f>
        <v/>
      </c>
      <c r="L602" s="10">
        <f>IF(K602="","",K602*N(F602))</f>
        <v/>
      </c>
      <c r="M602">
        <f>IF(K602="","",IF(K602&lt;=N(H602),"LOW","OK"))</f>
        <v/>
      </c>
    </row>
    <row r="603">
      <c r="E603" s="10" t="n"/>
      <c r="F603" s="10" t="n"/>
      <c r="I603">
        <f>IF(A603="","",SUMIFS(Purchases[Quantity],Purchases[ProductID],A603))</f>
        <v/>
      </c>
      <c r="J603">
        <f>IF(A603="","",SUMIFS(Sales[Quantity],Sales[ProductID],A603))</f>
        <v/>
      </c>
      <c r="K603">
        <f>IF(A603="","",N(G603)+N(I603)-N(J603))</f>
        <v/>
      </c>
      <c r="L603" s="10">
        <f>IF(K603="","",K603*N(F603))</f>
        <v/>
      </c>
      <c r="M603">
        <f>IF(K603="","",IF(K603&lt;=N(H603),"LOW","OK"))</f>
        <v/>
      </c>
    </row>
    <row r="604">
      <c r="E604" s="10" t="n"/>
      <c r="F604" s="10" t="n"/>
      <c r="I604">
        <f>IF(A604="","",SUMIFS(Purchases[Quantity],Purchases[ProductID],A604))</f>
        <v/>
      </c>
      <c r="J604">
        <f>IF(A604="","",SUMIFS(Sales[Quantity],Sales[ProductID],A604))</f>
        <v/>
      </c>
      <c r="K604">
        <f>IF(A604="","",N(G604)+N(I604)-N(J604))</f>
        <v/>
      </c>
      <c r="L604" s="10">
        <f>IF(K604="","",K604*N(F604))</f>
        <v/>
      </c>
      <c r="M604">
        <f>IF(K604="","",IF(K604&lt;=N(H604),"LOW","OK"))</f>
        <v/>
      </c>
    </row>
    <row r="605">
      <c r="E605" s="10" t="n"/>
      <c r="F605" s="10" t="n"/>
      <c r="I605">
        <f>IF(A605="","",SUMIFS(Purchases[Quantity],Purchases[ProductID],A605))</f>
        <v/>
      </c>
      <c r="J605">
        <f>IF(A605="","",SUMIFS(Sales[Quantity],Sales[ProductID],A605))</f>
        <v/>
      </c>
      <c r="K605">
        <f>IF(A605="","",N(G605)+N(I605)-N(J605))</f>
        <v/>
      </c>
      <c r="L605" s="10">
        <f>IF(K605="","",K605*N(F605))</f>
        <v/>
      </c>
      <c r="M605">
        <f>IF(K605="","",IF(K605&lt;=N(H605),"LOW","OK"))</f>
        <v/>
      </c>
    </row>
    <row r="606">
      <c r="E606" s="10" t="n"/>
      <c r="F606" s="10" t="n"/>
      <c r="I606">
        <f>IF(A606="","",SUMIFS(Purchases[Quantity],Purchases[ProductID],A606))</f>
        <v/>
      </c>
      <c r="J606">
        <f>IF(A606="","",SUMIFS(Sales[Quantity],Sales[ProductID],A606))</f>
        <v/>
      </c>
      <c r="K606">
        <f>IF(A606="","",N(G606)+N(I606)-N(J606))</f>
        <v/>
      </c>
      <c r="L606" s="10">
        <f>IF(K606="","",K606*N(F606))</f>
        <v/>
      </c>
      <c r="M606">
        <f>IF(K606="","",IF(K606&lt;=N(H606),"LOW","OK"))</f>
        <v/>
      </c>
    </row>
    <row r="607">
      <c r="E607" s="10" t="n"/>
      <c r="F607" s="10" t="n"/>
      <c r="I607">
        <f>IF(A607="","",SUMIFS(Purchases[Quantity],Purchases[ProductID],A607))</f>
        <v/>
      </c>
      <c r="J607">
        <f>IF(A607="","",SUMIFS(Sales[Quantity],Sales[ProductID],A607))</f>
        <v/>
      </c>
      <c r="K607">
        <f>IF(A607="","",N(G607)+N(I607)-N(J607))</f>
        <v/>
      </c>
      <c r="L607" s="10">
        <f>IF(K607="","",K607*N(F607))</f>
        <v/>
      </c>
      <c r="M607">
        <f>IF(K607="","",IF(K607&lt;=N(H607),"LOW","OK"))</f>
        <v/>
      </c>
    </row>
    <row r="608">
      <c r="E608" s="10" t="n"/>
      <c r="F608" s="10" t="n"/>
      <c r="I608">
        <f>IF(A608="","",SUMIFS(Purchases[Quantity],Purchases[ProductID],A608))</f>
        <v/>
      </c>
      <c r="J608">
        <f>IF(A608="","",SUMIFS(Sales[Quantity],Sales[ProductID],A608))</f>
        <v/>
      </c>
      <c r="K608">
        <f>IF(A608="","",N(G608)+N(I608)-N(J608))</f>
        <v/>
      </c>
      <c r="L608" s="10">
        <f>IF(K608="","",K608*N(F608))</f>
        <v/>
      </c>
      <c r="M608">
        <f>IF(K608="","",IF(K608&lt;=N(H608),"LOW","OK"))</f>
        <v/>
      </c>
    </row>
    <row r="609">
      <c r="E609" s="10" t="n"/>
      <c r="F609" s="10" t="n"/>
      <c r="I609">
        <f>IF(A609="","",SUMIFS(Purchases[Quantity],Purchases[ProductID],A609))</f>
        <v/>
      </c>
      <c r="J609">
        <f>IF(A609="","",SUMIFS(Sales[Quantity],Sales[ProductID],A609))</f>
        <v/>
      </c>
      <c r="K609">
        <f>IF(A609="","",N(G609)+N(I609)-N(J609))</f>
        <v/>
      </c>
      <c r="L609" s="10">
        <f>IF(K609="","",K609*N(F609))</f>
        <v/>
      </c>
      <c r="M609">
        <f>IF(K609="","",IF(K609&lt;=N(H609),"LOW","OK"))</f>
        <v/>
      </c>
    </row>
    <row r="610">
      <c r="E610" s="10" t="n"/>
      <c r="F610" s="10" t="n"/>
      <c r="I610">
        <f>IF(A610="","",SUMIFS(Purchases[Quantity],Purchases[ProductID],A610))</f>
        <v/>
      </c>
      <c r="J610">
        <f>IF(A610="","",SUMIFS(Sales[Quantity],Sales[ProductID],A610))</f>
        <v/>
      </c>
      <c r="K610">
        <f>IF(A610="","",N(G610)+N(I610)-N(J610))</f>
        <v/>
      </c>
      <c r="L610" s="10">
        <f>IF(K610="","",K610*N(F610))</f>
        <v/>
      </c>
      <c r="M610">
        <f>IF(K610="","",IF(K610&lt;=N(H610),"LOW","OK"))</f>
        <v/>
      </c>
    </row>
    <row r="611">
      <c r="E611" s="10" t="n"/>
      <c r="F611" s="10" t="n"/>
      <c r="I611">
        <f>IF(A611="","",SUMIFS(Purchases[Quantity],Purchases[ProductID],A611))</f>
        <v/>
      </c>
      <c r="J611">
        <f>IF(A611="","",SUMIFS(Sales[Quantity],Sales[ProductID],A611))</f>
        <v/>
      </c>
      <c r="K611">
        <f>IF(A611="","",N(G611)+N(I611)-N(J611))</f>
        <v/>
      </c>
      <c r="L611" s="10">
        <f>IF(K611="","",K611*N(F611))</f>
        <v/>
      </c>
      <c r="M611">
        <f>IF(K611="","",IF(K611&lt;=N(H611),"LOW","OK"))</f>
        <v/>
      </c>
    </row>
    <row r="612">
      <c r="E612" s="10" t="n"/>
      <c r="F612" s="10" t="n"/>
      <c r="I612">
        <f>IF(A612="","",SUMIFS(Purchases[Quantity],Purchases[ProductID],A612))</f>
        <v/>
      </c>
      <c r="J612">
        <f>IF(A612="","",SUMIFS(Sales[Quantity],Sales[ProductID],A612))</f>
        <v/>
      </c>
      <c r="K612">
        <f>IF(A612="","",N(G612)+N(I612)-N(J612))</f>
        <v/>
      </c>
      <c r="L612" s="10">
        <f>IF(K612="","",K612*N(F612))</f>
        <v/>
      </c>
      <c r="M612">
        <f>IF(K612="","",IF(K612&lt;=N(H612),"LOW","OK"))</f>
        <v/>
      </c>
    </row>
    <row r="613">
      <c r="E613" s="10" t="n"/>
      <c r="F613" s="10" t="n"/>
      <c r="I613">
        <f>IF(A613="","",SUMIFS(Purchases[Quantity],Purchases[ProductID],A613))</f>
        <v/>
      </c>
      <c r="J613">
        <f>IF(A613="","",SUMIFS(Sales[Quantity],Sales[ProductID],A613))</f>
        <v/>
      </c>
      <c r="K613">
        <f>IF(A613="","",N(G613)+N(I613)-N(J613))</f>
        <v/>
      </c>
      <c r="L613" s="10">
        <f>IF(K613="","",K613*N(F613))</f>
        <v/>
      </c>
      <c r="M613">
        <f>IF(K613="","",IF(K613&lt;=N(H613),"LOW","OK"))</f>
        <v/>
      </c>
    </row>
    <row r="614">
      <c r="E614" s="10" t="n"/>
      <c r="F614" s="10" t="n"/>
      <c r="I614">
        <f>IF(A614="","",SUMIFS(Purchases[Quantity],Purchases[ProductID],A614))</f>
        <v/>
      </c>
      <c r="J614">
        <f>IF(A614="","",SUMIFS(Sales[Quantity],Sales[ProductID],A614))</f>
        <v/>
      </c>
      <c r="K614">
        <f>IF(A614="","",N(G614)+N(I614)-N(J614))</f>
        <v/>
      </c>
      <c r="L614" s="10">
        <f>IF(K614="","",K614*N(F614))</f>
        <v/>
      </c>
      <c r="M614">
        <f>IF(K614="","",IF(K614&lt;=N(H614),"LOW","OK"))</f>
        <v/>
      </c>
    </row>
    <row r="615">
      <c r="E615" s="10" t="n"/>
      <c r="F615" s="10" t="n"/>
      <c r="I615">
        <f>IF(A615="","",SUMIFS(Purchases[Quantity],Purchases[ProductID],A615))</f>
        <v/>
      </c>
      <c r="J615">
        <f>IF(A615="","",SUMIFS(Sales[Quantity],Sales[ProductID],A615))</f>
        <v/>
      </c>
      <c r="K615">
        <f>IF(A615="","",N(G615)+N(I615)-N(J615))</f>
        <v/>
      </c>
      <c r="L615" s="10">
        <f>IF(K615="","",K615*N(F615))</f>
        <v/>
      </c>
      <c r="M615">
        <f>IF(K615="","",IF(K615&lt;=N(H615),"LOW","OK"))</f>
        <v/>
      </c>
    </row>
    <row r="616">
      <c r="E616" s="10" t="n"/>
      <c r="F616" s="10" t="n"/>
      <c r="I616">
        <f>IF(A616="","",SUMIFS(Purchases[Quantity],Purchases[ProductID],A616))</f>
        <v/>
      </c>
      <c r="J616">
        <f>IF(A616="","",SUMIFS(Sales[Quantity],Sales[ProductID],A616))</f>
        <v/>
      </c>
      <c r="K616">
        <f>IF(A616="","",N(G616)+N(I616)-N(J616))</f>
        <v/>
      </c>
      <c r="L616" s="10">
        <f>IF(K616="","",K616*N(F616))</f>
        <v/>
      </c>
      <c r="M616">
        <f>IF(K616="","",IF(K616&lt;=N(H616),"LOW","OK"))</f>
        <v/>
      </c>
    </row>
    <row r="617">
      <c r="E617" s="10" t="n"/>
      <c r="F617" s="10" t="n"/>
      <c r="I617">
        <f>IF(A617="","",SUMIFS(Purchases[Quantity],Purchases[ProductID],A617))</f>
        <v/>
      </c>
      <c r="J617">
        <f>IF(A617="","",SUMIFS(Sales[Quantity],Sales[ProductID],A617))</f>
        <v/>
      </c>
      <c r="K617">
        <f>IF(A617="","",N(G617)+N(I617)-N(J617))</f>
        <v/>
      </c>
      <c r="L617" s="10">
        <f>IF(K617="","",K617*N(F617))</f>
        <v/>
      </c>
      <c r="M617">
        <f>IF(K617="","",IF(K617&lt;=N(H617),"LOW","OK"))</f>
        <v/>
      </c>
    </row>
    <row r="618">
      <c r="E618" s="10" t="n"/>
      <c r="F618" s="10" t="n"/>
      <c r="I618">
        <f>IF(A618="","",SUMIFS(Purchases[Quantity],Purchases[ProductID],A618))</f>
        <v/>
      </c>
      <c r="J618">
        <f>IF(A618="","",SUMIFS(Sales[Quantity],Sales[ProductID],A618))</f>
        <v/>
      </c>
      <c r="K618">
        <f>IF(A618="","",N(G618)+N(I618)-N(J618))</f>
        <v/>
      </c>
      <c r="L618" s="10">
        <f>IF(K618="","",K618*N(F618))</f>
        <v/>
      </c>
      <c r="M618">
        <f>IF(K618="","",IF(K618&lt;=N(H618),"LOW","OK"))</f>
        <v/>
      </c>
    </row>
    <row r="619">
      <c r="E619" s="10" t="n"/>
      <c r="F619" s="10" t="n"/>
      <c r="I619">
        <f>IF(A619="","",SUMIFS(Purchases[Quantity],Purchases[ProductID],A619))</f>
        <v/>
      </c>
      <c r="J619">
        <f>IF(A619="","",SUMIFS(Sales[Quantity],Sales[ProductID],A619))</f>
        <v/>
      </c>
      <c r="K619">
        <f>IF(A619="","",N(G619)+N(I619)-N(J619))</f>
        <v/>
      </c>
      <c r="L619" s="10">
        <f>IF(K619="","",K619*N(F619))</f>
        <v/>
      </c>
      <c r="M619">
        <f>IF(K619="","",IF(K619&lt;=N(H619),"LOW","OK"))</f>
        <v/>
      </c>
    </row>
    <row r="620">
      <c r="E620" s="10" t="n"/>
      <c r="F620" s="10" t="n"/>
      <c r="I620">
        <f>IF(A620="","",SUMIFS(Purchases[Quantity],Purchases[ProductID],A620))</f>
        <v/>
      </c>
      <c r="J620">
        <f>IF(A620="","",SUMIFS(Sales[Quantity],Sales[ProductID],A620))</f>
        <v/>
      </c>
      <c r="K620">
        <f>IF(A620="","",N(G620)+N(I620)-N(J620))</f>
        <v/>
      </c>
      <c r="L620" s="10">
        <f>IF(K620="","",K620*N(F620))</f>
        <v/>
      </c>
      <c r="M620">
        <f>IF(K620="","",IF(K620&lt;=N(H620),"LOW","OK"))</f>
        <v/>
      </c>
    </row>
    <row r="621">
      <c r="E621" s="10" t="n"/>
      <c r="F621" s="10" t="n"/>
      <c r="I621">
        <f>IF(A621="","",SUMIFS(Purchases[Quantity],Purchases[ProductID],A621))</f>
        <v/>
      </c>
      <c r="J621">
        <f>IF(A621="","",SUMIFS(Sales[Quantity],Sales[ProductID],A621))</f>
        <v/>
      </c>
      <c r="K621">
        <f>IF(A621="","",N(G621)+N(I621)-N(J621))</f>
        <v/>
      </c>
      <c r="L621" s="10">
        <f>IF(K621="","",K621*N(F621))</f>
        <v/>
      </c>
      <c r="M621">
        <f>IF(K621="","",IF(K621&lt;=N(H621),"LOW","OK"))</f>
        <v/>
      </c>
    </row>
    <row r="622">
      <c r="E622" s="10" t="n"/>
      <c r="F622" s="10" t="n"/>
      <c r="I622">
        <f>IF(A622="","",SUMIFS(Purchases[Quantity],Purchases[ProductID],A622))</f>
        <v/>
      </c>
      <c r="J622">
        <f>IF(A622="","",SUMIFS(Sales[Quantity],Sales[ProductID],A622))</f>
        <v/>
      </c>
      <c r="K622">
        <f>IF(A622="","",N(G622)+N(I622)-N(J622))</f>
        <v/>
      </c>
      <c r="L622" s="10">
        <f>IF(K622="","",K622*N(F622))</f>
        <v/>
      </c>
      <c r="M622">
        <f>IF(K622="","",IF(K622&lt;=N(H622),"LOW","OK"))</f>
        <v/>
      </c>
    </row>
    <row r="623">
      <c r="E623" s="10" t="n"/>
      <c r="F623" s="10" t="n"/>
      <c r="I623">
        <f>IF(A623="","",SUMIFS(Purchases[Quantity],Purchases[ProductID],A623))</f>
        <v/>
      </c>
      <c r="J623">
        <f>IF(A623="","",SUMIFS(Sales[Quantity],Sales[ProductID],A623))</f>
        <v/>
      </c>
      <c r="K623">
        <f>IF(A623="","",N(G623)+N(I623)-N(J623))</f>
        <v/>
      </c>
      <c r="L623" s="10">
        <f>IF(K623="","",K623*N(F623))</f>
        <v/>
      </c>
      <c r="M623">
        <f>IF(K623="","",IF(K623&lt;=N(H623),"LOW","OK"))</f>
        <v/>
      </c>
    </row>
    <row r="624">
      <c r="E624" s="10" t="n"/>
      <c r="F624" s="10" t="n"/>
      <c r="I624">
        <f>IF(A624="","",SUMIFS(Purchases[Quantity],Purchases[ProductID],A624))</f>
        <v/>
      </c>
      <c r="J624">
        <f>IF(A624="","",SUMIFS(Sales[Quantity],Sales[ProductID],A624))</f>
        <v/>
      </c>
      <c r="K624">
        <f>IF(A624="","",N(G624)+N(I624)-N(J624))</f>
        <v/>
      </c>
      <c r="L624" s="10">
        <f>IF(K624="","",K624*N(F624))</f>
        <v/>
      </c>
      <c r="M624">
        <f>IF(K624="","",IF(K624&lt;=N(H624),"LOW","OK"))</f>
        <v/>
      </c>
    </row>
    <row r="625">
      <c r="E625" s="10" t="n"/>
      <c r="F625" s="10" t="n"/>
      <c r="I625">
        <f>IF(A625="","",SUMIFS(Purchases[Quantity],Purchases[ProductID],A625))</f>
        <v/>
      </c>
      <c r="J625">
        <f>IF(A625="","",SUMIFS(Sales[Quantity],Sales[ProductID],A625))</f>
        <v/>
      </c>
      <c r="K625">
        <f>IF(A625="","",N(G625)+N(I625)-N(J625))</f>
        <v/>
      </c>
      <c r="L625" s="10">
        <f>IF(K625="","",K625*N(F625))</f>
        <v/>
      </c>
      <c r="M625">
        <f>IF(K625="","",IF(K625&lt;=N(H625),"LOW","OK"))</f>
        <v/>
      </c>
    </row>
    <row r="626">
      <c r="E626" s="10" t="n"/>
      <c r="F626" s="10" t="n"/>
      <c r="I626">
        <f>IF(A626="","",SUMIFS(Purchases[Quantity],Purchases[ProductID],A626))</f>
        <v/>
      </c>
      <c r="J626">
        <f>IF(A626="","",SUMIFS(Sales[Quantity],Sales[ProductID],A626))</f>
        <v/>
      </c>
      <c r="K626">
        <f>IF(A626="","",N(G626)+N(I626)-N(J626))</f>
        <v/>
      </c>
      <c r="L626" s="10">
        <f>IF(K626="","",K626*N(F626))</f>
        <v/>
      </c>
      <c r="M626">
        <f>IF(K626="","",IF(K626&lt;=N(H626),"LOW","OK"))</f>
        <v/>
      </c>
    </row>
    <row r="627">
      <c r="E627" s="10" t="n"/>
      <c r="F627" s="10" t="n"/>
      <c r="I627">
        <f>IF(A627="","",SUMIFS(Purchases[Quantity],Purchases[ProductID],A627))</f>
        <v/>
      </c>
      <c r="J627">
        <f>IF(A627="","",SUMIFS(Sales[Quantity],Sales[ProductID],A627))</f>
        <v/>
      </c>
      <c r="K627">
        <f>IF(A627="","",N(G627)+N(I627)-N(J627))</f>
        <v/>
      </c>
      <c r="L627" s="10">
        <f>IF(K627="","",K627*N(F627))</f>
        <v/>
      </c>
      <c r="M627">
        <f>IF(K627="","",IF(K627&lt;=N(H627),"LOW","OK"))</f>
        <v/>
      </c>
    </row>
    <row r="628">
      <c r="E628" s="10" t="n"/>
      <c r="F628" s="10" t="n"/>
      <c r="I628">
        <f>IF(A628="","",SUMIFS(Purchases[Quantity],Purchases[ProductID],A628))</f>
        <v/>
      </c>
      <c r="J628">
        <f>IF(A628="","",SUMIFS(Sales[Quantity],Sales[ProductID],A628))</f>
        <v/>
      </c>
      <c r="K628">
        <f>IF(A628="","",N(G628)+N(I628)-N(J628))</f>
        <v/>
      </c>
      <c r="L628" s="10">
        <f>IF(K628="","",K628*N(F628))</f>
        <v/>
      </c>
      <c r="M628">
        <f>IF(K628="","",IF(K628&lt;=N(H628),"LOW","OK"))</f>
        <v/>
      </c>
    </row>
    <row r="629">
      <c r="E629" s="10" t="n"/>
      <c r="F629" s="10" t="n"/>
      <c r="I629">
        <f>IF(A629="","",SUMIFS(Purchases[Quantity],Purchases[ProductID],A629))</f>
        <v/>
      </c>
      <c r="J629">
        <f>IF(A629="","",SUMIFS(Sales[Quantity],Sales[ProductID],A629))</f>
        <v/>
      </c>
      <c r="K629">
        <f>IF(A629="","",N(G629)+N(I629)-N(J629))</f>
        <v/>
      </c>
      <c r="L629" s="10">
        <f>IF(K629="","",K629*N(F629))</f>
        <v/>
      </c>
      <c r="M629">
        <f>IF(K629="","",IF(K629&lt;=N(H629),"LOW","OK"))</f>
        <v/>
      </c>
    </row>
    <row r="630">
      <c r="E630" s="10" t="n"/>
      <c r="F630" s="10" t="n"/>
      <c r="I630">
        <f>IF(A630="","",SUMIFS(Purchases[Quantity],Purchases[ProductID],A630))</f>
        <v/>
      </c>
      <c r="J630">
        <f>IF(A630="","",SUMIFS(Sales[Quantity],Sales[ProductID],A630))</f>
        <v/>
      </c>
      <c r="K630">
        <f>IF(A630="","",N(G630)+N(I630)-N(J630))</f>
        <v/>
      </c>
      <c r="L630" s="10">
        <f>IF(K630="","",K630*N(F630))</f>
        <v/>
      </c>
      <c r="M630">
        <f>IF(K630="","",IF(K630&lt;=N(H630),"LOW","OK"))</f>
        <v/>
      </c>
    </row>
    <row r="631">
      <c r="E631" s="10" t="n"/>
      <c r="F631" s="10" t="n"/>
      <c r="I631">
        <f>IF(A631="","",SUMIFS(Purchases[Quantity],Purchases[ProductID],A631))</f>
        <v/>
      </c>
      <c r="J631">
        <f>IF(A631="","",SUMIFS(Sales[Quantity],Sales[ProductID],A631))</f>
        <v/>
      </c>
      <c r="K631">
        <f>IF(A631="","",N(G631)+N(I631)-N(J631))</f>
        <v/>
      </c>
      <c r="L631" s="10">
        <f>IF(K631="","",K631*N(F631))</f>
        <v/>
      </c>
      <c r="M631">
        <f>IF(K631="","",IF(K631&lt;=N(H631),"LOW","OK"))</f>
        <v/>
      </c>
    </row>
    <row r="632">
      <c r="E632" s="10" t="n"/>
      <c r="F632" s="10" t="n"/>
      <c r="I632">
        <f>IF(A632="","",SUMIFS(Purchases[Quantity],Purchases[ProductID],A632))</f>
        <v/>
      </c>
      <c r="J632">
        <f>IF(A632="","",SUMIFS(Sales[Quantity],Sales[ProductID],A632))</f>
        <v/>
      </c>
      <c r="K632">
        <f>IF(A632="","",N(G632)+N(I632)-N(J632))</f>
        <v/>
      </c>
      <c r="L632" s="10">
        <f>IF(K632="","",K632*N(F632))</f>
        <v/>
      </c>
      <c r="M632">
        <f>IF(K632="","",IF(K632&lt;=N(H632),"LOW","OK"))</f>
        <v/>
      </c>
    </row>
    <row r="633">
      <c r="E633" s="10" t="n"/>
      <c r="F633" s="10" t="n"/>
      <c r="I633">
        <f>IF(A633="","",SUMIFS(Purchases[Quantity],Purchases[ProductID],A633))</f>
        <v/>
      </c>
      <c r="J633">
        <f>IF(A633="","",SUMIFS(Sales[Quantity],Sales[ProductID],A633))</f>
        <v/>
      </c>
      <c r="K633">
        <f>IF(A633="","",N(G633)+N(I633)-N(J633))</f>
        <v/>
      </c>
      <c r="L633" s="10">
        <f>IF(K633="","",K633*N(F633))</f>
        <v/>
      </c>
      <c r="M633">
        <f>IF(K633="","",IF(K633&lt;=N(H633),"LOW","OK"))</f>
        <v/>
      </c>
    </row>
    <row r="634">
      <c r="E634" s="10" t="n"/>
      <c r="F634" s="10" t="n"/>
      <c r="I634">
        <f>IF(A634="","",SUMIFS(Purchases[Quantity],Purchases[ProductID],A634))</f>
        <v/>
      </c>
      <c r="J634">
        <f>IF(A634="","",SUMIFS(Sales[Quantity],Sales[ProductID],A634))</f>
        <v/>
      </c>
      <c r="K634">
        <f>IF(A634="","",N(G634)+N(I634)-N(J634))</f>
        <v/>
      </c>
      <c r="L634" s="10">
        <f>IF(K634="","",K634*N(F634))</f>
        <v/>
      </c>
      <c r="M634">
        <f>IF(K634="","",IF(K634&lt;=N(H634),"LOW","OK"))</f>
        <v/>
      </c>
    </row>
    <row r="635">
      <c r="E635" s="10" t="n"/>
      <c r="F635" s="10" t="n"/>
      <c r="I635">
        <f>IF(A635="","",SUMIFS(Purchases[Quantity],Purchases[ProductID],A635))</f>
        <v/>
      </c>
      <c r="J635">
        <f>IF(A635="","",SUMIFS(Sales[Quantity],Sales[ProductID],A635))</f>
        <v/>
      </c>
      <c r="K635">
        <f>IF(A635="","",N(G635)+N(I635)-N(J635))</f>
        <v/>
      </c>
      <c r="L635" s="10">
        <f>IF(K635="","",K635*N(F635))</f>
        <v/>
      </c>
      <c r="M635">
        <f>IF(K635="","",IF(K635&lt;=N(H635),"LOW","OK"))</f>
        <v/>
      </c>
    </row>
    <row r="636">
      <c r="E636" s="10" t="n"/>
      <c r="F636" s="10" t="n"/>
      <c r="I636">
        <f>IF(A636="","",SUMIFS(Purchases[Quantity],Purchases[ProductID],A636))</f>
        <v/>
      </c>
      <c r="J636">
        <f>IF(A636="","",SUMIFS(Sales[Quantity],Sales[ProductID],A636))</f>
        <v/>
      </c>
      <c r="K636">
        <f>IF(A636="","",N(G636)+N(I636)-N(J636))</f>
        <v/>
      </c>
      <c r="L636" s="10">
        <f>IF(K636="","",K636*N(F636))</f>
        <v/>
      </c>
      <c r="M636">
        <f>IF(K636="","",IF(K636&lt;=N(H636),"LOW","OK"))</f>
        <v/>
      </c>
    </row>
    <row r="637">
      <c r="E637" s="10" t="n"/>
      <c r="F637" s="10" t="n"/>
      <c r="I637">
        <f>IF(A637="","",SUMIFS(Purchases[Quantity],Purchases[ProductID],A637))</f>
        <v/>
      </c>
      <c r="J637">
        <f>IF(A637="","",SUMIFS(Sales[Quantity],Sales[ProductID],A637))</f>
        <v/>
      </c>
      <c r="K637">
        <f>IF(A637="","",N(G637)+N(I637)-N(J637))</f>
        <v/>
      </c>
      <c r="L637" s="10">
        <f>IF(K637="","",K637*N(F637))</f>
        <v/>
      </c>
      <c r="M637">
        <f>IF(K637="","",IF(K637&lt;=N(H637),"LOW","OK"))</f>
        <v/>
      </c>
    </row>
    <row r="638">
      <c r="E638" s="10" t="n"/>
      <c r="F638" s="10" t="n"/>
      <c r="I638">
        <f>IF(A638="","",SUMIFS(Purchases[Quantity],Purchases[ProductID],A638))</f>
        <v/>
      </c>
      <c r="J638">
        <f>IF(A638="","",SUMIFS(Sales[Quantity],Sales[ProductID],A638))</f>
        <v/>
      </c>
      <c r="K638">
        <f>IF(A638="","",N(G638)+N(I638)-N(J638))</f>
        <v/>
      </c>
      <c r="L638" s="10">
        <f>IF(K638="","",K638*N(F638))</f>
        <v/>
      </c>
      <c r="M638">
        <f>IF(K638="","",IF(K638&lt;=N(H638),"LOW","OK"))</f>
        <v/>
      </c>
    </row>
    <row r="639">
      <c r="E639" s="10" t="n"/>
      <c r="F639" s="10" t="n"/>
      <c r="I639">
        <f>IF(A639="","",SUMIFS(Purchases[Quantity],Purchases[ProductID],A639))</f>
        <v/>
      </c>
      <c r="J639">
        <f>IF(A639="","",SUMIFS(Sales[Quantity],Sales[ProductID],A639))</f>
        <v/>
      </c>
      <c r="K639">
        <f>IF(A639="","",N(G639)+N(I639)-N(J639))</f>
        <v/>
      </c>
      <c r="L639" s="10">
        <f>IF(K639="","",K639*N(F639))</f>
        <v/>
      </c>
      <c r="M639">
        <f>IF(K639="","",IF(K639&lt;=N(H639),"LOW","OK"))</f>
        <v/>
      </c>
    </row>
    <row r="640">
      <c r="E640" s="10" t="n"/>
      <c r="F640" s="10" t="n"/>
      <c r="I640">
        <f>IF(A640="","",SUMIFS(Purchases[Quantity],Purchases[ProductID],A640))</f>
        <v/>
      </c>
      <c r="J640">
        <f>IF(A640="","",SUMIFS(Sales[Quantity],Sales[ProductID],A640))</f>
        <v/>
      </c>
      <c r="K640">
        <f>IF(A640="","",N(G640)+N(I640)-N(J640))</f>
        <v/>
      </c>
      <c r="L640" s="10">
        <f>IF(K640="","",K640*N(F640))</f>
        <v/>
      </c>
      <c r="M640">
        <f>IF(K640="","",IF(K640&lt;=N(H640),"LOW","OK"))</f>
        <v/>
      </c>
    </row>
    <row r="641">
      <c r="E641" s="10" t="n"/>
      <c r="F641" s="10" t="n"/>
      <c r="I641">
        <f>IF(A641="","",SUMIFS(Purchases[Quantity],Purchases[ProductID],A641))</f>
        <v/>
      </c>
      <c r="J641">
        <f>IF(A641="","",SUMIFS(Sales[Quantity],Sales[ProductID],A641))</f>
        <v/>
      </c>
      <c r="K641">
        <f>IF(A641="","",N(G641)+N(I641)-N(J641))</f>
        <v/>
      </c>
      <c r="L641" s="10">
        <f>IF(K641="","",K641*N(F641))</f>
        <v/>
      </c>
      <c r="M641">
        <f>IF(K641="","",IF(K641&lt;=N(H641),"LOW","OK"))</f>
        <v/>
      </c>
    </row>
    <row r="642">
      <c r="E642" s="10" t="n"/>
      <c r="F642" s="10" t="n"/>
      <c r="I642">
        <f>IF(A642="","",SUMIFS(Purchases[Quantity],Purchases[ProductID],A642))</f>
        <v/>
      </c>
      <c r="J642">
        <f>IF(A642="","",SUMIFS(Sales[Quantity],Sales[ProductID],A642))</f>
        <v/>
      </c>
      <c r="K642">
        <f>IF(A642="","",N(G642)+N(I642)-N(J642))</f>
        <v/>
      </c>
      <c r="L642" s="10">
        <f>IF(K642="","",K642*N(F642))</f>
        <v/>
      </c>
      <c r="M642">
        <f>IF(K642="","",IF(K642&lt;=N(H642),"LOW","OK"))</f>
        <v/>
      </c>
    </row>
    <row r="643">
      <c r="E643" s="10" t="n"/>
      <c r="F643" s="10" t="n"/>
      <c r="I643">
        <f>IF(A643="","",SUMIFS(Purchases[Quantity],Purchases[ProductID],A643))</f>
        <v/>
      </c>
      <c r="J643">
        <f>IF(A643="","",SUMIFS(Sales[Quantity],Sales[ProductID],A643))</f>
        <v/>
      </c>
      <c r="K643">
        <f>IF(A643="","",N(G643)+N(I643)-N(J643))</f>
        <v/>
      </c>
      <c r="L643" s="10">
        <f>IF(K643="","",K643*N(F643))</f>
        <v/>
      </c>
      <c r="M643">
        <f>IF(K643="","",IF(K643&lt;=N(H643),"LOW","OK"))</f>
        <v/>
      </c>
    </row>
    <row r="644">
      <c r="E644" s="10" t="n"/>
      <c r="F644" s="10" t="n"/>
      <c r="I644">
        <f>IF(A644="","",SUMIFS(Purchases[Quantity],Purchases[ProductID],A644))</f>
        <v/>
      </c>
      <c r="J644">
        <f>IF(A644="","",SUMIFS(Sales[Quantity],Sales[ProductID],A644))</f>
        <v/>
      </c>
      <c r="K644">
        <f>IF(A644="","",N(G644)+N(I644)-N(J644))</f>
        <v/>
      </c>
      <c r="L644" s="10">
        <f>IF(K644="","",K644*N(F644))</f>
        <v/>
      </c>
      <c r="M644">
        <f>IF(K644="","",IF(K644&lt;=N(H644),"LOW","OK"))</f>
        <v/>
      </c>
    </row>
    <row r="645">
      <c r="E645" s="10" t="n"/>
      <c r="F645" s="10" t="n"/>
      <c r="I645">
        <f>IF(A645="","",SUMIFS(Purchases[Quantity],Purchases[ProductID],A645))</f>
        <v/>
      </c>
      <c r="J645">
        <f>IF(A645="","",SUMIFS(Sales[Quantity],Sales[ProductID],A645))</f>
        <v/>
      </c>
      <c r="K645">
        <f>IF(A645="","",N(G645)+N(I645)-N(J645))</f>
        <v/>
      </c>
      <c r="L645" s="10">
        <f>IF(K645="","",K645*N(F645))</f>
        <v/>
      </c>
      <c r="M645">
        <f>IF(K645="","",IF(K645&lt;=N(H645),"LOW","OK"))</f>
        <v/>
      </c>
    </row>
    <row r="646">
      <c r="E646" s="10" t="n"/>
      <c r="F646" s="10" t="n"/>
      <c r="I646">
        <f>IF(A646="","",SUMIFS(Purchases[Quantity],Purchases[ProductID],A646))</f>
        <v/>
      </c>
      <c r="J646">
        <f>IF(A646="","",SUMIFS(Sales[Quantity],Sales[ProductID],A646))</f>
        <v/>
      </c>
      <c r="K646">
        <f>IF(A646="","",N(G646)+N(I646)-N(J646))</f>
        <v/>
      </c>
      <c r="L646" s="10">
        <f>IF(K646="","",K646*N(F646))</f>
        <v/>
      </c>
      <c r="M646">
        <f>IF(K646="","",IF(K646&lt;=N(H646),"LOW","OK"))</f>
        <v/>
      </c>
    </row>
    <row r="647">
      <c r="E647" s="10" t="n"/>
      <c r="F647" s="10" t="n"/>
      <c r="I647">
        <f>IF(A647="","",SUMIFS(Purchases[Quantity],Purchases[ProductID],A647))</f>
        <v/>
      </c>
      <c r="J647">
        <f>IF(A647="","",SUMIFS(Sales[Quantity],Sales[ProductID],A647))</f>
        <v/>
      </c>
      <c r="K647">
        <f>IF(A647="","",N(G647)+N(I647)-N(J647))</f>
        <v/>
      </c>
      <c r="L647" s="10">
        <f>IF(K647="","",K647*N(F647))</f>
        <v/>
      </c>
      <c r="M647">
        <f>IF(K647="","",IF(K647&lt;=N(H647),"LOW","OK"))</f>
        <v/>
      </c>
    </row>
    <row r="648">
      <c r="E648" s="10" t="n"/>
      <c r="F648" s="10" t="n"/>
      <c r="I648">
        <f>IF(A648="","",SUMIFS(Purchases[Quantity],Purchases[ProductID],A648))</f>
        <v/>
      </c>
      <c r="J648">
        <f>IF(A648="","",SUMIFS(Sales[Quantity],Sales[ProductID],A648))</f>
        <v/>
      </c>
      <c r="K648">
        <f>IF(A648="","",N(G648)+N(I648)-N(J648))</f>
        <v/>
      </c>
      <c r="L648" s="10">
        <f>IF(K648="","",K648*N(F648))</f>
        <v/>
      </c>
      <c r="M648">
        <f>IF(K648="","",IF(K648&lt;=N(H648),"LOW","OK"))</f>
        <v/>
      </c>
    </row>
    <row r="649">
      <c r="E649" s="10" t="n"/>
      <c r="F649" s="10" t="n"/>
      <c r="I649">
        <f>IF(A649="","",SUMIFS(Purchases[Quantity],Purchases[ProductID],A649))</f>
        <v/>
      </c>
      <c r="J649">
        <f>IF(A649="","",SUMIFS(Sales[Quantity],Sales[ProductID],A649))</f>
        <v/>
      </c>
      <c r="K649">
        <f>IF(A649="","",N(G649)+N(I649)-N(J649))</f>
        <v/>
      </c>
      <c r="L649" s="10">
        <f>IF(K649="","",K649*N(F649))</f>
        <v/>
      </c>
      <c r="M649">
        <f>IF(K649="","",IF(K649&lt;=N(H649),"LOW","OK"))</f>
        <v/>
      </c>
    </row>
    <row r="650">
      <c r="E650" s="10" t="n"/>
      <c r="F650" s="10" t="n"/>
      <c r="I650">
        <f>IF(A650="","",SUMIFS(Purchases[Quantity],Purchases[ProductID],A650))</f>
        <v/>
      </c>
      <c r="J650">
        <f>IF(A650="","",SUMIFS(Sales[Quantity],Sales[ProductID],A650))</f>
        <v/>
      </c>
      <c r="K650">
        <f>IF(A650="","",N(G650)+N(I650)-N(J650))</f>
        <v/>
      </c>
      <c r="L650" s="10">
        <f>IF(K650="","",K650*N(F650))</f>
        <v/>
      </c>
      <c r="M650">
        <f>IF(K650="","",IF(K650&lt;=N(H650),"LOW","OK"))</f>
        <v/>
      </c>
    </row>
    <row r="651">
      <c r="E651" s="10" t="n"/>
      <c r="F651" s="10" t="n"/>
      <c r="I651">
        <f>IF(A651="","",SUMIFS(Purchases[Quantity],Purchases[ProductID],A651))</f>
        <v/>
      </c>
      <c r="J651">
        <f>IF(A651="","",SUMIFS(Sales[Quantity],Sales[ProductID],A651))</f>
        <v/>
      </c>
      <c r="K651">
        <f>IF(A651="","",N(G651)+N(I651)-N(J651))</f>
        <v/>
      </c>
      <c r="L651" s="10">
        <f>IF(K651="","",K651*N(F651))</f>
        <v/>
      </c>
      <c r="M651">
        <f>IF(K651="","",IF(K651&lt;=N(H651),"LOW","OK"))</f>
        <v/>
      </c>
    </row>
    <row r="652">
      <c r="E652" s="10" t="n"/>
      <c r="F652" s="10" t="n"/>
      <c r="I652">
        <f>IF(A652="","",SUMIFS(Purchases[Quantity],Purchases[ProductID],A652))</f>
        <v/>
      </c>
      <c r="J652">
        <f>IF(A652="","",SUMIFS(Sales[Quantity],Sales[ProductID],A652))</f>
        <v/>
      </c>
      <c r="K652">
        <f>IF(A652="","",N(G652)+N(I652)-N(J652))</f>
        <v/>
      </c>
      <c r="L652" s="10">
        <f>IF(K652="","",K652*N(F652))</f>
        <v/>
      </c>
      <c r="M652">
        <f>IF(K652="","",IF(K652&lt;=N(H652),"LOW","OK"))</f>
        <v/>
      </c>
    </row>
    <row r="653">
      <c r="E653" s="10" t="n"/>
      <c r="F653" s="10" t="n"/>
      <c r="I653">
        <f>IF(A653="","",SUMIFS(Purchases[Quantity],Purchases[ProductID],A653))</f>
        <v/>
      </c>
      <c r="J653">
        <f>IF(A653="","",SUMIFS(Sales[Quantity],Sales[ProductID],A653))</f>
        <v/>
      </c>
      <c r="K653">
        <f>IF(A653="","",N(G653)+N(I653)-N(J653))</f>
        <v/>
      </c>
      <c r="L653" s="10">
        <f>IF(K653="","",K653*N(F653))</f>
        <v/>
      </c>
      <c r="M653">
        <f>IF(K653="","",IF(K653&lt;=N(H653),"LOW","OK"))</f>
        <v/>
      </c>
    </row>
    <row r="654">
      <c r="E654" s="10" t="n"/>
      <c r="F654" s="10" t="n"/>
      <c r="I654">
        <f>IF(A654="","",SUMIFS(Purchases[Quantity],Purchases[ProductID],A654))</f>
        <v/>
      </c>
      <c r="J654">
        <f>IF(A654="","",SUMIFS(Sales[Quantity],Sales[ProductID],A654))</f>
        <v/>
      </c>
      <c r="K654">
        <f>IF(A654="","",N(G654)+N(I654)-N(J654))</f>
        <v/>
      </c>
      <c r="L654" s="10">
        <f>IF(K654="","",K654*N(F654))</f>
        <v/>
      </c>
      <c r="M654">
        <f>IF(K654="","",IF(K654&lt;=N(H654),"LOW","OK"))</f>
        <v/>
      </c>
    </row>
    <row r="655">
      <c r="E655" s="10" t="n"/>
      <c r="F655" s="10" t="n"/>
      <c r="I655">
        <f>IF(A655="","",SUMIFS(Purchases[Quantity],Purchases[ProductID],A655))</f>
        <v/>
      </c>
      <c r="J655">
        <f>IF(A655="","",SUMIFS(Sales[Quantity],Sales[ProductID],A655))</f>
        <v/>
      </c>
      <c r="K655">
        <f>IF(A655="","",N(G655)+N(I655)-N(J655))</f>
        <v/>
      </c>
      <c r="L655" s="10">
        <f>IF(K655="","",K655*N(F655))</f>
        <v/>
      </c>
      <c r="M655">
        <f>IF(K655="","",IF(K655&lt;=N(H655),"LOW","OK"))</f>
        <v/>
      </c>
    </row>
    <row r="656">
      <c r="E656" s="10" t="n"/>
      <c r="F656" s="10" t="n"/>
      <c r="I656">
        <f>IF(A656="","",SUMIFS(Purchases[Quantity],Purchases[ProductID],A656))</f>
        <v/>
      </c>
      <c r="J656">
        <f>IF(A656="","",SUMIFS(Sales[Quantity],Sales[ProductID],A656))</f>
        <v/>
      </c>
      <c r="K656">
        <f>IF(A656="","",N(G656)+N(I656)-N(J656))</f>
        <v/>
      </c>
      <c r="L656" s="10">
        <f>IF(K656="","",K656*N(F656))</f>
        <v/>
      </c>
      <c r="M656">
        <f>IF(K656="","",IF(K656&lt;=N(H656),"LOW","OK"))</f>
        <v/>
      </c>
    </row>
    <row r="657">
      <c r="E657" s="10" t="n"/>
      <c r="F657" s="10" t="n"/>
      <c r="I657">
        <f>IF(A657="","",SUMIFS(Purchases[Quantity],Purchases[ProductID],A657))</f>
        <v/>
      </c>
      <c r="J657">
        <f>IF(A657="","",SUMIFS(Sales[Quantity],Sales[ProductID],A657))</f>
        <v/>
      </c>
      <c r="K657">
        <f>IF(A657="","",N(G657)+N(I657)-N(J657))</f>
        <v/>
      </c>
      <c r="L657" s="10">
        <f>IF(K657="","",K657*N(F657))</f>
        <v/>
      </c>
      <c r="M657">
        <f>IF(K657="","",IF(K657&lt;=N(H657),"LOW","OK"))</f>
        <v/>
      </c>
    </row>
    <row r="658">
      <c r="E658" s="10" t="n"/>
      <c r="F658" s="10" t="n"/>
      <c r="I658">
        <f>IF(A658="","",SUMIFS(Purchases[Quantity],Purchases[ProductID],A658))</f>
        <v/>
      </c>
      <c r="J658">
        <f>IF(A658="","",SUMIFS(Sales[Quantity],Sales[ProductID],A658))</f>
        <v/>
      </c>
      <c r="K658">
        <f>IF(A658="","",N(G658)+N(I658)-N(J658))</f>
        <v/>
      </c>
      <c r="L658" s="10">
        <f>IF(K658="","",K658*N(F658))</f>
        <v/>
      </c>
      <c r="M658">
        <f>IF(K658="","",IF(K658&lt;=N(H658),"LOW","OK"))</f>
        <v/>
      </c>
    </row>
    <row r="659">
      <c r="E659" s="10" t="n"/>
      <c r="F659" s="10" t="n"/>
      <c r="I659">
        <f>IF(A659="","",SUMIFS(Purchases[Quantity],Purchases[ProductID],A659))</f>
        <v/>
      </c>
      <c r="J659">
        <f>IF(A659="","",SUMIFS(Sales[Quantity],Sales[ProductID],A659))</f>
        <v/>
      </c>
      <c r="K659">
        <f>IF(A659="","",N(G659)+N(I659)-N(J659))</f>
        <v/>
      </c>
      <c r="L659" s="10">
        <f>IF(K659="","",K659*N(F659))</f>
        <v/>
      </c>
      <c r="M659">
        <f>IF(K659="","",IF(K659&lt;=N(H659),"LOW","OK"))</f>
        <v/>
      </c>
    </row>
    <row r="660">
      <c r="E660" s="10" t="n"/>
      <c r="F660" s="10" t="n"/>
      <c r="I660">
        <f>IF(A660="","",SUMIFS(Purchases[Quantity],Purchases[ProductID],A660))</f>
        <v/>
      </c>
      <c r="J660">
        <f>IF(A660="","",SUMIFS(Sales[Quantity],Sales[ProductID],A660))</f>
        <v/>
      </c>
      <c r="K660">
        <f>IF(A660="","",N(G660)+N(I660)-N(J660))</f>
        <v/>
      </c>
      <c r="L660" s="10">
        <f>IF(K660="","",K660*N(F660))</f>
        <v/>
      </c>
      <c r="M660">
        <f>IF(K660="","",IF(K660&lt;=N(H660),"LOW","OK"))</f>
        <v/>
      </c>
    </row>
    <row r="661">
      <c r="E661" s="10" t="n"/>
      <c r="F661" s="10" t="n"/>
      <c r="I661">
        <f>IF(A661="","",SUMIFS(Purchases[Quantity],Purchases[ProductID],A661))</f>
        <v/>
      </c>
      <c r="J661">
        <f>IF(A661="","",SUMIFS(Sales[Quantity],Sales[ProductID],A661))</f>
        <v/>
      </c>
      <c r="K661">
        <f>IF(A661="","",N(G661)+N(I661)-N(J661))</f>
        <v/>
      </c>
      <c r="L661" s="10">
        <f>IF(K661="","",K661*N(F661))</f>
        <v/>
      </c>
      <c r="M661">
        <f>IF(K661="","",IF(K661&lt;=N(H661),"LOW","OK"))</f>
        <v/>
      </c>
    </row>
    <row r="662">
      <c r="E662" s="10" t="n"/>
      <c r="F662" s="10" t="n"/>
      <c r="I662">
        <f>IF(A662="","",SUMIFS(Purchases[Quantity],Purchases[ProductID],A662))</f>
        <v/>
      </c>
      <c r="J662">
        <f>IF(A662="","",SUMIFS(Sales[Quantity],Sales[ProductID],A662))</f>
        <v/>
      </c>
      <c r="K662">
        <f>IF(A662="","",N(G662)+N(I662)-N(J662))</f>
        <v/>
      </c>
      <c r="L662" s="10">
        <f>IF(K662="","",K662*N(F662))</f>
        <v/>
      </c>
      <c r="M662">
        <f>IF(K662="","",IF(K662&lt;=N(H662),"LOW","OK"))</f>
        <v/>
      </c>
    </row>
    <row r="663">
      <c r="E663" s="10" t="n"/>
      <c r="F663" s="10" t="n"/>
      <c r="I663">
        <f>IF(A663="","",SUMIFS(Purchases[Quantity],Purchases[ProductID],A663))</f>
        <v/>
      </c>
      <c r="J663">
        <f>IF(A663="","",SUMIFS(Sales[Quantity],Sales[ProductID],A663))</f>
        <v/>
      </c>
      <c r="K663">
        <f>IF(A663="","",N(G663)+N(I663)-N(J663))</f>
        <v/>
      </c>
      <c r="L663" s="10">
        <f>IF(K663="","",K663*N(F663))</f>
        <v/>
      </c>
      <c r="M663">
        <f>IF(K663="","",IF(K663&lt;=N(H663),"LOW","OK"))</f>
        <v/>
      </c>
    </row>
    <row r="664">
      <c r="E664" s="10" t="n"/>
      <c r="F664" s="10" t="n"/>
      <c r="I664">
        <f>IF(A664="","",SUMIFS(Purchases[Quantity],Purchases[ProductID],A664))</f>
        <v/>
      </c>
      <c r="J664">
        <f>IF(A664="","",SUMIFS(Sales[Quantity],Sales[ProductID],A664))</f>
        <v/>
      </c>
      <c r="K664">
        <f>IF(A664="","",N(G664)+N(I664)-N(J664))</f>
        <v/>
      </c>
      <c r="L664" s="10">
        <f>IF(K664="","",K664*N(F664))</f>
        <v/>
      </c>
      <c r="M664">
        <f>IF(K664="","",IF(K664&lt;=N(H664),"LOW","OK"))</f>
        <v/>
      </c>
    </row>
    <row r="665">
      <c r="E665" s="10" t="n"/>
      <c r="F665" s="10" t="n"/>
      <c r="I665">
        <f>IF(A665="","",SUMIFS(Purchases[Quantity],Purchases[ProductID],A665))</f>
        <v/>
      </c>
      <c r="J665">
        <f>IF(A665="","",SUMIFS(Sales[Quantity],Sales[ProductID],A665))</f>
        <v/>
      </c>
      <c r="K665">
        <f>IF(A665="","",N(G665)+N(I665)-N(J665))</f>
        <v/>
      </c>
      <c r="L665" s="10">
        <f>IF(K665="","",K665*N(F665))</f>
        <v/>
      </c>
      <c r="M665">
        <f>IF(K665="","",IF(K665&lt;=N(H665),"LOW","OK"))</f>
        <v/>
      </c>
    </row>
    <row r="666">
      <c r="E666" s="10" t="n"/>
      <c r="F666" s="10" t="n"/>
      <c r="I666">
        <f>IF(A666="","",SUMIFS(Purchases[Quantity],Purchases[ProductID],A666))</f>
        <v/>
      </c>
      <c r="J666">
        <f>IF(A666="","",SUMIFS(Sales[Quantity],Sales[ProductID],A666))</f>
        <v/>
      </c>
      <c r="K666">
        <f>IF(A666="","",N(G666)+N(I666)-N(J666))</f>
        <v/>
      </c>
      <c r="L666" s="10">
        <f>IF(K666="","",K666*N(F666))</f>
        <v/>
      </c>
      <c r="M666">
        <f>IF(K666="","",IF(K666&lt;=N(H666),"LOW","OK"))</f>
        <v/>
      </c>
    </row>
    <row r="667">
      <c r="E667" s="10" t="n"/>
      <c r="F667" s="10" t="n"/>
      <c r="I667">
        <f>IF(A667="","",SUMIFS(Purchases[Quantity],Purchases[ProductID],A667))</f>
        <v/>
      </c>
      <c r="J667">
        <f>IF(A667="","",SUMIFS(Sales[Quantity],Sales[ProductID],A667))</f>
        <v/>
      </c>
      <c r="K667">
        <f>IF(A667="","",N(G667)+N(I667)-N(J667))</f>
        <v/>
      </c>
      <c r="L667" s="10">
        <f>IF(K667="","",K667*N(F667))</f>
        <v/>
      </c>
      <c r="M667">
        <f>IF(K667="","",IF(K667&lt;=N(H667),"LOW","OK"))</f>
        <v/>
      </c>
    </row>
    <row r="668">
      <c r="E668" s="10" t="n"/>
      <c r="F668" s="10" t="n"/>
      <c r="I668">
        <f>IF(A668="","",SUMIFS(Purchases[Quantity],Purchases[ProductID],A668))</f>
        <v/>
      </c>
      <c r="J668">
        <f>IF(A668="","",SUMIFS(Sales[Quantity],Sales[ProductID],A668))</f>
        <v/>
      </c>
      <c r="K668">
        <f>IF(A668="","",N(G668)+N(I668)-N(J668))</f>
        <v/>
      </c>
      <c r="L668" s="10">
        <f>IF(K668="","",K668*N(F668))</f>
        <v/>
      </c>
      <c r="M668">
        <f>IF(K668="","",IF(K668&lt;=N(H668),"LOW","OK"))</f>
        <v/>
      </c>
    </row>
    <row r="669">
      <c r="E669" s="10" t="n"/>
      <c r="F669" s="10" t="n"/>
      <c r="I669">
        <f>IF(A669="","",SUMIFS(Purchases[Quantity],Purchases[ProductID],A669))</f>
        <v/>
      </c>
      <c r="J669">
        <f>IF(A669="","",SUMIFS(Sales[Quantity],Sales[ProductID],A669))</f>
        <v/>
      </c>
      <c r="K669">
        <f>IF(A669="","",N(G669)+N(I669)-N(J669))</f>
        <v/>
      </c>
      <c r="L669" s="10">
        <f>IF(K669="","",K669*N(F669))</f>
        <v/>
      </c>
      <c r="M669">
        <f>IF(K669="","",IF(K669&lt;=N(H669),"LOW","OK"))</f>
        <v/>
      </c>
    </row>
    <row r="670">
      <c r="E670" s="10" t="n"/>
      <c r="F670" s="10" t="n"/>
      <c r="I670">
        <f>IF(A670="","",SUMIFS(Purchases[Quantity],Purchases[ProductID],A670))</f>
        <v/>
      </c>
      <c r="J670">
        <f>IF(A670="","",SUMIFS(Sales[Quantity],Sales[ProductID],A670))</f>
        <v/>
      </c>
      <c r="K670">
        <f>IF(A670="","",N(G670)+N(I670)-N(J670))</f>
        <v/>
      </c>
      <c r="L670" s="10">
        <f>IF(K670="","",K670*N(F670))</f>
        <v/>
      </c>
      <c r="M670">
        <f>IF(K670="","",IF(K670&lt;=N(H670),"LOW","OK"))</f>
        <v/>
      </c>
    </row>
    <row r="671">
      <c r="E671" s="10" t="n"/>
      <c r="F671" s="10" t="n"/>
      <c r="I671">
        <f>IF(A671="","",SUMIFS(Purchases[Quantity],Purchases[ProductID],A671))</f>
        <v/>
      </c>
      <c r="J671">
        <f>IF(A671="","",SUMIFS(Sales[Quantity],Sales[ProductID],A671))</f>
        <v/>
      </c>
      <c r="K671">
        <f>IF(A671="","",N(G671)+N(I671)-N(J671))</f>
        <v/>
      </c>
      <c r="L671" s="10">
        <f>IF(K671="","",K671*N(F671))</f>
        <v/>
      </c>
      <c r="M671">
        <f>IF(K671="","",IF(K671&lt;=N(H671),"LOW","OK"))</f>
        <v/>
      </c>
    </row>
    <row r="672">
      <c r="E672" s="10" t="n"/>
      <c r="F672" s="10" t="n"/>
      <c r="I672">
        <f>IF(A672="","",SUMIFS(Purchases[Quantity],Purchases[ProductID],A672))</f>
        <v/>
      </c>
      <c r="J672">
        <f>IF(A672="","",SUMIFS(Sales[Quantity],Sales[ProductID],A672))</f>
        <v/>
      </c>
      <c r="K672">
        <f>IF(A672="","",N(G672)+N(I672)-N(J672))</f>
        <v/>
      </c>
      <c r="L672" s="10">
        <f>IF(K672="","",K672*N(F672))</f>
        <v/>
      </c>
      <c r="M672">
        <f>IF(K672="","",IF(K672&lt;=N(H672),"LOW","OK"))</f>
        <v/>
      </c>
    </row>
    <row r="673">
      <c r="E673" s="10" t="n"/>
      <c r="F673" s="10" t="n"/>
      <c r="I673">
        <f>IF(A673="","",SUMIFS(Purchases[Quantity],Purchases[ProductID],A673))</f>
        <v/>
      </c>
      <c r="J673">
        <f>IF(A673="","",SUMIFS(Sales[Quantity],Sales[ProductID],A673))</f>
        <v/>
      </c>
      <c r="K673">
        <f>IF(A673="","",N(G673)+N(I673)-N(J673))</f>
        <v/>
      </c>
      <c r="L673" s="10">
        <f>IF(K673="","",K673*N(F673))</f>
        <v/>
      </c>
      <c r="M673">
        <f>IF(K673="","",IF(K673&lt;=N(H673),"LOW","OK"))</f>
        <v/>
      </c>
    </row>
    <row r="674">
      <c r="E674" s="10" t="n"/>
      <c r="F674" s="10" t="n"/>
      <c r="I674">
        <f>IF(A674="","",SUMIFS(Purchases[Quantity],Purchases[ProductID],A674))</f>
        <v/>
      </c>
      <c r="J674">
        <f>IF(A674="","",SUMIFS(Sales[Quantity],Sales[ProductID],A674))</f>
        <v/>
      </c>
      <c r="K674">
        <f>IF(A674="","",N(G674)+N(I674)-N(J674))</f>
        <v/>
      </c>
      <c r="L674" s="10">
        <f>IF(K674="","",K674*N(F674))</f>
        <v/>
      </c>
      <c r="M674">
        <f>IF(K674="","",IF(K674&lt;=N(H674),"LOW","OK"))</f>
        <v/>
      </c>
    </row>
    <row r="675">
      <c r="E675" s="10" t="n"/>
      <c r="F675" s="10" t="n"/>
      <c r="I675">
        <f>IF(A675="","",SUMIFS(Purchases[Quantity],Purchases[ProductID],A675))</f>
        <v/>
      </c>
      <c r="J675">
        <f>IF(A675="","",SUMIFS(Sales[Quantity],Sales[ProductID],A675))</f>
        <v/>
      </c>
      <c r="K675">
        <f>IF(A675="","",N(G675)+N(I675)-N(J675))</f>
        <v/>
      </c>
      <c r="L675" s="10">
        <f>IF(K675="","",K675*N(F675))</f>
        <v/>
      </c>
      <c r="M675">
        <f>IF(K675="","",IF(K675&lt;=N(H675),"LOW","OK"))</f>
        <v/>
      </c>
    </row>
    <row r="676">
      <c r="E676" s="10" t="n"/>
      <c r="F676" s="10" t="n"/>
      <c r="I676">
        <f>IF(A676="","",SUMIFS(Purchases[Quantity],Purchases[ProductID],A676))</f>
        <v/>
      </c>
      <c r="J676">
        <f>IF(A676="","",SUMIFS(Sales[Quantity],Sales[ProductID],A676))</f>
        <v/>
      </c>
      <c r="K676">
        <f>IF(A676="","",N(G676)+N(I676)-N(J676))</f>
        <v/>
      </c>
      <c r="L676" s="10">
        <f>IF(K676="","",K676*N(F676))</f>
        <v/>
      </c>
      <c r="M676">
        <f>IF(K676="","",IF(K676&lt;=N(H676),"LOW","OK"))</f>
        <v/>
      </c>
    </row>
    <row r="677">
      <c r="E677" s="10" t="n"/>
      <c r="F677" s="10" t="n"/>
      <c r="I677">
        <f>IF(A677="","",SUMIFS(Purchases[Quantity],Purchases[ProductID],A677))</f>
        <v/>
      </c>
      <c r="J677">
        <f>IF(A677="","",SUMIFS(Sales[Quantity],Sales[ProductID],A677))</f>
        <v/>
      </c>
      <c r="K677">
        <f>IF(A677="","",N(G677)+N(I677)-N(J677))</f>
        <v/>
      </c>
      <c r="L677" s="10">
        <f>IF(K677="","",K677*N(F677))</f>
        <v/>
      </c>
      <c r="M677">
        <f>IF(K677="","",IF(K677&lt;=N(H677),"LOW","OK"))</f>
        <v/>
      </c>
    </row>
    <row r="678">
      <c r="E678" s="10" t="n"/>
      <c r="F678" s="10" t="n"/>
      <c r="I678">
        <f>IF(A678="","",SUMIFS(Purchases[Quantity],Purchases[ProductID],A678))</f>
        <v/>
      </c>
      <c r="J678">
        <f>IF(A678="","",SUMIFS(Sales[Quantity],Sales[ProductID],A678))</f>
        <v/>
      </c>
      <c r="K678">
        <f>IF(A678="","",N(G678)+N(I678)-N(J678))</f>
        <v/>
      </c>
      <c r="L678" s="10">
        <f>IF(K678="","",K678*N(F678))</f>
        <v/>
      </c>
      <c r="M678">
        <f>IF(K678="","",IF(K678&lt;=N(H678),"LOW","OK"))</f>
        <v/>
      </c>
    </row>
    <row r="679">
      <c r="E679" s="10" t="n"/>
      <c r="F679" s="10" t="n"/>
      <c r="I679">
        <f>IF(A679="","",SUMIFS(Purchases[Quantity],Purchases[ProductID],A679))</f>
        <v/>
      </c>
      <c r="J679">
        <f>IF(A679="","",SUMIFS(Sales[Quantity],Sales[ProductID],A679))</f>
        <v/>
      </c>
      <c r="K679">
        <f>IF(A679="","",N(G679)+N(I679)-N(J679))</f>
        <v/>
      </c>
      <c r="L679" s="10">
        <f>IF(K679="","",K679*N(F679))</f>
        <v/>
      </c>
      <c r="M679">
        <f>IF(K679="","",IF(K679&lt;=N(H679),"LOW","OK"))</f>
        <v/>
      </c>
    </row>
    <row r="680">
      <c r="E680" s="10" t="n"/>
      <c r="F680" s="10" t="n"/>
      <c r="I680">
        <f>IF(A680="","",SUMIFS(Purchases[Quantity],Purchases[ProductID],A680))</f>
        <v/>
      </c>
      <c r="J680">
        <f>IF(A680="","",SUMIFS(Sales[Quantity],Sales[ProductID],A680))</f>
        <v/>
      </c>
      <c r="K680">
        <f>IF(A680="","",N(G680)+N(I680)-N(J680))</f>
        <v/>
      </c>
      <c r="L680" s="10">
        <f>IF(K680="","",K680*N(F680))</f>
        <v/>
      </c>
      <c r="M680">
        <f>IF(K680="","",IF(K680&lt;=N(H680),"LOW","OK"))</f>
        <v/>
      </c>
    </row>
    <row r="681">
      <c r="E681" s="10" t="n"/>
      <c r="F681" s="10" t="n"/>
      <c r="I681">
        <f>IF(A681="","",SUMIFS(Purchases[Quantity],Purchases[ProductID],A681))</f>
        <v/>
      </c>
      <c r="J681">
        <f>IF(A681="","",SUMIFS(Sales[Quantity],Sales[ProductID],A681))</f>
        <v/>
      </c>
      <c r="K681">
        <f>IF(A681="","",N(G681)+N(I681)-N(J681))</f>
        <v/>
      </c>
      <c r="L681" s="10">
        <f>IF(K681="","",K681*N(F681))</f>
        <v/>
      </c>
      <c r="M681">
        <f>IF(K681="","",IF(K681&lt;=N(H681),"LOW","OK"))</f>
        <v/>
      </c>
    </row>
    <row r="682">
      <c r="E682" s="10" t="n"/>
      <c r="F682" s="10" t="n"/>
      <c r="I682">
        <f>IF(A682="","",SUMIFS(Purchases[Quantity],Purchases[ProductID],A682))</f>
        <v/>
      </c>
      <c r="J682">
        <f>IF(A682="","",SUMIFS(Sales[Quantity],Sales[ProductID],A682))</f>
        <v/>
      </c>
      <c r="K682">
        <f>IF(A682="","",N(G682)+N(I682)-N(J682))</f>
        <v/>
      </c>
      <c r="L682" s="10">
        <f>IF(K682="","",K682*N(F682))</f>
        <v/>
      </c>
      <c r="M682">
        <f>IF(K682="","",IF(K682&lt;=N(H682),"LOW","OK"))</f>
        <v/>
      </c>
    </row>
    <row r="683">
      <c r="E683" s="10" t="n"/>
      <c r="F683" s="10" t="n"/>
      <c r="I683">
        <f>IF(A683="","",SUMIFS(Purchases[Quantity],Purchases[ProductID],A683))</f>
        <v/>
      </c>
      <c r="J683">
        <f>IF(A683="","",SUMIFS(Sales[Quantity],Sales[ProductID],A683))</f>
        <v/>
      </c>
      <c r="K683">
        <f>IF(A683="","",N(G683)+N(I683)-N(J683))</f>
        <v/>
      </c>
      <c r="L683" s="10">
        <f>IF(K683="","",K683*N(F683))</f>
        <v/>
      </c>
      <c r="M683">
        <f>IF(K683="","",IF(K683&lt;=N(H683),"LOW","OK"))</f>
        <v/>
      </c>
    </row>
    <row r="684">
      <c r="E684" s="10" t="n"/>
      <c r="F684" s="10" t="n"/>
      <c r="I684">
        <f>IF(A684="","",SUMIFS(Purchases[Quantity],Purchases[ProductID],A684))</f>
        <v/>
      </c>
      <c r="J684">
        <f>IF(A684="","",SUMIFS(Sales[Quantity],Sales[ProductID],A684))</f>
        <v/>
      </c>
      <c r="K684">
        <f>IF(A684="","",N(G684)+N(I684)-N(J684))</f>
        <v/>
      </c>
      <c r="L684" s="10">
        <f>IF(K684="","",K684*N(F684))</f>
        <v/>
      </c>
      <c r="M684">
        <f>IF(K684="","",IF(K684&lt;=N(H684),"LOW","OK"))</f>
        <v/>
      </c>
    </row>
    <row r="685">
      <c r="E685" s="10" t="n"/>
      <c r="F685" s="10" t="n"/>
      <c r="I685">
        <f>IF(A685="","",SUMIFS(Purchases[Quantity],Purchases[ProductID],A685))</f>
        <v/>
      </c>
      <c r="J685">
        <f>IF(A685="","",SUMIFS(Sales[Quantity],Sales[ProductID],A685))</f>
        <v/>
      </c>
      <c r="K685">
        <f>IF(A685="","",N(G685)+N(I685)-N(J685))</f>
        <v/>
      </c>
      <c r="L685" s="10">
        <f>IF(K685="","",K685*N(F685))</f>
        <v/>
      </c>
      <c r="M685">
        <f>IF(K685="","",IF(K685&lt;=N(H685),"LOW","OK"))</f>
        <v/>
      </c>
    </row>
    <row r="686">
      <c r="E686" s="10" t="n"/>
      <c r="F686" s="10" t="n"/>
      <c r="I686">
        <f>IF(A686="","",SUMIFS(Purchases[Quantity],Purchases[ProductID],A686))</f>
        <v/>
      </c>
      <c r="J686">
        <f>IF(A686="","",SUMIFS(Sales[Quantity],Sales[ProductID],A686))</f>
        <v/>
      </c>
      <c r="K686">
        <f>IF(A686="","",N(G686)+N(I686)-N(J686))</f>
        <v/>
      </c>
      <c r="L686" s="10">
        <f>IF(K686="","",K686*N(F686))</f>
        <v/>
      </c>
      <c r="M686">
        <f>IF(K686="","",IF(K686&lt;=N(H686),"LOW","OK"))</f>
        <v/>
      </c>
    </row>
    <row r="687">
      <c r="E687" s="10" t="n"/>
      <c r="F687" s="10" t="n"/>
      <c r="I687">
        <f>IF(A687="","",SUMIFS(Purchases[Quantity],Purchases[ProductID],A687))</f>
        <v/>
      </c>
      <c r="J687">
        <f>IF(A687="","",SUMIFS(Sales[Quantity],Sales[ProductID],A687))</f>
        <v/>
      </c>
      <c r="K687">
        <f>IF(A687="","",N(G687)+N(I687)-N(J687))</f>
        <v/>
      </c>
      <c r="L687" s="10">
        <f>IF(K687="","",K687*N(F687))</f>
        <v/>
      </c>
      <c r="M687">
        <f>IF(K687="","",IF(K687&lt;=N(H687),"LOW","OK"))</f>
        <v/>
      </c>
    </row>
    <row r="688">
      <c r="E688" s="10" t="n"/>
      <c r="F688" s="10" t="n"/>
      <c r="I688">
        <f>IF(A688="","",SUMIFS(Purchases[Quantity],Purchases[ProductID],A688))</f>
        <v/>
      </c>
      <c r="J688">
        <f>IF(A688="","",SUMIFS(Sales[Quantity],Sales[ProductID],A688))</f>
        <v/>
      </c>
      <c r="K688">
        <f>IF(A688="","",N(G688)+N(I688)-N(J688))</f>
        <v/>
      </c>
      <c r="L688" s="10">
        <f>IF(K688="","",K688*N(F688))</f>
        <v/>
      </c>
      <c r="M688">
        <f>IF(K688="","",IF(K688&lt;=N(H688),"LOW","OK"))</f>
        <v/>
      </c>
    </row>
    <row r="689">
      <c r="E689" s="10" t="n"/>
      <c r="F689" s="10" t="n"/>
      <c r="I689">
        <f>IF(A689="","",SUMIFS(Purchases[Quantity],Purchases[ProductID],A689))</f>
        <v/>
      </c>
      <c r="J689">
        <f>IF(A689="","",SUMIFS(Sales[Quantity],Sales[ProductID],A689))</f>
        <v/>
      </c>
      <c r="K689">
        <f>IF(A689="","",N(G689)+N(I689)-N(J689))</f>
        <v/>
      </c>
      <c r="L689" s="10">
        <f>IF(K689="","",K689*N(F689))</f>
        <v/>
      </c>
      <c r="M689">
        <f>IF(K689="","",IF(K689&lt;=N(H689),"LOW","OK"))</f>
        <v/>
      </c>
    </row>
    <row r="690">
      <c r="E690" s="10" t="n"/>
      <c r="F690" s="10" t="n"/>
      <c r="I690">
        <f>IF(A690="","",SUMIFS(Purchases[Quantity],Purchases[ProductID],A690))</f>
        <v/>
      </c>
      <c r="J690">
        <f>IF(A690="","",SUMIFS(Sales[Quantity],Sales[ProductID],A690))</f>
        <v/>
      </c>
      <c r="K690">
        <f>IF(A690="","",N(G690)+N(I690)-N(J690))</f>
        <v/>
      </c>
      <c r="L690" s="10">
        <f>IF(K690="","",K690*N(F690))</f>
        <v/>
      </c>
      <c r="M690">
        <f>IF(K690="","",IF(K690&lt;=N(H690),"LOW","OK"))</f>
        <v/>
      </c>
    </row>
    <row r="691">
      <c r="E691" s="10" t="n"/>
      <c r="F691" s="10" t="n"/>
      <c r="I691">
        <f>IF(A691="","",SUMIFS(Purchases[Quantity],Purchases[ProductID],A691))</f>
        <v/>
      </c>
      <c r="J691">
        <f>IF(A691="","",SUMIFS(Sales[Quantity],Sales[ProductID],A691))</f>
        <v/>
      </c>
      <c r="K691">
        <f>IF(A691="","",N(G691)+N(I691)-N(J691))</f>
        <v/>
      </c>
      <c r="L691" s="10">
        <f>IF(K691="","",K691*N(F691))</f>
        <v/>
      </c>
      <c r="M691">
        <f>IF(K691="","",IF(K691&lt;=N(H691),"LOW","OK"))</f>
        <v/>
      </c>
    </row>
    <row r="692">
      <c r="E692" s="10" t="n"/>
      <c r="F692" s="10" t="n"/>
      <c r="I692">
        <f>IF(A692="","",SUMIFS(Purchases[Quantity],Purchases[ProductID],A692))</f>
        <v/>
      </c>
      <c r="J692">
        <f>IF(A692="","",SUMIFS(Sales[Quantity],Sales[ProductID],A692))</f>
        <v/>
      </c>
      <c r="K692">
        <f>IF(A692="","",N(G692)+N(I692)-N(J692))</f>
        <v/>
      </c>
      <c r="L692" s="10">
        <f>IF(K692="","",K692*N(F692))</f>
        <v/>
      </c>
      <c r="M692">
        <f>IF(K692="","",IF(K692&lt;=N(H692),"LOW","OK"))</f>
        <v/>
      </c>
    </row>
    <row r="693">
      <c r="E693" s="10" t="n"/>
      <c r="F693" s="10" t="n"/>
      <c r="I693">
        <f>IF(A693="","",SUMIFS(Purchases[Quantity],Purchases[ProductID],A693))</f>
        <v/>
      </c>
      <c r="J693">
        <f>IF(A693="","",SUMIFS(Sales[Quantity],Sales[ProductID],A693))</f>
        <v/>
      </c>
      <c r="K693">
        <f>IF(A693="","",N(G693)+N(I693)-N(J693))</f>
        <v/>
      </c>
      <c r="L693" s="10">
        <f>IF(K693="","",K693*N(F693))</f>
        <v/>
      </c>
      <c r="M693">
        <f>IF(K693="","",IF(K693&lt;=N(H693),"LOW","OK"))</f>
        <v/>
      </c>
    </row>
    <row r="694">
      <c r="E694" s="10" t="n"/>
      <c r="F694" s="10" t="n"/>
      <c r="I694">
        <f>IF(A694="","",SUMIFS(Purchases[Quantity],Purchases[ProductID],A694))</f>
        <v/>
      </c>
      <c r="J694">
        <f>IF(A694="","",SUMIFS(Sales[Quantity],Sales[ProductID],A694))</f>
        <v/>
      </c>
      <c r="K694">
        <f>IF(A694="","",N(G694)+N(I694)-N(J694))</f>
        <v/>
      </c>
      <c r="L694" s="10">
        <f>IF(K694="","",K694*N(F694))</f>
        <v/>
      </c>
      <c r="M694">
        <f>IF(K694="","",IF(K694&lt;=N(H694),"LOW","OK"))</f>
        <v/>
      </c>
    </row>
    <row r="695">
      <c r="E695" s="10" t="n"/>
      <c r="F695" s="10" t="n"/>
      <c r="I695">
        <f>IF(A695="","",SUMIFS(Purchases[Quantity],Purchases[ProductID],A695))</f>
        <v/>
      </c>
      <c r="J695">
        <f>IF(A695="","",SUMIFS(Sales[Quantity],Sales[ProductID],A695))</f>
        <v/>
      </c>
      <c r="K695">
        <f>IF(A695="","",N(G695)+N(I695)-N(J695))</f>
        <v/>
      </c>
      <c r="L695" s="10">
        <f>IF(K695="","",K695*N(F695))</f>
        <v/>
      </c>
      <c r="M695">
        <f>IF(K695="","",IF(K695&lt;=N(H695),"LOW","OK"))</f>
        <v/>
      </c>
    </row>
    <row r="696">
      <c r="E696" s="10" t="n"/>
      <c r="F696" s="10" t="n"/>
      <c r="I696">
        <f>IF(A696="","",SUMIFS(Purchases[Quantity],Purchases[ProductID],A696))</f>
        <v/>
      </c>
      <c r="J696">
        <f>IF(A696="","",SUMIFS(Sales[Quantity],Sales[ProductID],A696))</f>
        <v/>
      </c>
      <c r="K696">
        <f>IF(A696="","",N(G696)+N(I696)-N(J696))</f>
        <v/>
      </c>
      <c r="L696" s="10">
        <f>IF(K696="","",K696*N(F696))</f>
        <v/>
      </c>
      <c r="M696">
        <f>IF(K696="","",IF(K696&lt;=N(H696),"LOW","OK"))</f>
        <v/>
      </c>
    </row>
    <row r="697">
      <c r="E697" s="10" t="n"/>
      <c r="F697" s="10" t="n"/>
      <c r="I697">
        <f>IF(A697="","",SUMIFS(Purchases[Quantity],Purchases[ProductID],A697))</f>
        <v/>
      </c>
      <c r="J697">
        <f>IF(A697="","",SUMIFS(Sales[Quantity],Sales[ProductID],A697))</f>
        <v/>
      </c>
      <c r="K697">
        <f>IF(A697="","",N(G697)+N(I697)-N(J697))</f>
        <v/>
      </c>
      <c r="L697" s="10">
        <f>IF(K697="","",K697*N(F697))</f>
        <v/>
      </c>
      <c r="M697">
        <f>IF(K697="","",IF(K697&lt;=N(H697),"LOW","OK"))</f>
        <v/>
      </c>
    </row>
    <row r="698">
      <c r="E698" s="10" t="n"/>
      <c r="F698" s="10" t="n"/>
      <c r="I698">
        <f>IF(A698="","",SUMIFS(Purchases[Quantity],Purchases[ProductID],A698))</f>
        <v/>
      </c>
      <c r="J698">
        <f>IF(A698="","",SUMIFS(Sales[Quantity],Sales[ProductID],A698))</f>
        <v/>
      </c>
      <c r="K698">
        <f>IF(A698="","",N(G698)+N(I698)-N(J698))</f>
        <v/>
      </c>
      <c r="L698" s="10">
        <f>IF(K698="","",K698*N(F698))</f>
        <v/>
      </c>
      <c r="M698">
        <f>IF(K698="","",IF(K698&lt;=N(H698),"LOW","OK"))</f>
        <v/>
      </c>
    </row>
    <row r="699">
      <c r="E699" s="10" t="n"/>
      <c r="F699" s="10" t="n"/>
      <c r="I699">
        <f>IF(A699="","",SUMIFS(Purchases[Quantity],Purchases[ProductID],A699))</f>
        <v/>
      </c>
      <c r="J699">
        <f>IF(A699="","",SUMIFS(Sales[Quantity],Sales[ProductID],A699))</f>
        <v/>
      </c>
      <c r="K699">
        <f>IF(A699="","",N(G699)+N(I699)-N(J699))</f>
        <v/>
      </c>
      <c r="L699" s="10">
        <f>IF(K699="","",K699*N(F699))</f>
        <v/>
      </c>
      <c r="M699">
        <f>IF(K699="","",IF(K699&lt;=N(H699),"LOW","OK"))</f>
        <v/>
      </c>
    </row>
    <row r="700">
      <c r="E700" s="10" t="n"/>
      <c r="F700" s="10" t="n"/>
      <c r="I700">
        <f>IF(A700="","",SUMIFS(Purchases[Quantity],Purchases[ProductID],A700))</f>
        <v/>
      </c>
      <c r="J700">
        <f>IF(A700="","",SUMIFS(Sales[Quantity],Sales[ProductID],A700))</f>
        <v/>
      </c>
      <c r="K700">
        <f>IF(A700="","",N(G700)+N(I700)-N(J700))</f>
        <v/>
      </c>
      <c r="L700" s="10">
        <f>IF(K700="","",K700*N(F700))</f>
        <v/>
      </c>
      <c r="M700">
        <f>IF(K700="","",IF(K700&lt;=N(H700),"LOW","OK"))</f>
        <v/>
      </c>
    </row>
    <row r="701">
      <c r="E701" s="10" t="n"/>
      <c r="F701" s="10" t="n"/>
      <c r="I701">
        <f>IF(A701="","",SUMIFS(Purchases[Quantity],Purchases[ProductID],A701))</f>
        <v/>
      </c>
      <c r="J701">
        <f>IF(A701="","",SUMIFS(Sales[Quantity],Sales[ProductID],A701))</f>
        <v/>
      </c>
      <c r="K701">
        <f>IF(A701="","",N(G701)+N(I701)-N(J701))</f>
        <v/>
      </c>
      <c r="L701" s="10">
        <f>IF(K701="","",K701*N(F701))</f>
        <v/>
      </c>
      <c r="M701">
        <f>IF(K701="","",IF(K701&lt;=N(H701),"LOW","OK"))</f>
        <v/>
      </c>
    </row>
    <row r="702">
      <c r="E702" s="10" t="n"/>
      <c r="F702" s="10" t="n"/>
      <c r="I702">
        <f>IF(A702="","",SUMIFS(Purchases[Quantity],Purchases[ProductID],A702))</f>
        <v/>
      </c>
      <c r="J702">
        <f>IF(A702="","",SUMIFS(Sales[Quantity],Sales[ProductID],A702))</f>
        <v/>
      </c>
      <c r="K702">
        <f>IF(A702="","",N(G702)+N(I702)-N(J702))</f>
        <v/>
      </c>
      <c r="L702" s="10">
        <f>IF(K702="","",K702*N(F702))</f>
        <v/>
      </c>
      <c r="M702">
        <f>IF(K702="","",IF(K702&lt;=N(H702),"LOW","OK"))</f>
        <v/>
      </c>
    </row>
    <row r="703">
      <c r="E703" s="10" t="n"/>
      <c r="F703" s="10" t="n"/>
      <c r="I703">
        <f>IF(A703="","",SUMIFS(Purchases[Quantity],Purchases[ProductID],A703))</f>
        <v/>
      </c>
      <c r="J703">
        <f>IF(A703="","",SUMIFS(Sales[Quantity],Sales[ProductID],A703))</f>
        <v/>
      </c>
      <c r="K703">
        <f>IF(A703="","",N(G703)+N(I703)-N(J703))</f>
        <v/>
      </c>
      <c r="L703" s="10">
        <f>IF(K703="","",K703*N(F703))</f>
        <v/>
      </c>
      <c r="M703">
        <f>IF(K703="","",IF(K703&lt;=N(H703),"LOW","OK"))</f>
        <v/>
      </c>
    </row>
    <row r="704">
      <c r="E704" s="10" t="n"/>
      <c r="F704" s="10" t="n"/>
      <c r="I704">
        <f>IF(A704="","",SUMIFS(Purchases[Quantity],Purchases[ProductID],A704))</f>
        <v/>
      </c>
      <c r="J704">
        <f>IF(A704="","",SUMIFS(Sales[Quantity],Sales[ProductID],A704))</f>
        <v/>
      </c>
      <c r="K704">
        <f>IF(A704="","",N(G704)+N(I704)-N(J704))</f>
        <v/>
      </c>
      <c r="L704" s="10">
        <f>IF(K704="","",K704*N(F704))</f>
        <v/>
      </c>
      <c r="M704">
        <f>IF(K704="","",IF(K704&lt;=N(H704),"LOW","OK"))</f>
        <v/>
      </c>
    </row>
    <row r="705">
      <c r="E705" s="10" t="n"/>
      <c r="F705" s="10" t="n"/>
      <c r="I705">
        <f>IF(A705="","",SUMIFS(Purchases[Quantity],Purchases[ProductID],A705))</f>
        <v/>
      </c>
      <c r="J705">
        <f>IF(A705="","",SUMIFS(Sales[Quantity],Sales[ProductID],A705))</f>
        <v/>
      </c>
      <c r="K705">
        <f>IF(A705="","",N(G705)+N(I705)-N(J705))</f>
        <v/>
      </c>
      <c r="L705" s="10">
        <f>IF(K705="","",K705*N(F705))</f>
        <v/>
      </c>
      <c r="M705">
        <f>IF(K705="","",IF(K705&lt;=N(H705),"LOW","OK"))</f>
        <v/>
      </c>
    </row>
    <row r="706">
      <c r="E706" s="10" t="n"/>
      <c r="F706" s="10" t="n"/>
      <c r="I706">
        <f>IF(A706="","",SUMIFS(Purchases[Quantity],Purchases[ProductID],A706))</f>
        <v/>
      </c>
      <c r="J706">
        <f>IF(A706="","",SUMIFS(Sales[Quantity],Sales[ProductID],A706))</f>
        <v/>
      </c>
      <c r="K706">
        <f>IF(A706="","",N(G706)+N(I706)-N(J706))</f>
        <v/>
      </c>
      <c r="L706" s="10">
        <f>IF(K706="","",K706*N(F706))</f>
        <v/>
      </c>
      <c r="M706">
        <f>IF(K706="","",IF(K706&lt;=N(H706),"LOW","OK"))</f>
        <v/>
      </c>
    </row>
    <row r="707">
      <c r="E707" s="10" t="n"/>
      <c r="F707" s="10" t="n"/>
      <c r="I707">
        <f>IF(A707="","",SUMIFS(Purchases[Quantity],Purchases[ProductID],A707))</f>
        <v/>
      </c>
      <c r="J707">
        <f>IF(A707="","",SUMIFS(Sales[Quantity],Sales[ProductID],A707))</f>
        <v/>
      </c>
      <c r="K707">
        <f>IF(A707="","",N(G707)+N(I707)-N(J707))</f>
        <v/>
      </c>
      <c r="L707" s="10">
        <f>IF(K707="","",K707*N(F707))</f>
        <v/>
      </c>
      <c r="M707">
        <f>IF(K707="","",IF(K707&lt;=N(H707),"LOW","OK"))</f>
        <v/>
      </c>
    </row>
    <row r="708">
      <c r="E708" s="10" t="n"/>
      <c r="F708" s="10" t="n"/>
      <c r="I708">
        <f>IF(A708="","",SUMIFS(Purchases[Quantity],Purchases[ProductID],A708))</f>
        <v/>
      </c>
      <c r="J708">
        <f>IF(A708="","",SUMIFS(Sales[Quantity],Sales[ProductID],A708))</f>
        <v/>
      </c>
      <c r="K708">
        <f>IF(A708="","",N(G708)+N(I708)-N(J708))</f>
        <v/>
      </c>
      <c r="L708" s="10">
        <f>IF(K708="","",K708*N(F708))</f>
        <v/>
      </c>
      <c r="M708">
        <f>IF(K708="","",IF(K708&lt;=N(H708),"LOW","OK"))</f>
        <v/>
      </c>
    </row>
    <row r="709">
      <c r="E709" s="10" t="n"/>
      <c r="F709" s="10" t="n"/>
      <c r="I709">
        <f>IF(A709="","",SUMIFS(Purchases[Quantity],Purchases[ProductID],A709))</f>
        <v/>
      </c>
      <c r="J709">
        <f>IF(A709="","",SUMIFS(Sales[Quantity],Sales[ProductID],A709))</f>
        <v/>
      </c>
      <c r="K709">
        <f>IF(A709="","",N(G709)+N(I709)-N(J709))</f>
        <v/>
      </c>
      <c r="L709" s="10">
        <f>IF(K709="","",K709*N(F709))</f>
        <v/>
      </c>
      <c r="M709">
        <f>IF(K709="","",IF(K709&lt;=N(H709),"LOW","OK"))</f>
        <v/>
      </c>
    </row>
    <row r="710">
      <c r="E710" s="10" t="n"/>
      <c r="F710" s="10" t="n"/>
      <c r="I710">
        <f>IF(A710="","",SUMIFS(Purchases[Quantity],Purchases[ProductID],A710))</f>
        <v/>
      </c>
      <c r="J710">
        <f>IF(A710="","",SUMIFS(Sales[Quantity],Sales[ProductID],A710))</f>
        <v/>
      </c>
      <c r="K710">
        <f>IF(A710="","",N(G710)+N(I710)-N(J710))</f>
        <v/>
      </c>
      <c r="L710" s="10">
        <f>IF(K710="","",K710*N(F710))</f>
        <v/>
      </c>
      <c r="M710">
        <f>IF(K710="","",IF(K710&lt;=N(H710),"LOW","OK"))</f>
        <v/>
      </c>
    </row>
    <row r="711">
      <c r="E711" s="10" t="n"/>
      <c r="F711" s="10" t="n"/>
      <c r="I711">
        <f>IF(A711="","",SUMIFS(Purchases[Quantity],Purchases[ProductID],A711))</f>
        <v/>
      </c>
      <c r="J711">
        <f>IF(A711="","",SUMIFS(Sales[Quantity],Sales[ProductID],A711))</f>
        <v/>
      </c>
      <c r="K711">
        <f>IF(A711="","",N(G711)+N(I711)-N(J711))</f>
        <v/>
      </c>
      <c r="L711" s="10">
        <f>IF(K711="","",K711*N(F711))</f>
        <v/>
      </c>
      <c r="M711">
        <f>IF(K711="","",IF(K711&lt;=N(H711),"LOW","OK"))</f>
        <v/>
      </c>
    </row>
    <row r="712">
      <c r="E712" s="10" t="n"/>
      <c r="F712" s="10" t="n"/>
      <c r="I712">
        <f>IF(A712="","",SUMIFS(Purchases[Quantity],Purchases[ProductID],A712))</f>
        <v/>
      </c>
      <c r="J712">
        <f>IF(A712="","",SUMIFS(Sales[Quantity],Sales[ProductID],A712))</f>
        <v/>
      </c>
      <c r="K712">
        <f>IF(A712="","",N(G712)+N(I712)-N(J712))</f>
        <v/>
      </c>
      <c r="L712" s="10">
        <f>IF(K712="","",K712*N(F712))</f>
        <v/>
      </c>
      <c r="M712">
        <f>IF(K712="","",IF(K712&lt;=N(H712),"LOW","OK"))</f>
        <v/>
      </c>
    </row>
    <row r="713">
      <c r="E713" s="10" t="n"/>
      <c r="F713" s="10" t="n"/>
      <c r="I713">
        <f>IF(A713="","",SUMIFS(Purchases[Quantity],Purchases[ProductID],A713))</f>
        <v/>
      </c>
      <c r="J713">
        <f>IF(A713="","",SUMIFS(Sales[Quantity],Sales[ProductID],A713))</f>
        <v/>
      </c>
      <c r="K713">
        <f>IF(A713="","",N(G713)+N(I713)-N(J713))</f>
        <v/>
      </c>
      <c r="L713" s="10">
        <f>IF(K713="","",K713*N(F713))</f>
        <v/>
      </c>
      <c r="M713">
        <f>IF(K713="","",IF(K713&lt;=N(H713),"LOW","OK"))</f>
        <v/>
      </c>
    </row>
    <row r="714">
      <c r="E714" s="10" t="n"/>
      <c r="F714" s="10" t="n"/>
      <c r="I714">
        <f>IF(A714="","",SUMIFS(Purchases[Quantity],Purchases[ProductID],A714))</f>
        <v/>
      </c>
      <c r="J714">
        <f>IF(A714="","",SUMIFS(Sales[Quantity],Sales[ProductID],A714))</f>
        <v/>
      </c>
      <c r="K714">
        <f>IF(A714="","",N(G714)+N(I714)-N(J714))</f>
        <v/>
      </c>
      <c r="L714" s="10">
        <f>IF(K714="","",K714*N(F714))</f>
        <v/>
      </c>
      <c r="M714">
        <f>IF(K714="","",IF(K714&lt;=N(H714),"LOW","OK"))</f>
        <v/>
      </c>
    </row>
    <row r="715">
      <c r="E715" s="10" t="n"/>
      <c r="F715" s="10" t="n"/>
      <c r="I715">
        <f>IF(A715="","",SUMIFS(Purchases[Quantity],Purchases[ProductID],A715))</f>
        <v/>
      </c>
      <c r="J715">
        <f>IF(A715="","",SUMIFS(Sales[Quantity],Sales[ProductID],A715))</f>
        <v/>
      </c>
      <c r="K715">
        <f>IF(A715="","",N(G715)+N(I715)-N(J715))</f>
        <v/>
      </c>
      <c r="L715" s="10">
        <f>IF(K715="","",K715*N(F715))</f>
        <v/>
      </c>
      <c r="M715">
        <f>IF(K715="","",IF(K715&lt;=N(H715),"LOW","OK"))</f>
        <v/>
      </c>
    </row>
    <row r="716">
      <c r="E716" s="10" t="n"/>
      <c r="F716" s="10" t="n"/>
      <c r="I716">
        <f>IF(A716="","",SUMIFS(Purchases[Quantity],Purchases[ProductID],A716))</f>
        <v/>
      </c>
      <c r="J716">
        <f>IF(A716="","",SUMIFS(Sales[Quantity],Sales[ProductID],A716))</f>
        <v/>
      </c>
      <c r="K716">
        <f>IF(A716="","",N(G716)+N(I716)-N(J716))</f>
        <v/>
      </c>
      <c r="L716" s="10">
        <f>IF(K716="","",K716*N(F716))</f>
        <v/>
      </c>
      <c r="M716">
        <f>IF(K716="","",IF(K716&lt;=N(H716),"LOW","OK"))</f>
        <v/>
      </c>
    </row>
    <row r="717">
      <c r="E717" s="10" t="n"/>
      <c r="F717" s="10" t="n"/>
      <c r="I717">
        <f>IF(A717="","",SUMIFS(Purchases[Quantity],Purchases[ProductID],A717))</f>
        <v/>
      </c>
      <c r="J717">
        <f>IF(A717="","",SUMIFS(Sales[Quantity],Sales[ProductID],A717))</f>
        <v/>
      </c>
      <c r="K717">
        <f>IF(A717="","",N(G717)+N(I717)-N(J717))</f>
        <v/>
      </c>
      <c r="L717" s="10">
        <f>IF(K717="","",K717*N(F717))</f>
        <v/>
      </c>
      <c r="M717">
        <f>IF(K717="","",IF(K717&lt;=N(H717),"LOW","OK"))</f>
        <v/>
      </c>
    </row>
    <row r="718">
      <c r="E718" s="10" t="n"/>
      <c r="F718" s="10" t="n"/>
      <c r="I718">
        <f>IF(A718="","",SUMIFS(Purchases[Quantity],Purchases[ProductID],A718))</f>
        <v/>
      </c>
      <c r="J718">
        <f>IF(A718="","",SUMIFS(Sales[Quantity],Sales[ProductID],A718))</f>
        <v/>
      </c>
      <c r="K718">
        <f>IF(A718="","",N(G718)+N(I718)-N(J718))</f>
        <v/>
      </c>
      <c r="L718" s="10">
        <f>IF(K718="","",K718*N(F718))</f>
        <v/>
      </c>
      <c r="M718">
        <f>IF(K718="","",IF(K718&lt;=N(H718),"LOW","OK"))</f>
        <v/>
      </c>
    </row>
    <row r="719">
      <c r="E719" s="10" t="n"/>
      <c r="F719" s="10" t="n"/>
      <c r="I719">
        <f>IF(A719="","",SUMIFS(Purchases[Quantity],Purchases[ProductID],A719))</f>
        <v/>
      </c>
      <c r="J719">
        <f>IF(A719="","",SUMIFS(Sales[Quantity],Sales[ProductID],A719))</f>
        <v/>
      </c>
      <c r="K719">
        <f>IF(A719="","",N(G719)+N(I719)-N(J719))</f>
        <v/>
      </c>
      <c r="L719" s="10">
        <f>IF(K719="","",K719*N(F719))</f>
        <v/>
      </c>
      <c r="M719">
        <f>IF(K719="","",IF(K719&lt;=N(H719),"LOW","OK"))</f>
        <v/>
      </c>
    </row>
    <row r="720">
      <c r="E720" s="10" t="n"/>
      <c r="F720" s="10" t="n"/>
      <c r="I720">
        <f>IF(A720="","",SUMIFS(Purchases[Quantity],Purchases[ProductID],A720))</f>
        <v/>
      </c>
      <c r="J720">
        <f>IF(A720="","",SUMIFS(Sales[Quantity],Sales[ProductID],A720))</f>
        <v/>
      </c>
      <c r="K720">
        <f>IF(A720="","",N(G720)+N(I720)-N(J720))</f>
        <v/>
      </c>
      <c r="L720" s="10">
        <f>IF(K720="","",K720*N(F720))</f>
        <v/>
      </c>
      <c r="M720">
        <f>IF(K720="","",IF(K720&lt;=N(H720),"LOW","OK"))</f>
        <v/>
      </c>
    </row>
    <row r="721">
      <c r="E721" s="10" t="n"/>
      <c r="F721" s="10" t="n"/>
      <c r="I721">
        <f>IF(A721="","",SUMIFS(Purchases[Quantity],Purchases[ProductID],A721))</f>
        <v/>
      </c>
      <c r="J721">
        <f>IF(A721="","",SUMIFS(Sales[Quantity],Sales[ProductID],A721))</f>
        <v/>
      </c>
      <c r="K721">
        <f>IF(A721="","",N(G721)+N(I721)-N(J721))</f>
        <v/>
      </c>
      <c r="L721" s="10">
        <f>IF(K721="","",K721*N(F721))</f>
        <v/>
      </c>
      <c r="M721">
        <f>IF(K721="","",IF(K721&lt;=N(H721),"LOW","OK"))</f>
        <v/>
      </c>
    </row>
    <row r="722">
      <c r="E722" s="10" t="n"/>
      <c r="F722" s="10" t="n"/>
      <c r="I722">
        <f>IF(A722="","",SUMIFS(Purchases[Quantity],Purchases[ProductID],A722))</f>
        <v/>
      </c>
      <c r="J722">
        <f>IF(A722="","",SUMIFS(Sales[Quantity],Sales[ProductID],A722))</f>
        <v/>
      </c>
      <c r="K722">
        <f>IF(A722="","",N(G722)+N(I722)-N(J722))</f>
        <v/>
      </c>
      <c r="L722" s="10">
        <f>IF(K722="","",K722*N(F722))</f>
        <v/>
      </c>
      <c r="M722">
        <f>IF(K722="","",IF(K722&lt;=N(H722),"LOW","OK"))</f>
        <v/>
      </c>
    </row>
    <row r="723">
      <c r="E723" s="10" t="n"/>
      <c r="F723" s="10" t="n"/>
      <c r="I723">
        <f>IF(A723="","",SUMIFS(Purchases[Quantity],Purchases[ProductID],A723))</f>
        <v/>
      </c>
      <c r="J723">
        <f>IF(A723="","",SUMIFS(Sales[Quantity],Sales[ProductID],A723))</f>
        <v/>
      </c>
      <c r="K723">
        <f>IF(A723="","",N(G723)+N(I723)-N(J723))</f>
        <v/>
      </c>
      <c r="L723" s="10">
        <f>IF(K723="","",K723*N(F723))</f>
        <v/>
      </c>
      <c r="M723">
        <f>IF(K723="","",IF(K723&lt;=N(H723),"LOW","OK"))</f>
        <v/>
      </c>
    </row>
    <row r="724">
      <c r="E724" s="10" t="n"/>
      <c r="F724" s="10" t="n"/>
      <c r="I724">
        <f>IF(A724="","",SUMIFS(Purchases[Quantity],Purchases[ProductID],A724))</f>
        <v/>
      </c>
      <c r="J724">
        <f>IF(A724="","",SUMIFS(Sales[Quantity],Sales[ProductID],A724))</f>
        <v/>
      </c>
      <c r="K724">
        <f>IF(A724="","",N(G724)+N(I724)-N(J724))</f>
        <v/>
      </c>
      <c r="L724" s="10">
        <f>IF(K724="","",K724*N(F724))</f>
        <v/>
      </c>
      <c r="M724">
        <f>IF(K724="","",IF(K724&lt;=N(H724),"LOW","OK"))</f>
        <v/>
      </c>
    </row>
    <row r="725">
      <c r="E725" s="10" t="n"/>
      <c r="F725" s="10" t="n"/>
      <c r="I725">
        <f>IF(A725="","",SUMIFS(Purchases[Quantity],Purchases[ProductID],A725))</f>
        <v/>
      </c>
      <c r="J725">
        <f>IF(A725="","",SUMIFS(Sales[Quantity],Sales[ProductID],A725))</f>
        <v/>
      </c>
      <c r="K725">
        <f>IF(A725="","",N(G725)+N(I725)-N(J725))</f>
        <v/>
      </c>
      <c r="L725" s="10">
        <f>IF(K725="","",K725*N(F725))</f>
        <v/>
      </c>
      <c r="M725">
        <f>IF(K725="","",IF(K725&lt;=N(H725),"LOW","OK"))</f>
        <v/>
      </c>
    </row>
    <row r="726">
      <c r="E726" s="10" t="n"/>
      <c r="F726" s="10" t="n"/>
      <c r="I726">
        <f>IF(A726="","",SUMIFS(Purchases[Quantity],Purchases[ProductID],A726))</f>
        <v/>
      </c>
      <c r="J726">
        <f>IF(A726="","",SUMIFS(Sales[Quantity],Sales[ProductID],A726))</f>
        <v/>
      </c>
      <c r="K726">
        <f>IF(A726="","",N(G726)+N(I726)-N(J726))</f>
        <v/>
      </c>
      <c r="L726" s="10">
        <f>IF(K726="","",K726*N(F726))</f>
        <v/>
      </c>
      <c r="M726">
        <f>IF(K726="","",IF(K726&lt;=N(H726),"LOW","OK"))</f>
        <v/>
      </c>
    </row>
    <row r="727">
      <c r="E727" s="10" t="n"/>
      <c r="F727" s="10" t="n"/>
      <c r="I727">
        <f>IF(A727="","",SUMIFS(Purchases[Quantity],Purchases[ProductID],A727))</f>
        <v/>
      </c>
      <c r="J727">
        <f>IF(A727="","",SUMIFS(Sales[Quantity],Sales[ProductID],A727))</f>
        <v/>
      </c>
      <c r="K727">
        <f>IF(A727="","",N(G727)+N(I727)-N(J727))</f>
        <v/>
      </c>
      <c r="L727" s="10">
        <f>IF(K727="","",K727*N(F727))</f>
        <v/>
      </c>
      <c r="M727">
        <f>IF(K727="","",IF(K727&lt;=N(H727),"LOW","OK"))</f>
        <v/>
      </c>
    </row>
    <row r="728">
      <c r="E728" s="10" t="n"/>
      <c r="F728" s="10" t="n"/>
      <c r="I728">
        <f>IF(A728="","",SUMIFS(Purchases[Quantity],Purchases[ProductID],A728))</f>
        <v/>
      </c>
      <c r="J728">
        <f>IF(A728="","",SUMIFS(Sales[Quantity],Sales[ProductID],A728))</f>
        <v/>
      </c>
      <c r="K728">
        <f>IF(A728="","",N(G728)+N(I728)-N(J728))</f>
        <v/>
      </c>
      <c r="L728" s="10">
        <f>IF(K728="","",K728*N(F728))</f>
        <v/>
      </c>
      <c r="M728">
        <f>IF(K728="","",IF(K728&lt;=N(H728),"LOW","OK"))</f>
        <v/>
      </c>
    </row>
    <row r="729">
      <c r="E729" s="10" t="n"/>
      <c r="F729" s="10" t="n"/>
      <c r="I729">
        <f>IF(A729="","",SUMIFS(Purchases[Quantity],Purchases[ProductID],A729))</f>
        <v/>
      </c>
      <c r="J729">
        <f>IF(A729="","",SUMIFS(Sales[Quantity],Sales[ProductID],A729))</f>
        <v/>
      </c>
      <c r="K729">
        <f>IF(A729="","",N(G729)+N(I729)-N(J729))</f>
        <v/>
      </c>
      <c r="L729" s="10">
        <f>IF(K729="","",K729*N(F729))</f>
        <v/>
      </c>
      <c r="M729">
        <f>IF(K729="","",IF(K729&lt;=N(H729),"LOW","OK"))</f>
        <v/>
      </c>
    </row>
    <row r="730">
      <c r="E730" s="10" t="n"/>
      <c r="F730" s="10" t="n"/>
      <c r="I730">
        <f>IF(A730="","",SUMIFS(Purchases[Quantity],Purchases[ProductID],A730))</f>
        <v/>
      </c>
      <c r="J730">
        <f>IF(A730="","",SUMIFS(Sales[Quantity],Sales[ProductID],A730))</f>
        <v/>
      </c>
      <c r="K730">
        <f>IF(A730="","",N(G730)+N(I730)-N(J730))</f>
        <v/>
      </c>
      <c r="L730" s="10">
        <f>IF(K730="","",K730*N(F730))</f>
        <v/>
      </c>
      <c r="M730">
        <f>IF(K730="","",IF(K730&lt;=N(H730),"LOW","OK"))</f>
        <v/>
      </c>
    </row>
    <row r="731">
      <c r="E731" s="10" t="n"/>
      <c r="F731" s="10" t="n"/>
      <c r="I731">
        <f>IF(A731="","",SUMIFS(Purchases[Quantity],Purchases[ProductID],A731))</f>
        <v/>
      </c>
      <c r="J731">
        <f>IF(A731="","",SUMIFS(Sales[Quantity],Sales[ProductID],A731))</f>
        <v/>
      </c>
      <c r="K731">
        <f>IF(A731="","",N(G731)+N(I731)-N(J731))</f>
        <v/>
      </c>
      <c r="L731" s="10">
        <f>IF(K731="","",K731*N(F731))</f>
        <v/>
      </c>
      <c r="M731">
        <f>IF(K731="","",IF(K731&lt;=N(H731),"LOW","OK"))</f>
        <v/>
      </c>
    </row>
    <row r="732">
      <c r="E732" s="10" t="n"/>
      <c r="F732" s="10" t="n"/>
      <c r="I732">
        <f>IF(A732="","",SUMIFS(Purchases[Quantity],Purchases[ProductID],A732))</f>
        <v/>
      </c>
      <c r="J732">
        <f>IF(A732="","",SUMIFS(Sales[Quantity],Sales[ProductID],A732))</f>
        <v/>
      </c>
      <c r="K732">
        <f>IF(A732="","",N(G732)+N(I732)-N(J732))</f>
        <v/>
      </c>
      <c r="L732" s="10">
        <f>IF(K732="","",K732*N(F732))</f>
        <v/>
      </c>
      <c r="M732">
        <f>IF(K732="","",IF(K732&lt;=N(H732),"LOW","OK"))</f>
        <v/>
      </c>
    </row>
    <row r="733">
      <c r="E733" s="10" t="n"/>
      <c r="F733" s="10" t="n"/>
      <c r="I733">
        <f>IF(A733="","",SUMIFS(Purchases[Quantity],Purchases[ProductID],A733))</f>
        <v/>
      </c>
      <c r="J733">
        <f>IF(A733="","",SUMIFS(Sales[Quantity],Sales[ProductID],A733))</f>
        <v/>
      </c>
      <c r="K733">
        <f>IF(A733="","",N(G733)+N(I733)-N(J733))</f>
        <v/>
      </c>
      <c r="L733" s="10">
        <f>IF(K733="","",K733*N(F733))</f>
        <v/>
      </c>
      <c r="M733">
        <f>IF(K733="","",IF(K733&lt;=N(H733),"LOW","OK"))</f>
        <v/>
      </c>
    </row>
    <row r="734">
      <c r="E734" s="10" t="n"/>
      <c r="F734" s="10" t="n"/>
      <c r="I734">
        <f>IF(A734="","",SUMIFS(Purchases[Quantity],Purchases[ProductID],A734))</f>
        <v/>
      </c>
      <c r="J734">
        <f>IF(A734="","",SUMIFS(Sales[Quantity],Sales[ProductID],A734))</f>
        <v/>
      </c>
      <c r="K734">
        <f>IF(A734="","",N(G734)+N(I734)-N(J734))</f>
        <v/>
      </c>
      <c r="L734" s="10">
        <f>IF(K734="","",K734*N(F734))</f>
        <v/>
      </c>
      <c r="M734">
        <f>IF(K734="","",IF(K734&lt;=N(H734),"LOW","OK"))</f>
        <v/>
      </c>
    </row>
    <row r="735">
      <c r="E735" s="10" t="n"/>
      <c r="F735" s="10" t="n"/>
      <c r="I735">
        <f>IF(A735="","",SUMIFS(Purchases[Quantity],Purchases[ProductID],A735))</f>
        <v/>
      </c>
      <c r="J735">
        <f>IF(A735="","",SUMIFS(Sales[Quantity],Sales[ProductID],A735))</f>
        <v/>
      </c>
      <c r="K735">
        <f>IF(A735="","",N(G735)+N(I735)-N(J735))</f>
        <v/>
      </c>
      <c r="L735" s="10">
        <f>IF(K735="","",K735*N(F735))</f>
        <v/>
      </c>
      <c r="M735">
        <f>IF(K735="","",IF(K735&lt;=N(H735),"LOW","OK"))</f>
        <v/>
      </c>
    </row>
    <row r="736">
      <c r="E736" s="10" t="n"/>
      <c r="F736" s="10" t="n"/>
      <c r="I736">
        <f>IF(A736="","",SUMIFS(Purchases[Quantity],Purchases[ProductID],A736))</f>
        <v/>
      </c>
      <c r="J736">
        <f>IF(A736="","",SUMIFS(Sales[Quantity],Sales[ProductID],A736))</f>
        <v/>
      </c>
      <c r="K736">
        <f>IF(A736="","",N(G736)+N(I736)-N(J736))</f>
        <v/>
      </c>
      <c r="L736" s="10">
        <f>IF(K736="","",K736*N(F736))</f>
        <v/>
      </c>
      <c r="M736">
        <f>IF(K736="","",IF(K736&lt;=N(H736),"LOW","OK"))</f>
        <v/>
      </c>
    </row>
    <row r="737">
      <c r="E737" s="10" t="n"/>
      <c r="F737" s="10" t="n"/>
      <c r="I737">
        <f>IF(A737="","",SUMIFS(Purchases[Quantity],Purchases[ProductID],A737))</f>
        <v/>
      </c>
      <c r="J737">
        <f>IF(A737="","",SUMIFS(Sales[Quantity],Sales[ProductID],A737))</f>
        <v/>
      </c>
      <c r="K737">
        <f>IF(A737="","",N(G737)+N(I737)-N(J737))</f>
        <v/>
      </c>
      <c r="L737" s="10">
        <f>IF(K737="","",K737*N(F737))</f>
        <v/>
      </c>
      <c r="M737">
        <f>IF(K737="","",IF(K737&lt;=N(H737),"LOW","OK"))</f>
        <v/>
      </c>
    </row>
    <row r="738">
      <c r="E738" s="10" t="n"/>
      <c r="F738" s="10" t="n"/>
      <c r="I738">
        <f>IF(A738="","",SUMIFS(Purchases[Quantity],Purchases[ProductID],A738))</f>
        <v/>
      </c>
      <c r="J738">
        <f>IF(A738="","",SUMIFS(Sales[Quantity],Sales[ProductID],A738))</f>
        <v/>
      </c>
      <c r="K738">
        <f>IF(A738="","",N(G738)+N(I738)-N(J738))</f>
        <v/>
      </c>
      <c r="L738" s="10">
        <f>IF(K738="","",K738*N(F738))</f>
        <v/>
      </c>
      <c r="M738">
        <f>IF(K738="","",IF(K738&lt;=N(H738),"LOW","OK"))</f>
        <v/>
      </c>
    </row>
    <row r="739">
      <c r="E739" s="10" t="n"/>
      <c r="F739" s="10" t="n"/>
      <c r="I739">
        <f>IF(A739="","",SUMIFS(Purchases[Quantity],Purchases[ProductID],A739))</f>
        <v/>
      </c>
      <c r="J739">
        <f>IF(A739="","",SUMIFS(Sales[Quantity],Sales[ProductID],A739))</f>
        <v/>
      </c>
      <c r="K739">
        <f>IF(A739="","",N(G739)+N(I739)-N(J739))</f>
        <v/>
      </c>
      <c r="L739" s="10">
        <f>IF(K739="","",K739*N(F739))</f>
        <v/>
      </c>
      <c r="M739">
        <f>IF(K739="","",IF(K739&lt;=N(H739),"LOW","OK"))</f>
        <v/>
      </c>
    </row>
    <row r="740">
      <c r="E740" s="10" t="n"/>
      <c r="F740" s="10" t="n"/>
      <c r="I740">
        <f>IF(A740="","",SUMIFS(Purchases[Quantity],Purchases[ProductID],A740))</f>
        <v/>
      </c>
      <c r="J740">
        <f>IF(A740="","",SUMIFS(Sales[Quantity],Sales[ProductID],A740))</f>
        <v/>
      </c>
      <c r="K740">
        <f>IF(A740="","",N(G740)+N(I740)-N(J740))</f>
        <v/>
      </c>
      <c r="L740" s="10">
        <f>IF(K740="","",K740*N(F740))</f>
        <v/>
      </c>
      <c r="M740">
        <f>IF(K740="","",IF(K740&lt;=N(H740),"LOW","OK"))</f>
        <v/>
      </c>
    </row>
    <row r="741">
      <c r="E741" s="10" t="n"/>
      <c r="F741" s="10" t="n"/>
      <c r="I741">
        <f>IF(A741="","",SUMIFS(Purchases[Quantity],Purchases[ProductID],A741))</f>
        <v/>
      </c>
      <c r="J741">
        <f>IF(A741="","",SUMIFS(Sales[Quantity],Sales[ProductID],A741))</f>
        <v/>
      </c>
      <c r="K741">
        <f>IF(A741="","",N(G741)+N(I741)-N(J741))</f>
        <v/>
      </c>
      <c r="L741" s="10">
        <f>IF(K741="","",K741*N(F741))</f>
        <v/>
      </c>
      <c r="M741">
        <f>IF(K741="","",IF(K741&lt;=N(H741),"LOW","OK"))</f>
        <v/>
      </c>
    </row>
    <row r="742">
      <c r="E742" s="10" t="n"/>
      <c r="F742" s="10" t="n"/>
      <c r="I742">
        <f>IF(A742="","",SUMIFS(Purchases[Quantity],Purchases[ProductID],A742))</f>
        <v/>
      </c>
      <c r="J742">
        <f>IF(A742="","",SUMIFS(Sales[Quantity],Sales[ProductID],A742))</f>
        <v/>
      </c>
      <c r="K742">
        <f>IF(A742="","",N(G742)+N(I742)-N(J742))</f>
        <v/>
      </c>
      <c r="L742" s="10">
        <f>IF(K742="","",K742*N(F742))</f>
        <v/>
      </c>
      <c r="M742">
        <f>IF(K742="","",IF(K742&lt;=N(H742),"LOW","OK"))</f>
        <v/>
      </c>
    </row>
    <row r="743">
      <c r="E743" s="10" t="n"/>
      <c r="F743" s="10" t="n"/>
      <c r="I743">
        <f>IF(A743="","",SUMIFS(Purchases[Quantity],Purchases[ProductID],A743))</f>
        <v/>
      </c>
      <c r="J743">
        <f>IF(A743="","",SUMIFS(Sales[Quantity],Sales[ProductID],A743))</f>
        <v/>
      </c>
      <c r="K743">
        <f>IF(A743="","",N(G743)+N(I743)-N(J743))</f>
        <v/>
      </c>
      <c r="L743" s="10">
        <f>IF(K743="","",K743*N(F743))</f>
        <v/>
      </c>
      <c r="M743">
        <f>IF(K743="","",IF(K743&lt;=N(H743),"LOW","OK"))</f>
        <v/>
      </c>
    </row>
    <row r="744">
      <c r="E744" s="10" t="n"/>
      <c r="F744" s="10" t="n"/>
      <c r="I744">
        <f>IF(A744="","",SUMIFS(Purchases[Quantity],Purchases[ProductID],A744))</f>
        <v/>
      </c>
      <c r="J744">
        <f>IF(A744="","",SUMIFS(Sales[Quantity],Sales[ProductID],A744))</f>
        <v/>
      </c>
      <c r="K744">
        <f>IF(A744="","",N(G744)+N(I744)-N(J744))</f>
        <v/>
      </c>
      <c r="L744" s="10">
        <f>IF(K744="","",K744*N(F744))</f>
        <v/>
      </c>
      <c r="M744">
        <f>IF(K744="","",IF(K744&lt;=N(H744),"LOW","OK"))</f>
        <v/>
      </c>
    </row>
    <row r="745">
      <c r="E745" s="10" t="n"/>
      <c r="F745" s="10" t="n"/>
      <c r="I745">
        <f>IF(A745="","",SUMIFS(Purchases[Quantity],Purchases[ProductID],A745))</f>
        <v/>
      </c>
      <c r="J745">
        <f>IF(A745="","",SUMIFS(Sales[Quantity],Sales[ProductID],A745))</f>
        <v/>
      </c>
      <c r="K745">
        <f>IF(A745="","",N(G745)+N(I745)-N(J745))</f>
        <v/>
      </c>
      <c r="L745" s="10">
        <f>IF(K745="","",K745*N(F745))</f>
        <v/>
      </c>
      <c r="M745">
        <f>IF(K745="","",IF(K745&lt;=N(H745),"LOW","OK"))</f>
        <v/>
      </c>
    </row>
    <row r="746">
      <c r="E746" s="10" t="n"/>
      <c r="F746" s="10" t="n"/>
      <c r="I746">
        <f>IF(A746="","",SUMIFS(Purchases[Quantity],Purchases[ProductID],A746))</f>
        <v/>
      </c>
      <c r="J746">
        <f>IF(A746="","",SUMIFS(Sales[Quantity],Sales[ProductID],A746))</f>
        <v/>
      </c>
      <c r="K746">
        <f>IF(A746="","",N(G746)+N(I746)-N(J746))</f>
        <v/>
      </c>
      <c r="L746" s="10">
        <f>IF(K746="","",K746*N(F746))</f>
        <v/>
      </c>
      <c r="M746">
        <f>IF(K746="","",IF(K746&lt;=N(H746),"LOW","OK"))</f>
        <v/>
      </c>
    </row>
    <row r="747">
      <c r="E747" s="10" t="n"/>
      <c r="F747" s="10" t="n"/>
      <c r="I747">
        <f>IF(A747="","",SUMIFS(Purchases[Quantity],Purchases[ProductID],A747))</f>
        <v/>
      </c>
      <c r="J747">
        <f>IF(A747="","",SUMIFS(Sales[Quantity],Sales[ProductID],A747))</f>
        <v/>
      </c>
      <c r="K747">
        <f>IF(A747="","",N(G747)+N(I747)-N(J747))</f>
        <v/>
      </c>
      <c r="L747" s="10">
        <f>IF(K747="","",K747*N(F747))</f>
        <v/>
      </c>
      <c r="M747">
        <f>IF(K747="","",IF(K747&lt;=N(H747),"LOW","OK"))</f>
        <v/>
      </c>
    </row>
    <row r="748">
      <c r="E748" s="10" t="n"/>
      <c r="F748" s="10" t="n"/>
      <c r="I748">
        <f>IF(A748="","",SUMIFS(Purchases[Quantity],Purchases[ProductID],A748))</f>
        <v/>
      </c>
      <c r="J748">
        <f>IF(A748="","",SUMIFS(Sales[Quantity],Sales[ProductID],A748))</f>
        <v/>
      </c>
      <c r="K748">
        <f>IF(A748="","",N(G748)+N(I748)-N(J748))</f>
        <v/>
      </c>
      <c r="L748" s="10">
        <f>IF(K748="","",K748*N(F748))</f>
        <v/>
      </c>
      <c r="M748">
        <f>IF(K748="","",IF(K748&lt;=N(H748),"LOW","OK"))</f>
        <v/>
      </c>
    </row>
    <row r="749">
      <c r="E749" s="10" t="n"/>
      <c r="F749" s="10" t="n"/>
      <c r="I749">
        <f>IF(A749="","",SUMIFS(Purchases[Quantity],Purchases[ProductID],A749))</f>
        <v/>
      </c>
      <c r="J749">
        <f>IF(A749="","",SUMIFS(Sales[Quantity],Sales[ProductID],A749))</f>
        <v/>
      </c>
      <c r="K749">
        <f>IF(A749="","",N(G749)+N(I749)-N(J749))</f>
        <v/>
      </c>
      <c r="L749" s="10">
        <f>IF(K749="","",K749*N(F749))</f>
        <v/>
      </c>
      <c r="M749">
        <f>IF(K749="","",IF(K749&lt;=N(H749),"LOW","OK"))</f>
        <v/>
      </c>
    </row>
    <row r="750">
      <c r="E750" s="10" t="n"/>
      <c r="F750" s="10" t="n"/>
      <c r="I750">
        <f>IF(A750="","",SUMIFS(Purchases[Quantity],Purchases[ProductID],A750))</f>
        <v/>
      </c>
      <c r="J750">
        <f>IF(A750="","",SUMIFS(Sales[Quantity],Sales[ProductID],A750))</f>
        <v/>
      </c>
      <c r="K750">
        <f>IF(A750="","",N(G750)+N(I750)-N(J750))</f>
        <v/>
      </c>
      <c r="L750" s="10">
        <f>IF(K750="","",K750*N(F750))</f>
        <v/>
      </c>
      <c r="M750">
        <f>IF(K750="","",IF(K750&lt;=N(H750),"LOW","OK"))</f>
        <v/>
      </c>
    </row>
    <row r="751">
      <c r="E751" s="10" t="n"/>
      <c r="F751" s="10" t="n"/>
      <c r="I751">
        <f>IF(A751="","",SUMIFS(Purchases[Quantity],Purchases[ProductID],A751))</f>
        <v/>
      </c>
      <c r="J751">
        <f>IF(A751="","",SUMIFS(Sales[Quantity],Sales[ProductID],A751))</f>
        <v/>
      </c>
      <c r="K751">
        <f>IF(A751="","",N(G751)+N(I751)-N(J751))</f>
        <v/>
      </c>
      <c r="L751" s="10">
        <f>IF(K751="","",K751*N(F751))</f>
        <v/>
      </c>
      <c r="M751">
        <f>IF(K751="","",IF(K751&lt;=N(H751),"LOW","OK"))</f>
        <v/>
      </c>
    </row>
    <row r="752">
      <c r="E752" s="10" t="n"/>
      <c r="F752" s="10" t="n"/>
      <c r="I752">
        <f>IF(A752="","",SUMIFS(Purchases[Quantity],Purchases[ProductID],A752))</f>
        <v/>
      </c>
      <c r="J752">
        <f>IF(A752="","",SUMIFS(Sales[Quantity],Sales[ProductID],A752))</f>
        <v/>
      </c>
      <c r="K752">
        <f>IF(A752="","",N(G752)+N(I752)-N(J752))</f>
        <v/>
      </c>
      <c r="L752" s="10">
        <f>IF(K752="","",K752*N(F752))</f>
        <v/>
      </c>
      <c r="M752">
        <f>IF(K752="","",IF(K752&lt;=N(H752),"LOW","OK"))</f>
        <v/>
      </c>
    </row>
    <row r="753">
      <c r="E753" s="10" t="n"/>
      <c r="F753" s="10" t="n"/>
      <c r="I753">
        <f>IF(A753="","",SUMIFS(Purchases[Quantity],Purchases[ProductID],A753))</f>
        <v/>
      </c>
      <c r="J753">
        <f>IF(A753="","",SUMIFS(Sales[Quantity],Sales[ProductID],A753))</f>
        <v/>
      </c>
      <c r="K753">
        <f>IF(A753="","",N(G753)+N(I753)-N(J753))</f>
        <v/>
      </c>
      <c r="L753" s="10">
        <f>IF(K753="","",K753*N(F753))</f>
        <v/>
      </c>
      <c r="M753">
        <f>IF(K753="","",IF(K753&lt;=N(H753),"LOW","OK"))</f>
        <v/>
      </c>
    </row>
    <row r="754">
      <c r="E754" s="10" t="n"/>
      <c r="F754" s="10" t="n"/>
      <c r="I754">
        <f>IF(A754="","",SUMIFS(Purchases[Quantity],Purchases[ProductID],A754))</f>
        <v/>
      </c>
      <c r="J754">
        <f>IF(A754="","",SUMIFS(Sales[Quantity],Sales[ProductID],A754))</f>
        <v/>
      </c>
      <c r="K754">
        <f>IF(A754="","",N(G754)+N(I754)-N(J754))</f>
        <v/>
      </c>
      <c r="L754" s="10">
        <f>IF(K754="","",K754*N(F754))</f>
        <v/>
      </c>
      <c r="M754">
        <f>IF(K754="","",IF(K754&lt;=N(H754),"LOW","OK"))</f>
        <v/>
      </c>
    </row>
    <row r="755">
      <c r="E755" s="10" t="n"/>
      <c r="F755" s="10" t="n"/>
      <c r="I755">
        <f>IF(A755="","",SUMIFS(Purchases[Quantity],Purchases[ProductID],A755))</f>
        <v/>
      </c>
      <c r="J755">
        <f>IF(A755="","",SUMIFS(Sales[Quantity],Sales[ProductID],A755))</f>
        <v/>
      </c>
      <c r="K755">
        <f>IF(A755="","",N(G755)+N(I755)-N(J755))</f>
        <v/>
      </c>
      <c r="L755" s="10">
        <f>IF(K755="","",K755*N(F755))</f>
        <v/>
      </c>
      <c r="M755">
        <f>IF(K755="","",IF(K755&lt;=N(H755),"LOW","OK"))</f>
        <v/>
      </c>
    </row>
    <row r="756">
      <c r="E756" s="10" t="n"/>
      <c r="F756" s="10" t="n"/>
      <c r="I756">
        <f>IF(A756="","",SUMIFS(Purchases[Quantity],Purchases[ProductID],A756))</f>
        <v/>
      </c>
      <c r="J756">
        <f>IF(A756="","",SUMIFS(Sales[Quantity],Sales[ProductID],A756))</f>
        <v/>
      </c>
      <c r="K756">
        <f>IF(A756="","",N(G756)+N(I756)-N(J756))</f>
        <v/>
      </c>
      <c r="L756" s="10">
        <f>IF(K756="","",K756*N(F756))</f>
        <v/>
      </c>
      <c r="M756">
        <f>IF(K756="","",IF(K756&lt;=N(H756),"LOW","OK"))</f>
        <v/>
      </c>
    </row>
    <row r="757">
      <c r="E757" s="10" t="n"/>
      <c r="F757" s="10" t="n"/>
      <c r="I757">
        <f>IF(A757="","",SUMIFS(Purchases[Quantity],Purchases[ProductID],A757))</f>
        <v/>
      </c>
      <c r="J757">
        <f>IF(A757="","",SUMIFS(Sales[Quantity],Sales[ProductID],A757))</f>
        <v/>
      </c>
      <c r="K757">
        <f>IF(A757="","",N(G757)+N(I757)-N(J757))</f>
        <v/>
      </c>
      <c r="L757" s="10">
        <f>IF(K757="","",K757*N(F757))</f>
        <v/>
      </c>
      <c r="M757">
        <f>IF(K757="","",IF(K757&lt;=N(H757),"LOW","OK"))</f>
        <v/>
      </c>
    </row>
    <row r="758">
      <c r="E758" s="10" t="n"/>
      <c r="F758" s="10" t="n"/>
      <c r="I758">
        <f>IF(A758="","",SUMIFS(Purchases[Quantity],Purchases[ProductID],A758))</f>
        <v/>
      </c>
      <c r="J758">
        <f>IF(A758="","",SUMIFS(Sales[Quantity],Sales[ProductID],A758))</f>
        <v/>
      </c>
      <c r="K758">
        <f>IF(A758="","",N(G758)+N(I758)-N(J758))</f>
        <v/>
      </c>
      <c r="L758" s="10">
        <f>IF(K758="","",K758*N(F758))</f>
        <v/>
      </c>
      <c r="M758">
        <f>IF(K758="","",IF(K758&lt;=N(H758),"LOW","OK"))</f>
        <v/>
      </c>
    </row>
    <row r="759">
      <c r="E759" s="10" t="n"/>
      <c r="F759" s="10" t="n"/>
      <c r="I759">
        <f>IF(A759="","",SUMIFS(Purchases[Quantity],Purchases[ProductID],A759))</f>
        <v/>
      </c>
      <c r="J759">
        <f>IF(A759="","",SUMIFS(Sales[Quantity],Sales[ProductID],A759))</f>
        <v/>
      </c>
      <c r="K759">
        <f>IF(A759="","",N(G759)+N(I759)-N(J759))</f>
        <v/>
      </c>
      <c r="L759" s="10">
        <f>IF(K759="","",K759*N(F759))</f>
        <v/>
      </c>
      <c r="M759">
        <f>IF(K759="","",IF(K759&lt;=N(H759),"LOW","OK"))</f>
        <v/>
      </c>
    </row>
    <row r="760">
      <c r="E760" s="10" t="n"/>
      <c r="F760" s="10" t="n"/>
      <c r="I760">
        <f>IF(A760="","",SUMIFS(Purchases[Quantity],Purchases[ProductID],A760))</f>
        <v/>
      </c>
      <c r="J760">
        <f>IF(A760="","",SUMIFS(Sales[Quantity],Sales[ProductID],A760))</f>
        <v/>
      </c>
      <c r="K760">
        <f>IF(A760="","",N(G760)+N(I760)-N(J760))</f>
        <v/>
      </c>
      <c r="L760" s="10">
        <f>IF(K760="","",K760*N(F760))</f>
        <v/>
      </c>
      <c r="M760">
        <f>IF(K760="","",IF(K760&lt;=N(H760),"LOW","OK"))</f>
        <v/>
      </c>
    </row>
    <row r="761">
      <c r="E761" s="10" t="n"/>
      <c r="F761" s="10" t="n"/>
      <c r="I761">
        <f>IF(A761="","",SUMIFS(Purchases[Quantity],Purchases[ProductID],A761))</f>
        <v/>
      </c>
      <c r="J761">
        <f>IF(A761="","",SUMIFS(Sales[Quantity],Sales[ProductID],A761))</f>
        <v/>
      </c>
      <c r="K761">
        <f>IF(A761="","",N(G761)+N(I761)-N(J761))</f>
        <v/>
      </c>
      <c r="L761" s="10">
        <f>IF(K761="","",K761*N(F761))</f>
        <v/>
      </c>
      <c r="M761">
        <f>IF(K761="","",IF(K761&lt;=N(H761),"LOW","OK"))</f>
        <v/>
      </c>
    </row>
    <row r="762">
      <c r="E762" s="10" t="n"/>
      <c r="F762" s="10" t="n"/>
      <c r="I762">
        <f>IF(A762="","",SUMIFS(Purchases[Quantity],Purchases[ProductID],A762))</f>
        <v/>
      </c>
      <c r="J762">
        <f>IF(A762="","",SUMIFS(Sales[Quantity],Sales[ProductID],A762))</f>
        <v/>
      </c>
      <c r="K762">
        <f>IF(A762="","",N(G762)+N(I762)-N(J762))</f>
        <v/>
      </c>
      <c r="L762" s="10">
        <f>IF(K762="","",K762*N(F762))</f>
        <v/>
      </c>
      <c r="M762">
        <f>IF(K762="","",IF(K762&lt;=N(H762),"LOW","OK"))</f>
        <v/>
      </c>
    </row>
    <row r="763">
      <c r="E763" s="10" t="n"/>
      <c r="F763" s="10" t="n"/>
      <c r="I763">
        <f>IF(A763="","",SUMIFS(Purchases[Quantity],Purchases[ProductID],A763))</f>
        <v/>
      </c>
      <c r="J763">
        <f>IF(A763="","",SUMIFS(Sales[Quantity],Sales[ProductID],A763))</f>
        <v/>
      </c>
      <c r="K763">
        <f>IF(A763="","",N(G763)+N(I763)-N(J763))</f>
        <v/>
      </c>
      <c r="L763" s="10">
        <f>IF(K763="","",K763*N(F763))</f>
        <v/>
      </c>
      <c r="M763">
        <f>IF(K763="","",IF(K763&lt;=N(H763),"LOW","OK"))</f>
        <v/>
      </c>
    </row>
    <row r="764">
      <c r="E764" s="10" t="n"/>
      <c r="F764" s="10" t="n"/>
      <c r="I764">
        <f>IF(A764="","",SUMIFS(Purchases[Quantity],Purchases[ProductID],A764))</f>
        <v/>
      </c>
      <c r="J764">
        <f>IF(A764="","",SUMIFS(Sales[Quantity],Sales[ProductID],A764))</f>
        <v/>
      </c>
      <c r="K764">
        <f>IF(A764="","",N(G764)+N(I764)-N(J764))</f>
        <v/>
      </c>
      <c r="L764" s="10">
        <f>IF(K764="","",K764*N(F764))</f>
        <v/>
      </c>
      <c r="M764">
        <f>IF(K764="","",IF(K764&lt;=N(H764),"LOW","OK"))</f>
        <v/>
      </c>
    </row>
    <row r="765">
      <c r="E765" s="10" t="n"/>
      <c r="F765" s="10" t="n"/>
      <c r="I765">
        <f>IF(A765="","",SUMIFS(Purchases[Quantity],Purchases[ProductID],A765))</f>
        <v/>
      </c>
      <c r="J765">
        <f>IF(A765="","",SUMIFS(Sales[Quantity],Sales[ProductID],A765))</f>
        <v/>
      </c>
      <c r="K765">
        <f>IF(A765="","",N(G765)+N(I765)-N(J765))</f>
        <v/>
      </c>
      <c r="L765" s="10">
        <f>IF(K765="","",K765*N(F765))</f>
        <v/>
      </c>
      <c r="M765">
        <f>IF(K765="","",IF(K765&lt;=N(H765),"LOW","OK"))</f>
        <v/>
      </c>
    </row>
    <row r="766">
      <c r="E766" s="10" t="n"/>
      <c r="F766" s="10" t="n"/>
      <c r="I766">
        <f>IF(A766="","",SUMIFS(Purchases[Quantity],Purchases[ProductID],A766))</f>
        <v/>
      </c>
      <c r="J766">
        <f>IF(A766="","",SUMIFS(Sales[Quantity],Sales[ProductID],A766))</f>
        <v/>
      </c>
      <c r="K766">
        <f>IF(A766="","",N(G766)+N(I766)-N(J766))</f>
        <v/>
      </c>
      <c r="L766" s="10">
        <f>IF(K766="","",K766*N(F766))</f>
        <v/>
      </c>
      <c r="M766">
        <f>IF(K766="","",IF(K766&lt;=N(H766),"LOW","OK"))</f>
        <v/>
      </c>
    </row>
    <row r="767">
      <c r="E767" s="10" t="n"/>
      <c r="F767" s="10" t="n"/>
      <c r="I767">
        <f>IF(A767="","",SUMIFS(Purchases[Quantity],Purchases[ProductID],A767))</f>
        <v/>
      </c>
      <c r="J767">
        <f>IF(A767="","",SUMIFS(Sales[Quantity],Sales[ProductID],A767))</f>
        <v/>
      </c>
      <c r="K767">
        <f>IF(A767="","",N(G767)+N(I767)-N(J767))</f>
        <v/>
      </c>
      <c r="L767" s="10">
        <f>IF(K767="","",K767*N(F767))</f>
        <v/>
      </c>
      <c r="M767">
        <f>IF(K767="","",IF(K767&lt;=N(H767),"LOW","OK"))</f>
        <v/>
      </c>
    </row>
    <row r="768">
      <c r="E768" s="10" t="n"/>
      <c r="F768" s="10" t="n"/>
      <c r="I768">
        <f>IF(A768="","",SUMIFS(Purchases[Quantity],Purchases[ProductID],A768))</f>
        <v/>
      </c>
      <c r="J768">
        <f>IF(A768="","",SUMIFS(Sales[Quantity],Sales[ProductID],A768))</f>
        <v/>
      </c>
      <c r="K768">
        <f>IF(A768="","",N(G768)+N(I768)-N(J768))</f>
        <v/>
      </c>
      <c r="L768" s="10">
        <f>IF(K768="","",K768*N(F768))</f>
        <v/>
      </c>
      <c r="M768">
        <f>IF(K768="","",IF(K768&lt;=N(H768),"LOW","OK"))</f>
        <v/>
      </c>
    </row>
    <row r="769">
      <c r="E769" s="10" t="n"/>
      <c r="F769" s="10" t="n"/>
      <c r="I769">
        <f>IF(A769="","",SUMIFS(Purchases[Quantity],Purchases[ProductID],A769))</f>
        <v/>
      </c>
      <c r="J769">
        <f>IF(A769="","",SUMIFS(Sales[Quantity],Sales[ProductID],A769))</f>
        <v/>
      </c>
      <c r="K769">
        <f>IF(A769="","",N(G769)+N(I769)-N(J769))</f>
        <v/>
      </c>
      <c r="L769" s="10">
        <f>IF(K769="","",K769*N(F769))</f>
        <v/>
      </c>
      <c r="M769">
        <f>IF(K769="","",IF(K769&lt;=N(H769),"LOW","OK"))</f>
        <v/>
      </c>
    </row>
    <row r="770">
      <c r="E770" s="10" t="n"/>
      <c r="F770" s="10" t="n"/>
      <c r="I770">
        <f>IF(A770="","",SUMIFS(Purchases[Quantity],Purchases[ProductID],A770))</f>
        <v/>
      </c>
      <c r="J770">
        <f>IF(A770="","",SUMIFS(Sales[Quantity],Sales[ProductID],A770))</f>
        <v/>
      </c>
      <c r="K770">
        <f>IF(A770="","",N(G770)+N(I770)-N(J770))</f>
        <v/>
      </c>
      <c r="L770" s="10">
        <f>IF(K770="","",K770*N(F770))</f>
        <v/>
      </c>
      <c r="M770">
        <f>IF(K770="","",IF(K770&lt;=N(H770),"LOW","OK"))</f>
        <v/>
      </c>
    </row>
    <row r="771">
      <c r="E771" s="10" t="n"/>
      <c r="F771" s="10" t="n"/>
      <c r="I771">
        <f>IF(A771="","",SUMIFS(Purchases[Quantity],Purchases[ProductID],A771))</f>
        <v/>
      </c>
      <c r="J771">
        <f>IF(A771="","",SUMIFS(Sales[Quantity],Sales[ProductID],A771))</f>
        <v/>
      </c>
      <c r="K771">
        <f>IF(A771="","",N(G771)+N(I771)-N(J771))</f>
        <v/>
      </c>
      <c r="L771" s="10">
        <f>IF(K771="","",K771*N(F771))</f>
        <v/>
      </c>
      <c r="M771">
        <f>IF(K771="","",IF(K771&lt;=N(H771),"LOW","OK"))</f>
        <v/>
      </c>
    </row>
    <row r="772">
      <c r="E772" s="10" t="n"/>
      <c r="F772" s="10" t="n"/>
      <c r="I772">
        <f>IF(A772="","",SUMIFS(Purchases[Quantity],Purchases[ProductID],A772))</f>
        <v/>
      </c>
      <c r="J772">
        <f>IF(A772="","",SUMIFS(Sales[Quantity],Sales[ProductID],A772))</f>
        <v/>
      </c>
      <c r="K772">
        <f>IF(A772="","",N(G772)+N(I772)-N(J772))</f>
        <v/>
      </c>
      <c r="L772" s="10">
        <f>IF(K772="","",K772*N(F772))</f>
        <v/>
      </c>
      <c r="M772">
        <f>IF(K772="","",IF(K772&lt;=N(H772),"LOW","OK"))</f>
        <v/>
      </c>
    </row>
    <row r="773">
      <c r="E773" s="10" t="n"/>
      <c r="F773" s="10" t="n"/>
      <c r="I773">
        <f>IF(A773="","",SUMIFS(Purchases[Quantity],Purchases[ProductID],A773))</f>
        <v/>
      </c>
      <c r="J773">
        <f>IF(A773="","",SUMIFS(Sales[Quantity],Sales[ProductID],A773))</f>
        <v/>
      </c>
      <c r="K773">
        <f>IF(A773="","",N(G773)+N(I773)-N(J773))</f>
        <v/>
      </c>
      <c r="L773" s="10">
        <f>IF(K773="","",K773*N(F773))</f>
        <v/>
      </c>
      <c r="M773">
        <f>IF(K773="","",IF(K773&lt;=N(H773),"LOW","OK"))</f>
        <v/>
      </c>
    </row>
    <row r="774">
      <c r="E774" s="10" t="n"/>
      <c r="F774" s="10" t="n"/>
      <c r="I774">
        <f>IF(A774="","",SUMIFS(Purchases[Quantity],Purchases[ProductID],A774))</f>
        <v/>
      </c>
      <c r="J774">
        <f>IF(A774="","",SUMIFS(Sales[Quantity],Sales[ProductID],A774))</f>
        <v/>
      </c>
      <c r="K774">
        <f>IF(A774="","",N(G774)+N(I774)-N(J774))</f>
        <v/>
      </c>
      <c r="L774" s="10">
        <f>IF(K774="","",K774*N(F774))</f>
        <v/>
      </c>
      <c r="M774">
        <f>IF(K774="","",IF(K774&lt;=N(H774),"LOW","OK"))</f>
        <v/>
      </c>
    </row>
    <row r="775">
      <c r="E775" s="10" t="n"/>
      <c r="F775" s="10" t="n"/>
      <c r="I775">
        <f>IF(A775="","",SUMIFS(Purchases[Quantity],Purchases[ProductID],A775))</f>
        <v/>
      </c>
      <c r="J775">
        <f>IF(A775="","",SUMIFS(Sales[Quantity],Sales[ProductID],A775))</f>
        <v/>
      </c>
      <c r="K775">
        <f>IF(A775="","",N(G775)+N(I775)-N(J775))</f>
        <v/>
      </c>
      <c r="L775" s="10">
        <f>IF(K775="","",K775*N(F775))</f>
        <v/>
      </c>
      <c r="M775">
        <f>IF(K775="","",IF(K775&lt;=N(H775),"LOW","OK"))</f>
        <v/>
      </c>
    </row>
    <row r="776">
      <c r="E776" s="10" t="n"/>
      <c r="F776" s="10" t="n"/>
      <c r="I776">
        <f>IF(A776="","",SUMIFS(Purchases[Quantity],Purchases[ProductID],A776))</f>
        <v/>
      </c>
      <c r="J776">
        <f>IF(A776="","",SUMIFS(Sales[Quantity],Sales[ProductID],A776))</f>
        <v/>
      </c>
      <c r="K776">
        <f>IF(A776="","",N(G776)+N(I776)-N(J776))</f>
        <v/>
      </c>
      <c r="L776" s="10">
        <f>IF(K776="","",K776*N(F776))</f>
        <v/>
      </c>
      <c r="M776">
        <f>IF(K776="","",IF(K776&lt;=N(H776),"LOW","OK"))</f>
        <v/>
      </c>
    </row>
    <row r="777">
      <c r="E777" s="10" t="n"/>
      <c r="F777" s="10" t="n"/>
      <c r="I777">
        <f>IF(A777="","",SUMIFS(Purchases[Quantity],Purchases[ProductID],A777))</f>
        <v/>
      </c>
      <c r="J777">
        <f>IF(A777="","",SUMIFS(Sales[Quantity],Sales[ProductID],A777))</f>
        <v/>
      </c>
      <c r="K777">
        <f>IF(A777="","",N(G777)+N(I777)-N(J777))</f>
        <v/>
      </c>
      <c r="L777" s="10">
        <f>IF(K777="","",K777*N(F777))</f>
        <v/>
      </c>
      <c r="M777">
        <f>IF(K777="","",IF(K777&lt;=N(H777),"LOW","OK"))</f>
        <v/>
      </c>
    </row>
    <row r="778">
      <c r="E778" s="10" t="n"/>
      <c r="F778" s="10" t="n"/>
      <c r="I778">
        <f>IF(A778="","",SUMIFS(Purchases[Quantity],Purchases[ProductID],A778))</f>
        <v/>
      </c>
      <c r="J778">
        <f>IF(A778="","",SUMIFS(Sales[Quantity],Sales[ProductID],A778))</f>
        <v/>
      </c>
      <c r="K778">
        <f>IF(A778="","",N(G778)+N(I778)-N(J778))</f>
        <v/>
      </c>
      <c r="L778" s="10">
        <f>IF(K778="","",K778*N(F778))</f>
        <v/>
      </c>
      <c r="M778">
        <f>IF(K778="","",IF(K778&lt;=N(H778),"LOW","OK"))</f>
        <v/>
      </c>
    </row>
    <row r="779">
      <c r="E779" s="10" t="n"/>
      <c r="F779" s="10" t="n"/>
      <c r="I779">
        <f>IF(A779="","",SUMIFS(Purchases[Quantity],Purchases[ProductID],A779))</f>
        <v/>
      </c>
      <c r="J779">
        <f>IF(A779="","",SUMIFS(Sales[Quantity],Sales[ProductID],A779))</f>
        <v/>
      </c>
      <c r="K779">
        <f>IF(A779="","",N(G779)+N(I779)-N(J779))</f>
        <v/>
      </c>
      <c r="L779" s="10">
        <f>IF(K779="","",K779*N(F779))</f>
        <v/>
      </c>
      <c r="M779">
        <f>IF(K779="","",IF(K779&lt;=N(H779),"LOW","OK"))</f>
        <v/>
      </c>
    </row>
    <row r="780">
      <c r="E780" s="10" t="n"/>
      <c r="F780" s="10" t="n"/>
      <c r="I780">
        <f>IF(A780="","",SUMIFS(Purchases[Quantity],Purchases[ProductID],A780))</f>
        <v/>
      </c>
      <c r="J780">
        <f>IF(A780="","",SUMIFS(Sales[Quantity],Sales[ProductID],A780))</f>
        <v/>
      </c>
      <c r="K780">
        <f>IF(A780="","",N(G780)+N(I780)-N(J780))</f>
        <v/>
      </c>
      <c r="L780" s="10">
        <f>IF(K780="","",K780*N(F780))</f>
        <v/>
      </c>
      <c r="M780">
        <f>IF(K780="","",IF(K780&lt;=N(H780),"LOW","OK"))</f>
        <v/>
      </c>
    </row>
    <row r="781">
      <c r="E781" s="10" t="n"/>
      <c r="F781" s="10" t="n"/>
      <c r="I781">
        <f>IF(A781="","",SUMIFS(Purchases[Quantity],Purchases[ProductID],A781))</f>
        <v/>
      </c>
      <c r="J781">
        <f>IF(A781="","",SUMIFS(Sales[Quantity],Sales[ProductID],A781))</f>
        <v/>
      </c>
      <c r="K781">
        <f>IF(A781="","",N(G781)+N(I781)-N(J781))</f>
        <v/>
      </c>
      <c r="L781" s="10">
        <f>IF(K781="","",K781*N(F781))</f>
        <v/>
      </c>
      <c r="M781">
        <f>IF(K781="","",IF(K781&lt;=N(H781),"LOW","OK"))</f>
        <v/>
      </c>
    </row>
    <row r="782">
      <c r="E782" s="10" t="n"/>
      <c r="F782" s="10" t="n"/>
      <c r="I782">
        <f>IF(A782="","",SUMIFS(Purchases[Quantity],Purchases[ProductID],A782))</f>
        <v/>
      </c>
      <c r="J782">
        <f>IF(A782="","",SUMIFS(Sales[Quantity],Sales[ProductID],A782))</f>
        <v/>
      </c>
      <c r="K782">
        <f>IF(A782="","",N(G782)+N(I782)-N(J782))</f>
        <v/>
      </c>
      <c r="L782" s="10">
        <f>IF(K782="","",K782*N(F782))</f>
        <v/>
      </c>
      <c r="M782">
        <f>IF(K782="","",IF(K782&lt;=N(H782),"LOW","OK"))</f>
        <v/>
      </c>
    </row>
    <row r="783">
      <c r="E783" s="10" t="n"/>
      <c r="F783" s="10" t="n"/>
      <c r="I783">
        <f>IF(A783="","",SUMIFS(Purchases[Quantity],Purchases[ProductID],A783))</f>
        <v/>
      </c>
      <c r="J783">
        <f>IF(A783="","",SUMIFS(Sales[Quantity],Sales[ProductID],A783))</f>
        <v/>
      </c>
      <c r="K783">
        <f>IF(A783="","",N(G783)+N(I783)-N(J783))</f>
        <v/>
      </c>
      <c r="L783" s="10">
        <f>IF(K783="","",K783*N(F783))</f>
        <v/>
      </c>
      <c r="M783">
        <f>IF(K783="","",IF(K783&lt;=N(H783),"LOW","OK"))</f>
        <v/>
      </c>
    </row>
    <row r="784">
      <c r="E784" s="10" t="n"/>
      <c r="F784" s="10" t="n"/>
      <c r="I784">
        <f>IF(A784="","",SUMIFS(Purchases[Quantity],Purchases[ProductID],A784))</f>
        <v/>
      </c>
      <c r="J784">
        <f>IF(A784="","",SUMIFS(Sales[Quantity],Sales[ProductID],A784))</f>
        <v/>
      </c>
      <c r="K784">
        <f>IF(A784="","",N(G784)+N(I784)-N(J784))</f>
        <v/>
      </c>
      <c r="L784" s="10">
        <f>IF(K784="","",K784*N(F784))</f>
        <v/>
      </c>
      <c r="M784">
        <f>IF(K784="","",IF(K784&lt;=N(H784),"LOW","OK"))</f>
        <v/>
      </c>
    </row>
    <row r="785">
      <c r="E785" s="10" t="n"/>
      <c r="F785" s="10" t="n"/>
      <c r="I785">
        <f>IF(A785="","",SUMIFS(Purchases[Quantity],Purchases[ProductID],A785))</f>
        <v/>
      </c>
      <c r="J785">
        <f>IF(A785="","",SUMIFS(Sales[Quantity],Sales[ProductID],A785))</f>
        <v/>
      </c>
      <c r="K785">
        <f>IF(A785="","",N(G785)+N(I785)-N(J785))</f>
        <v/>
      </c>
      <c r="L785" s="10">
        <f>IF(K785="","",K785*N(F785))</f>
        <v/>
      </c>
      <c r="M785">
        <f>IF(K785="","",IF(K785&lt;=N(H785),"LOW","OK"))</f>
        <v/>
      </c>
    </row>
    <row r="786">
      <c r="E786" s="10" t="n"/>
      <c r="F786" s="10" t="n"/>
      <c r="I786">
        <f>IF(A786="","",SUMIFS(Purchases[Quantity],Purchases[ProductID],A786))</f>
        <v/>
      </c>
      <c r="J786">
        <f>IF(A786="","",SUMIFS(Sales[Quantity],Sales[ProductID],A786))</f>
        <v/>
      </c>
      <c r="K786">
        <f>IF(A786="","",N(G786)+N(I786)-N(J786))</f>
        <v/>
      </c>
      <c r="L786" s="10">
        <f>IF(K786="","",K786*N(F786))</f>
        <v/>
      </c>
      <c r="M786">
        <f>IF(K786="","",IF(K786&lt;=N(H786),"LOW","OK"))</f>
        <v/>
      </c>
    </row>
    <row r="787">
      <c r="E787" s="10" t="n"/>
      <c r="F787" s="10" t="n"/>
      <c r="I787">
        <f>IF(A787="","",SUMIFS(Purchases[Quantity],Purchases[ProductID],A787))</f>
        <v/>
      </c>
      <c r="J787">
        <f>IF(A787="","",SUMIFS(Sales[Quantity],Sales[ProductID],A787))</f>
        <v/>
      </c>
      <c r="K787">
        <f>IF(A787="","",N(G787)+N(I787)-N(J787))</f>
        <v/>
      </c>
      <c r="L787" s="10">
        <f>IF(K787="","",K787*N(F787))</f>
        <v/>
      </c>
      <c r="M787">
        <f>IF(K787="","",IF(K787&lt;=N(H787),"LOW","OK"))</f>
        <v/>
      </c>
    </row>
    <row r="788">
      <c r="E788" s="10" t="n"/>
      <c r="F788" s="10" t="n"/>
      <c r="I788">
        <f>IF(A788="","",SUMIFS(Purchases[Quantity],Purchases[ProductID],A788))</f>
        <v/>
      </c>
      <c r="J788">
        <f>IF(A788="","",SUMIFS(Sales[Quantity],Sales[ProductID],A788))</f>
        <v/>
      </c>
      <c r="K788">
        <f>IF(A788="","",N(G788)+N(I788)-N(J788))</f>
        <v/>
      </c>
      <c r="L788" s="10">
        <f>IF(K788="","",K788*N(F788))</f>
        <v/>
      </c>
      <c r="M788">
        <f>IF(K788="","",IF(K788&lt;=N(H788),"LOW","OK"))</f>
        <v/>
      </c>
    </row>
    <row r="789">
      <c r="E789" s="10" t="n"/>
      <c r="F789" s="10" t="n"/>
      <c r="I789">
        <f>IF(A789="","",SUMIFS(Purchases[Quantity],Purchases[ProductID],A789))</f>
        <v/>
      </c>
      <c r="J789">
        <f>IF(A789="","",SUMIFS(Sales[Quantity],Sales[ProductID],A789))</f>
        <v/>
      </c>
      <c r="K789">
        <f>IF(A789="","",N(G789)+N(I789)-N(J789))</f>
        <v/>
      </c>
      <c r="L789" s="10">
        <f>IF(K789="","",K789*N(F789))</f>
        <v/>
      </c>
      <c r="M789">
        <f>IF(K789="","",IF(K789&lt;=N(H789),"LOW","OK"))</f>
        <v/>
      </c>
    </row>
    <row r="790">
      <c r="E790" s="10" t="n"/>
      <c r="F790" s="10" t="n"/>
      <c r="I790">
        <f>IF(A790="","",SUMIFS(Purchases[Quantity],Purchases[ProductID],A790))</f>
        <v/>
      </c>
      <c r="J790">
        <f>IF(A790="","",SUMIFS(Sales[Quantity],Sales[ProductID],A790))</f>
        <v/>
      </c>
      <c r="K790">
        <f>IF(A790="","",N(G790)+N(I790)-N(J790))</f>
        <v/>
      </c>
      <c r="L790" s="10">
        <f>IF(K790="","",K790*N(F790))</f>
        <v/>
      </c>
      <c r="M790">
        <f>IF(K790="","",IF(K790&lt;=N(H790),"LOW","OK"))</f>
        <v/>
      </c>
    </row>
    <row r="791">
      <c r="E791" s="10" t="n"/>
      <c r="F791" s="10" t="n"/>
      <c r="I791">
        <f>IF(A791="","",SUMIFS(Purchases[Quantity],Purchases[ProductID],A791))</f>
        <v/>
      </c>
      <c r="J791">
        <f>IF(A791="","",SUMIFS(Sales[Quantity],Sales[ProductID],A791))</f>
        <v/>
      </c>
      <c r="K791">
        <f>IF(A791="","",N(G791)+N(I791)-N(J791))</f>
        <v/>
      </c>
      <c r="L791" s="10">
        <f>IF(K791="","",K791*N(F791))</f>
        <v/>
      </c>
      <c r="M791">
        <f>IF(K791="","",IF(K791&lt;=N(H791),"LOW","OK"))</f>
        <v/>
      </c>
    </row>
    <row r="792">
      <c r="E792" s="10" t="n"/>
      <c r="F792" s="10" t="n"/>
      <c r="I792">
        <f>IF(A792="","",SUMIFS(Purchases[Quantity],Purchases[ProductID],A792))</f>
        <v/>
      </c>
      <c r="J792">
        <f>IF(A792="","",SUMIFS(Sales[Quantity],Sales[ProductID],A792))</f>
        <v/>
      </c>
      <c r="K792">
        <f>IF(A792="","",N(G792)+N(I792)-N(J792))</f>
        <v/>
      </c>
      <c r="L792" s="10">
        <f>IF(K792="","",K792*N(F792))</f>
        <v/>
      </c>
      <c r="M792">
        <f>IF(K792="","",IF(K792&lt;=N(H792),"LOW","OK"))</f>
        <v/>
      </c>
    </row>
    <row r="793">
      <c r="E793" s="10" t="n"/>
      <c r="F793" s="10" t="n"/>
      <c r="I793">
        <f>IF(A793="","",SUMIFS(Purchases[Quantity],Purchases[ProductID],A793))</f>
        <v/>
      </c>
      <c r="J793">
        <f>IF(A793="","",SUMIFS(Sales[Quantity],Sales[ProductID],A793))</f>
        <v/>
      </c>
      <c r="K793">
        <f>IF(A793="","",N(G793)+N(I793)-N(J793))</f>
        <v/>
      </c>
      <c r="L793" s="10">
        <f>IF(K793="","",K793*N(F793))</f>
        <v/>
      </c>
      <c r="M793">
        <f>IF(K793="","",IF(K793&lt;=N(H793),"LOW","OK"))</f>
        <v/>
      </c>
    </row>
    <row r="794">
      <c r="E794" s="10" t="n"/>
      <c r="F794" s="10" t="n"/>
      <c r="I794">
        <f>IF(A794="","",SUMIFS(Purchases[Quantity],Purchases[ProductID],A794))</f>
        <v/>
      </c>
      <c r="J794">
        <f>IF(A794="","",SUMIFS(Sales[Quantity],Sales[ProductID],A794))</f>
        <v/>
      </c>
      <c r="K794">
        <f>IF(A794="","",N(G794)+N(I794)-N(J794))</f>
        <v/>
      </c>
      <c r="L794" s="10">
        <f>IF(K794="","",K794*N(F794))</f>
        <v/>
      </c>
      <c r="M794">
        <f>IF(K794="","",IF(K794&lt;=N(H794),"LOW","OK"))</f>
        <v/>
      </c>
    </row>
    <row r="795">
      <c r="E795" s="10" t="n"/>
      <c r="F795" s="10" t="n"/>
      <c r="I795">
        <f>IF(A795="","",SUMIFS(Purchases[Quantity],Purchases[ProductID],A795))</f>
        <v/>
      </c>
      <c r="J795">
        <f>IF(A795="","",SUMIFS(Sales[Quantity],Sales[ProductID],A795))</f>
        <v/>
      </c>
      <c r="K795">
        <f>IF(A795="","",N(G795)+N(I795)-N(J795))</f>
        <v/>
      </c>
      <c r="L795" s="10">
        <f>IF(K795="","",K795*N(F795))</f>
        <v/>
      </c>
      <c r="M795">
        <f>IF(K795="","",IF(K795&lt;=N(H795),"LOW","OK"))</f>
        <v/>
      </c>
    </row>
    <row r="796">
      <c r="E796" s="10" t="n"/>
      <c r="F796" s="10" t="n"/>
      <c r="I796">
        <f>IF(A796="","",SUMIFS(Purchases[Quantity],Purchases[ProductID],A796))</f>
        <v/>
      </c>
      <c r="J796">
        <f>IF(A796="","",SUMIFS(Sales[Quantity],Sales[ProductID],A796))</f>
        <v/>
      </c>
      <c r="K796">
        <f>IF(A796="","",N(G796)+N(I796)-N(J796))</f>
        <v/>
      </c>
      <c r="L796" s="10">
        <f>IF(K796="","",K796*N(F796))</f>
        <v/>
      </c>
      <c r="M796">
        <f>IF(K796="","",IF(K796&lt;=N(H796),"LOW","OK"))</f>
        <v/>
      </c>
    </row>
    <row r="797">
      <c r="E797" s="10" t="n"/>
      <c r="F797" s="10" t="n"/>
      <c r="I797">
        <f>IF(A797="","",SUMIFS(Purchases[Quantity],Purchases[ProductID],A797))</f>
        <v/>
      </c>
      <c r="J797">
        <f>IF(A797="","",SUMIFS(Sales[Quantity],Sales[ProductID],A797))</f>
        <v/>
      </c>
      <c r="K797">
        <f>IF(A797="","",N(G797)+N(I797)-N(J797))</f>
        <v/>
      </c>
      <c r="L797" s="10">
        <f>IF(K797="","",K797*N(F797))</f>
        <v/>
      </c>
      <c r="M797">
        <f>IF(K797="","",IF(K797&lt;=N(H797),"LOW","OK"))</f>
        <v/>
      </c>
    </row>
    <row r="798">
      <c r="E798" s="10" t="n"/>
      <c r="F798" s="10" t="n"/>
      <c r="I798">
        <f>IF(A798="","",SUMIFS(Purchases[Quantity],Purchases[ProductID],A798))</f>
        <v/>
      </c>
      <c r="J798">
        <f>IF(A798="","",SUMIFS(Sales[Quantity],Sales[ProductID],A798))</f>
        <v/>
      </c>
      <c r="K798">
        <f>IF(A798="","",N(G798)+N(I798)-N(J798))</f>
        <v/>
      </c>
      <c r="L798" s="10">
        <f>IF(K798="","",K798*N(F798))</f>
        <v/>
      </c>
      <c r="M798">
        <f>IF(K798="","",IF(K798&lt;=N(H798),"LOW","OK"))</f>
        <v/>
      </c>
    </row>
    <row r="799">
      <c r="E799" s="10" t="n"/>
      <c r="F799" s="10" t="n"/>
      <c r="I799">
        <f>IF(A799="","",SUMIFS(Purchases[Quantity],Purchases[ProductID],A799))</f>
        <v/>
      </c>
      <c r="J799">
        <f>IF(A799="","",SUMIFS(Sales[Quantity],Sales[ProductID],A799))</f>
        <v/>
      </c>
      <c r="K799">
        <f>IF(A799="","",N(G799)+N(I799)-N(J799))</f>
        <v/>
      </c>
      <c r="L799" s="10">
        <f>IF(K799="","",K799*N(F799))</f>
        <v/>
      </c>
      <c r="M799">
        <f>IF(K799="","",IF(K799&lt;=N(H799),"LOW","OK"))</f>
        <v/>
      </c>
    </row>
    <row r="800">
      <c r="E800" s="10" t="n"/>
      <c r="F800" s="10" t="n"/>
      <c r="I800">
        <f>IF(A800="","",SUMIFS(Purchases[Quantity],Purchases[ProductID],A800))</f>
        <v/>
      </c>
      <c r="J800">
        <f>IF(A800="","",SUMIFS(Sales[Quantity],Sales[ProductID],A800))</f>
        <v/>
      </c>
      <c r="K800">
        <f>IF(A800="","",N(G800)+N(I800)-N(J800))</f>
        <v/>
      </c>
      <c r="L800" s="10">
        <f>IF(K800="","",K800*N(F800))</f>
        <v/>
      </c>
      <c r="M800">
        <f>IF(K800="","",IF(K800&lt;=N(H800),"LOW","OK"))</f>
        <v/>
      </c>
    </row>
    <row r="801">
      <c r="E801" s="10" t="n"/>
      <c r="F801" s="10" t="n"/>
      <c r="I801">
        <f>IF(A801="","",SUMIFS(Purchases[Quantity],Purchases[ProductID],A801))</f>
        <v/>
      </c>
      <c r="J801">
        <f>IF(A801="","",SUMIFS(Sales[Quantity],Sales[ProductID],A801))</f>
        <v/>
      </c>
      <c r="K801">
        <f>IF(A801="","",N(G801)+N(I801)-N(J801))</f>
        <v/>
      </c>
      <c r="L801" s="10">
        <f>IF(K801="","",K801*N(F801))</f>
        <v/>
      </c>
      <c r="M801">
        <f>IF(K801="","",IF(K801&lt;=N(H801),"LOW","OK"))</f>
        <v/>
      </c>
    </row>
    <row r="802">
      <c r="E802" s="10" t="n"/>
      <c r="F802" s="10" t="n"/>
      <c r="I802">
        <f>IF(A802="","",SUMIFS(Purchases[Quantity],Purchases[ProductID],A802))</f>
        <v/>
      </c>
      <c r="J802">
        <f>IF(A802="","",SUMIFS(Sales[Quantity],Sales[ProductID],A802))</f>
        <v/>
      </c>
      <c r="K802">
        <f>IF(A802="","",N(G802)+N(I802)-N(J802))</f>
        <v/>
      </c>
      <c r="L802" s="10">
        <f>IF(K802="","",K802*N(F802))</f>
        <v/>
      </c>
      <c r="M802">
        <f>IF(K802="","",IF(K802&lt;=N(H802),"LOW","OK"))</f>
        <v/>
      </c>
    </row>
    <row r="803">
      <c r="E803" s="10" t="n"/>
      <c r="F803" s="10" t="n"/>
      <c r="I803">
        <f>IF(A803="","",SUMIFS(Purchases[Quantity],Purchases[ProductID],A803))</f>
        <v/>
      </c>
      <c r="J803">
        <f>IF(A803="","",SUMIFS(Sales[Quantity],Sales[ProductID],A803))</f>
        <v/>
      </c>
      <c r="K803">
        <f>IF(A803="","",N(G803)+N(I803)-N(J803))</f>
        <v/>
      </c>
      <c r="L803" s="10">
        <f>IF(K803="","",K803*N(F803))</f>
        <v/>
      </c>
      <c r="M803">
        <f>IF(K803="","",IF(K803&lt;=N(H803),"LOW","OK"))</f>
        <v/>
      </c>
    </row>
    <row r="804">
      <c r="E804" s="10" t="n"/>
      <c r="F804" s="10" t="n"/>
      <c r="I804">
        <f>IF(A804="","",SUMIFS(Purchases[Quantity],Purchases[ProductID],A804))</f>
        <v/>
      </c>
      <c r="J804">
        <f>IF(A804="","",SUMIFS(Sales[Quantity],Sales[ProductID],A804))</f>
        <v/>
      </c>
      <c r="K804">
        <f>IF(A804="","",N(G804)+N(I804)-N(J804))</f>
        <v/>
      </c>
      <c r="L804" s="10">
        <f>IF(K804="","",K804*N(F804))</f>
        <v/>
      </c>
      <c r="M804">
        <f>IF(K804="","",IF(K804&lt;=N(H804),"LOW","OK"))</f>
        <v/>
      </c>
    </row>
    <row r="805">
      <c r="E805" s="10" t="n"/>
      <c r="F805" s="10" t="n"/>
      <c r="I805">
        <f>IF(A805="","",SUMIFS(Purchases[Quantity],Purchases[ProductID],A805))</f>
        <v/>
      </c>
      <c r="J805">
        <f>IF(A805="","",SUMIFS(Sales[Quantity],Sales[ProductID],A805))</f>
        <v/>
      </c>
      <c r="K805">
        <f>IF(A805="","",N(G805)+N(I805)-N(J805))</f>
        <v/>
      </c>
      <c r="L805" s="10">
        <f>IF(K805="","",K805*N(F805))</f>
        <v/>
      </c>
      <c r="M805">
        <f>IF(K805="","",IF(K805&lt;=N(H805),"LOW","OK"))</f>
        <v/>
      </c>
    </row>
    <row r="806">
      <c r="E806" s="10" t="n"/>
      <c r="F806" s="10" t="n"/>
      <c r="I806">
        <f>IF(A806="","",SUMIFS(Purchases[Quantity],Purchases[ProductID],A806))</f>
        <v/>
      </c>
      <c r="J806">
        <f>IF(A806="","",SUMIFS(Sales[Quantity],Sales[ProductID],A806))</f>
        <v/>
      </c>
      <c r="K806">
        <f>IF(A806="","",N(G806)+N(I806)-N(J806))</f>
        <v/>
      </c>
      <c r="L806" s="10">
        <f>IF(K806="","",K806*N(F806))</f>
        <v/>
      </c>
      <c r="M806">
        <f>IF(K806="","",IF(K806&lt;=N(H806),"LOW","OK"))</f>
        <v/>
      </c>
    </row>
    <row r="807">
      <c r="E807" s="10" t="n"/>
      <c r="F807" s="10" t="n"/>
      <c r="I807">
        <f>IF(A807="","",SUMIFS(Purchases[Quantity],Purchases[ProductID],A807))</f>
        <v/>
      </c>
      <c r="J807">
        <f>IF(A807="","",SUMIFS(Sales[Quantity],Sales[ProductID],A807))</f>
        <v/>
      </c>
      <c r="K807">
        <f>IF(A807="","",N(G807)+N(I807)-N(J807))</f>
        <v/>
      </c>
      <c r="L807" s="10">
        <f>IF(K807="","",K807*N(F807))</f>
        <v/>
      </c>
      <c r="M807">
        <f>IF(K807="","",IF(K807&lt;=N(H807),"LOW","OK"))</f>
        <v/>
      </c>
    </row>
    <row r="808">
      <c r="E808" s="10" t="n"/>
      <c r="F808" s="10" t="n"/>
      <c r="I808">
        <f>IF(A808="","",SUMIFS(Purchases[Quantity],Purchases[ProductID],A808))</f>
        <v/>
      </c>
      <c r="J808">
        <f>IF(A808="","",SUMIFS(Sales[Quantity],Sales[ProductID],A808))</f>
        <v/>
      </c>
      <c r="K808">
        <f>IF(A808="","",N(G808)+N(I808)-N(J808))</f>
        <v/>
      </c>
      <c r="L808" s="10">
        <f>IF(K808="","",K808*N(F808))</f>
        <v/>
      </c>
      <c r="M808">
        <f>IF(K808="","",IF(K808&lt;=N(H808),"LOW","OK"))</f>
        <v/>
      </c>
    </row>
    <row r="809">
      <c r="E809" s="10" t="n"/>
      <c r="F809" s="10" t="n"/>
      <c r="I809">
        <f>IF(A809="","",SUMIFS(Purchases[Quantity],Purchases[ProductID],A809))</f>
        <v/>
      </c>
      <c r="J809">
        <f>IF(A809="","",SUMIFS(Sales[Quantity],Sales[ProductID],A809))</f>
        <v/>
      </c>
      <c r="K809">
        <f>IF(A809="","",N(G809)+N(I809)-N(J809))</f>
        <v/>
      </c>
      <c r="L809" s="10">
        <f>IF(K809="","",K809*N(F809))</f>
        <v/>
      </c>
      <c r="M809">
        <f>IF(K809="","",IF(K809&lt;=N(H809),"LOW","OK"))</f>
        <v/>
      </c>
    </row>
    <row r="810">
      <c r="E810" s="10" t="n"/>
      <c r="F810" s="10" t="n"/>
      <c r="I810">
        <f>IF(A810="","",SUMIFS(Purchases[Quantity],Purchases[ProductID],A810))</f>
        <v/>
      </c>
      <c r="J810">
        <f>IF(A810="","",SUMIFS(Sales[Quantity],Sales[ProductID],A810))</f>
        <v/>
      </c>
      <c r="K810">
        <f>IF(A810="","",N(G810)+N(I810)-N(J810))</f>
        <v/>
      </c>
      <c r="L810" s="10">
        <f>IF(K810="","",K810*N(F810))</f>
        <v/>
      </c>
      <c r="M810">
        <f>IF(K810="","",IF(K810&lt;=N(H810),"LOW","OK"))</f>
        <v/>
      </c>
    </row>
    <row r="811">
      <c r="E811" s="10" t="n"/>
      <c r="F811" s="10" t="n"/>
      <c r="I811">
        <f>IF(A811="","",SUMIFS(Purchases[Quantity],Purchases[ProductID],A811))</f>
        <v/>
      </c>
      <c r="J811">
        <f>IF(A811="","",SUMIFS(Sales[Quantity],Sales[ProductID],A811))</f>
        <v/>
      </c>
      <c r="K811">
        <f>IF(A811="","",N(G811)+N(I811)-N(J811))</f>
        <v/>
      </c>
      <c r="L811" s="10">
        <f>IF(K811="","",K811*N(F811))</f>
        <v/>
      </c>
      <c r="M811">
        <f>IF(K811="","",IF(K811&lt;=N(H811),"LOW","OK"))</f>
        <v/>
      </c>
    </row>
    <row r="812">
      <c r="E812" s="10" t="n"/>
      <c r="F812" s="10" t="n"/>
      <c r="I812">
        <f>IF(A812="","",SUMIFS(Purchases[Quantity],Purchases[ProductID],A812))</f>
        <v/>
      </c>
      <c r="J812">
        <f>IF(A812="","",SUMIFS(Sales[Quantity],Sales[ProductID],A812))</f>
        <v/>
      </c>
      <c r="K812">
        <f>IF(A812="","",N(G812)+N(I812)-N(J812))</f>
        <v/>
      </c>
      <c r="L812" s="10">
        <f>IF(K812="","",K812*N(F812))</f>
        <v/>
      </c>
      <c r="M812">
        <f>IF(K812="","",IF(K812&lt;=N(H812),"LOW","OK"))</f>
        <v/>
      </c>
    </row>
    <row r="813">
      <c r="E813" s="10" t="n"/>
      <c r="F813" s="10" t="n"/>
      <c r="I813">
        <f>IF(A813="","",SUMIFS(Purchases[Quantity],Purchases[ProductID],A813))</f>
        <v/>
      </c>
      <c r="J813">
        <f>IF(A813="","",SUMIFS(Sales[Quantity],Sales[ProductID],A813))</f>
        <v/>
      </c>
      <c r="K813">
        <f>IF(A813="","",N(G813)+N(I813)-N(J813))</f>
        <v/>
      </c>
      <c r="L813" s="10">
        <f>IF(K813="","",K813*N(F813))</f>
        <v/>
      </c>
      <c r="M813">
        <f>IF(K813="","",IF(K813&lt;=N(H813),"LOW","OK"))</f>
        <v/>
      </c>
    </row>
    <row r="814">
      <c r="E814" s="10" t="n"/>
      <c r="F814" s="10" t="n"/>
      <c r="I814">
        <f>IF(A814="","",SUMIFS(Purchases[Quantity],Purchases[ProductID],A814))</f>
        <v/>
      </c>
      <c r="J814">
        <f>IF(A814="","",SUMIFS(Sales[Quantity],Sales[ProductID],A814))</f>
        <v/>
      </c>
      <c r="K814">
        <f>IF(A814="","",N(G814)+N(I814)-N(J814))</f>
        <v/>
      </c>
      <c r="L814" s="10">
        <f>IF(K814="","",K814*N(F814))</f>
        <v/>
      </c>
      <c r="M814">
        <f>IF(K814="","",IF(K814&lt;=N(H814),"LOW","OK"))</f>
        <v/>
      </c>
    </row>
    <row r="815">
      <c r="E815" s="10" t="n"/>
      <c r="F815" s="10" t="n"/>
      <c r="I815">
        <f>IF(A815="","",SUMIFS(Purchases[Quantity],Purchases[ProductID],A815))</f>
        <v/>
      </c>
      <c r="J815">
        <f>IF(A815="","",SUMIFS(Sales[Quantity],Sales[ProductID],A815))</f>
        <v/>
      </c>
      <c r="K815">
        <f>IF(A815="","",N(G815)+N(I815)-N(J815))</f>
        <v/>
      </c>
      <c r="L815" s="10">
        <f>IF(K815="","",K815*N(F815))</f>
        <v/>
      </c>
      <c r="M815">
        <f>IF(K815="","",IF(K815&lt;=N(H815),"LOW","OK"))</f>
        <v/>
      </c>
    </row>
    <row r="816">
      <c r="E816" s="10" t="n"/>
      <c r="F816" s="10" t="n"/>
      <c r="I816">
        <f>IF(A816="","",SUMIFS(Purchases[Quantity],Purchases[ProductID],A816))</f>
        <v/>
      </c>
      <c r="J816">
        <f>IF(A816="","",SUMIFS(Sales[Quantity],Sales[ProductID],A816))</f>
        <v/>
      </c>
      <c r="K816">
        <f>IF(A816="","",N(G816)+N(I816)-N(J816))</f>
        <v/>
      </c>
      <c r="L816" s="10">
        <f>IF(K816="","",K816*N(F816))</f>
        <v/>
      </c>
      <c r="M816">
        <f>IF(K816="","",IF(K816&lt;=N(H816),"LOW","OK"))</f>
        <v/>
      </c>
    </row>
    <row r="817">
      <c r="E817" s="10" t="n"/>
      <c r="F817" s="10" t="n"/>
      <c r="I817">
        <f>IF(A817="","",SUMIFS(Purchases[Quantity],Purchases[ProductID],A817))</f>
        <v/>
      </c>
      <c r="J817">
        <f>IF(A817="","",SUMIFS(Sales[Quantity],Sales[ProductID],A817))</f>
        <v/>
      </c>
      <c r="K817">
        <f>IF(A817="","",N(G817)+N(I817)-N(J817))</f>
        <v/>
      </c>
      <c r="L817" s="10">
        <f>IF(K817="","",K817*N(F817))</f>
        <v/>
      </c>
      <c r="M817">
        <f>IF(K817="","",IF(K817&lt;=N(H817),"LOW","OK"))</f>
        <v/>
      </c>
    </row>
    <row r="818">
      <c r="E818" s="10" t="n"/>
      <c r="F818" s="10" t="n"/>
      <c r="I818">
        <f>IF(A818="","",SUMIFS(Purchases[Quantity],Purchases[ProductID],A818))</f>
        <v/>
      </c>
      <c r="J818">
        <f>IF(A818="","",SUMIFS(Sales[Quantity],Sales[ProductID],A818))</f>
        <v/>
      </c>
      <c r="K818">
        <f>IF(A818="","",N(G818)+N(I818)-N(J818))</f>
        <v/>
      </c>
      <c r="L818" s="10">
        <f>IF(K818="","",K818*N(F818))</f>
        <v/>
      </c>
      <c r="M818">
        <f>IF(K818="","",IF(K818&lt;=N(H818),"LOW","OK"))</f>
        <v/>
      </c>
    </row>
    <row r="819">
      <c r="E819" s="10" t="n"/>
      <c r="F819" s="10" t="n"/>
      <c r="I819">
        <f>IF(A819="","",SUMIFS(Purchases[Quantity],Purchases[ProductID],A819))</f>
        <v/>
      </c>
      <c r="J819">
        <f>IF(A819="","",SUMIFS(Sales[Quantity],Sales[ProductID],A819))</f>
        <v/>
      </c>
      <c r="K819">
        <f>IF(A819="","",N(G819)+N(I819)-N(J819))</f>
        <v/>
      </c>
      <c r="L819" s="10">
        <f>IF(K819="","",K819*N(F819))</f>
        <v/>
      </c>
      <c r="M819">
        <f>IF(K819="","",IF(K819&lt;=N(H819),"LOW","OK"))</f>
        <v/>
      </c>
    </row>
    <row r="820">
      <c r="E820" s="10" t="n"/>
      <c r="F820" s="10" t="n"/>
      <c r="I820">
        <f>IF(A820="","",SUMIFS(Purchases[Quantity],Purchases[ProductID],A820))</f>
        <v/>
      </c>
      <c r="J820">
        <f>IF(A820="","",SUMIFS(Sales[Quantity],Sales[ProductID],A820))</f>
        <v/>
      </c>
      <c r="K820">
        <f>IF(A820="","",N(G820)+N(I820)-N(J820))</f>
        <v/>
      </c>
      <c r="L820" s="10">
        <f>IF(K820="","",K820*N(F820))</f>
        <v/>
      </c>
      <c r="M820">
        <f>IF(K820="","",IF(K820&lt;=N(H820),"LOW","OK"))</f>
        <v/>
      </c>
    </row>
    <row r="821">
      <c r="E821" s="10" t="n"/>
      <c r="F821" s="10" t="n"/>
      <c r="I821">
        <f>IF(A821="","",SUMIFS(Purchases[Quantity],Purchases[ProductID],A821))</f>
        <v/>
      </c>
      <c r="J821">
        <f>IF(A821="","",SUMIFS(Sales[Quantity],Sales[ProductID],A821))</f>
        <v/>
      </c>
      <c r="K821">
        <f>IF(A821="","",N(G821)+N(I821)-N(J821))</f>
        <v/>
      </c>
      <c r="L821" s="10">
        <f>IF(K821="","",K821*N(F821))</f>
        <v/>
      </c>
      <c r="M821">
        <f>IF(K821="","",IF(K821&lt;=N(H821),"LOW","OK"))</f>
        <v/>
      </c>
    </row>
    <row r="822">
      <c r="E822" s="10" t="n"/>
      <c r="F822" s="10" t="n"/>
      <c r="I822">
        <f>IF(A822="","",SUMIFS(Purchases[Quantity],Purchases[ProductID],A822))</f>
        <v/>
      </c>
      <c r="J822">
        <f>IF(A822="","",SUMIFS(Sales[Quantity],Sales[ProductID],A822))</f>
        <v/>
      </c>
      <c r="K822">
        <f>IF(A822="","",N(G822)+N(I822)-N(J822))</f>
        <v/>
      </c>
      <c r="L822" s="10">
        <f>IF(K822="","",K822*N(F822))</f>
        <v/>
      </c>
      <c r="M822">
        <f>IF(K822="","",IF(K822&lt;=N(H822),"LOW","OK"))</f>
        <v/>
      </c>
    </row>
    <row r="823">
      <c r="E823" s="10" t="n"/>
      <c r="F823" s="10" t="n"/>
      <c r="I823">
        <f>IF(A823="","",SUMIFS(Purchases[Quantity],Purchases[ProductID],A823))</f>
        <v/>
      </c>
      <c r="J823">
        <f>IF(A823="","",SUMIFS(Sales[Quantity],Sales[ProductID],A823))</f>
        <v/>
      </c>
      <c r="K823">
        <f>IF(A823="","",N(G823)+N(I823)-N(J823))</f>
        <v/>
      </c>
      <c r="L823" s="10">
        <f>IF(K823="","",K823*N(F823))</f>
        <v/>
      </c>
      <c r="M823">
        <f>IF(K823="","",IF(K823&lt;=N(H823),"LOW","OK"))</f>
        <v/>
      </c>
    </row>
    <row r="824">
      <c r="E824" s="10" t="n"/>
      <c r="F824" s="10" t="n"/>
      <c r="I824">
        <f>IF(A824="","",SUMIFS(Purchases[Quantity],Purchases[ProductID],A824))</f>
        <v/>
      </c>
      <c r="J824">
        <f>IF(A824="","",SUMIFS(Sales[Quantity],Sales[ProductID],A824))</f>
        <v/>
      </c>
      <c r="K824">
        <f>IF(A824="","",N(G824)+N(I824)-N(J824))</f>
        <v/>
      </c>
      <c r="L824" s="10">
        <f>IF(K824="","",K824*N(F824))</f>
        <v/>
      </c>
      <c r="M824">
        <f>IF(K824="","",IF(K824&lt;=N(H824),"LOW","OK"))</f>
        <v/>
      </c>
    </row>
    <row r="825">
      <c r="E825" s="10" t="n"/>
      <c r="F825" s="10" t="n"/>
      <c r="I825">
        <f>IF(A825="","",SUMIFS(Purchases[Quantity],Purchases[ProductID],A825))</f>
        <v/>
      </c>
      <c r="J825">
        <f>IF(A825="","",SUMIFS(Sales[Quantity],Sales[ProductID],A825))</f>
        <v/>
      </c>
      <c r="K825">
        <f>IF(A825="","",N(G825)+N(I825)-N(J825))</f>
        <v/>
      </c>
      <c r="L825" s="10">
        <f>IF(K825="","",K825*N(F825))</f>
        <v/>
      </c>
      <c r="M825">
        <f>IF(K825="","",IF(K825&lt;=N(H825),"LOW","OK"))</f>
        <v/>
      </c>
    </row>
    <row r="826">
      <c r="E826" s="10" t="n"/>
      <c r="F826" s="10" t="n"/>
      <c r="I826">
        <f>IF(A826="","",SUMIFS(Purchases[Quantity],Purchases[ProductID],A826))</f>
        <v/>
      </c>
      <c r="J826">
        <f>IF(A826="","",SUMIFS(Sales[Quantity],Sales[ProductID],A826))</f>
        <v/>
      </c>
      <c r="K826">
        <f>IF(A826="","",N(G826)+N(I826)-N(J826))</f>
        <v/>
      </c>
      <c r="L826" s="10">
        <f>IF(K826="","",K826*N(F826))</f>
        <v/>
      </c>
      <c r="M826">
        <f>IF(K826="","",IF(K826&lt;=N(H826),"LOW","OK"))</f>
        <v/>
      </c>
    </row>
    <row r="827">
      <c r="E827" s="10" t="n"/>
      <c r="F827" s="10" t="n"/>
      <c r="I827">
        <f>IF(A827="","",SUMIFS(Purchases[Quantity],Purchases[ProductID],A827))</f>
        <v/>
      </c>
      <c r="J827">
        <f>IF(A827="","",SUMIFS(Sales[Quantity],Sales[ProductID],A827))</f>
        <v/>
      </c>
      <c r="K827">
        <f>IF(A827="","",N(G827)+N(I827)-N(J827))</f>
        <v/>
      </c>
      <c r="L827" s="10">
        <f>IF(K827="","",K827*N(F827))</f>
        <v/>
      </c>
      <c r="M827">
        <f>IF(K827="","",IF(K827&lt;=N(H827),"LOW","OK"))</f>
        <v/>
      </c>
    </row>
    <row r="828">
      <c r="E828" s="10" t="n"/>
      <c r="F828" s="10" t="n"/>
      <c r="I828">
        <f>IF(A828="","",SUMIFS(Purchases[Quantity],Purchases[ProductID],A828))</f>
        <v/>
      </c>
      <c r="J828">
        <f>IF(A828="","",SUMIFS(Sales[Quantity],Sales[ProductID],A828))</f>
        <v/>
      </c>
      <c r="K828">
        <f>IF(A828="","",N(G828)+N(I828)-N(J828))</f>
        <v/>
      </c>
      <c r="L828" s="10">
        <f>IF(K828="","",K828*N(F828))</f>
        <v/>
      </c>
      <c r="M828">
        <f>IF(K828="","",IF(K828&lt;=N(H828),"LOW","OK"))</f>
        <v/>
      </c>
    </row>
    <row r="829">
      <c r="E829" s="10" t="n"/>
      <c r="F829" s="10" t="n"/>
      <c r="I829">
        <f>IF(A829="","",SUMIFS(Purchases[Quantity],Purchases[ProductID],A829))</f>
        <v/>
      </c>
      <c r="J829">
        <f>IF(A829="","",SUMIFS(Sales[Quantity],Sales[ProductID],A829))</f>
        <v/>
      </c>
      <c r="K829">
        <f>IF(A829="","",N(G829)+N(I829)-N(J829))</f>
        <v/>
      </c>
      <c r="L829" s="10">
        <f>IF(K829="","",K829*N(F829))</f>
        <v/>
      </c>
      <c r="M829">
        <f>IF(K829="","",IF(K829&lt;=N(H829),"LOW","OK"))</f>
        <v/>
      </c>
    </row>
    <row r="830">
      <c r="E830" s="10" t="n"/>
      <c r="F830" s="10" t="n"/>
      <c r="I830">
        <f>IF(A830="","",SUMIFS(Purchases[Quantity],Purchases[ProductID],A830))</f>
        <v/>
      </c>
      <c r="J830">
        <f>IF(A830="","",SUMIFS(Sales[Quantity],Sales[ProductID],A830))</f>
        <v/>
      </c>
      <c r="K830">
        <f>IF(A830="","",N(G830)+N(I830)-N(J830))</f>
        <v/>
      </c>
      <c r="L830" s="10">
        <f>IF(K830="","",K830*N(F830))</f>
        <v/>
      </c>
      <c r="M830">
        <f>IF(K830="","",IF(K830&lt;=N(H830),"LOW","OK"))</f>
        <v/>
      </c>
    </row>
    <row r="831">
      <c r="E831" s="10" t="n"/>
      <c r="F831" s="10" t="n"/>
      <c r="I831">
        <f>IF(A831="","",SUMIFS(Purchases[Quantity],Purchases[ProductID],A831))</f>
        <v/>
      </c>
      <c r="J831">
        <f>IF(A831="","",SUMIFS(Sales[Quantity],Sales[ProductID],A831))</f>
        <v/>
      </c>
      <c r="K831">
        <f>IF(A831="","",N(G831)+N(I831)-N(J831))</f>
        <v/>
      </c>
      <c r="L831" s="10">
        <f>IF(K831="","",K831*N(F831))</f>
        <v/>
      </c>
      <c r="M831">
        <f>IF(K831="","",IF(K831&lt;=N(H831),"LOW","OK"))</f>
        <v/>
      </c>
    </row>
    <row r="832">
      <c r="E832" s="10" t="n"/>
      <c r="F832" s="10" t="n"/>
      <c r="I832">
        <f>IF(A832="","",SUMIFS(Purchases[Quantity],Purchases[ProductID],A832))</f>
        <v/>
      </c>
      <c r="J832">
        <f>IF(A832="","",SUMIFS(Sales[Quantity],Sales[ProductID],A832))</f>
        <v/>
      </c>
      <c r="K832">
        <f>IF(A832="","",N(G832)+N(I832)-N(J832))</f>
        <v/>
      </c>
      <c r="L832" s="10">
        <f>IF(K832="","",K832*N(F832))</f>
        <v/>
      </c>
      <c r="M832">
        <f>IF(K832="","",IF(K832&lt;=N(H832),"LOW","OK"))</f>
        <v/>
      </c>
    </row>
    <row r="833">
      <c r="E833" s="10" t="n"/>
      <c r="F833" s="10" t="n"/>
      <c r="I833">
        <f>IF(A833="","",SUMIFS(Purchases[Quantity],Purchases[ProductID],A833))</f>
        <v/>
      </c>
      <c r="J833">
        <f>IF(A833="","",SUMIFS(Sales[Quantity],Sales[ProductID],A833))</f>
        <v/>
      </c>
      <c r="K833">
        <f>IF(A833="","",N(G833)+N(I833)-N(J833))</f>
        <v/>
      </c>
      <c r="L833" s="10">
        <f>IF(K833="","",K833*N(F833))</f>
        <v/>
      </c>
      <c r="M833">
        <f>IF(K833="","",IF(K833&lt;=N(H833),"LOW","OK"))</f>
        <v/>
      </c>
    </row>
    <row r="834">
      <c r="E834" s="10" t="n"/>
      <c r="F834" s="10" t="n"/>
      <c r="I834">
        <f>IF(A834="","",SUMIFS(Purchases[Quantity],Purchases[ProductID],A834))</f>
        <v/>
      </c>
      <c r="J834">
        <f>IF(A834="","",SUMIFS(Sales[Quantity],Sales[ProductID],A834))</f>
        <v/>
      </c>
      <c r="K834">
        <f>IF(A834="","",N(G834)+N(I834)-N(J834))</f>
        <v/>
      </c>
      <c r="L834" s="10">
        <f>IF(K834="","",K834*N(F834))</f>
        <v/>
      </c>
      <c r="M834">
        <f>IF(K834="","",IF(K834&lt;=N(H834),"LOW","OK"))</f>
        <v/>
      </c>
    </row>
    <row r="835">
      <c r="E835" s="10" t="n"/>
      <c r="F835" s="10" t="n"/>
      <c r="I835">
        <f>IF(A835="","",SUMIFS(Purchases[Quantity],Purchases[ProductID],A835))</f>
        <v/>
      </c>
      <c r="J835">
        <f>IF(A835="","",SUMIFS(Sales[Quantity],Sales[ProductID],A835))</f>
        <v/>
      </c>
      <c r="K835">
        <f>IF(A835="","",N(G835)+N(I835)-N(J835))</f>
        <v/>
      </c>
      <c r="L835" s="10">
        <f>IF(K835="","",K835*N(F835))</f>
        <v/>
      </c>
      <c r="M835">
        <f>IF(K835="","",IF(K835&lt;=N(H835),"LOW","OK"))</f>
        <v/>
      </c>
    </row>
    <row r="836">
      <c r="E836" s="10" t="n"/>
      <c r="F836" s="10" t="n"/>
      <c r="I836">
        <f>IF(A836="","",SUMIFS(Purchases[Quantity],Purchases[ProductID],A836))</f>
        <v/>
      </c>
      <c r="J836">
        <f>IF(A836="","",SUMIFS(Sales[Quantity],Sales[ProductID],A836))</f>
        <v/>
      </c>
      <c r="K836">
        <f>IF(A836="","",N(G836)+N(I836)-N(J836))</f>
        <v/>
      </c>
      <c r="L836" s="10">
        <f>IF(K836="","",K836*N(F836))</f>
        <v/>
      </c>
      <c r="M836">
        <f>IF(K836="","",IF(K836&lt;=N(H836),"LOW","OK"))</f>
        <v/>
      </c>
    </row>
    <row r="837">
      <c r="E837" s="10" t="n"/>
      <c r="F837" s="10" t="n"/>
      <c r="I837">
        <f>IF(A837="","",SUMIFS(Purchases[Quantity],Purchases[ProductID],A837))</f>
        <v/>
      </c>
      <c r="J837">
        <f>IF(A837="","",SUMIFS(Sales[Quantity],Sales[ProductID],A837))</f>
        <v/>
      </c>
      <c r="K837">
        <f>IF(A837="","",N(G837)+N(I837)-N(J837))</f>
        <v/>
      </c>
      <c r="L837" s="10">
        <f>IF(K837="","",K837*N(F837))</f>
        <v/>
      </c>
      <c r="M837">
        <f>IF(K837="","",IF(K837&lt;=N(H837),"LOW","OK"))</f>
        <v/>
      </c>
    </row>
    <row r="838">
      <c r="E838" s="10" t="n"/>
      <c r="F838" s="10" t="n"/>
      <c r="I838">
        <f>IF(A838="","",SUMIFS(Purchases[Quantity],Purchases[ProductID],A838))</f>
        <v/>
      </c>
      <c r="J838">
        <f>IF(A838="","",SUMIFS(Sales[Quantity],Sales[ProductID],A838))</f>
        <v/>
      </c>
      <c r="K838">
        <f>IF(A838="","",N(G838)+N(I838)-N(J838))</f>
        <v/>
      </c>
      <c r="L838" s="10">
        <f>IF(K838="","",K838*N(F838))</f>
        <v/>
      </c>
      <c r="M838">
        <f>IF(K838="","",IF(K838&lt;=N(H838),"LOW","OK"))</f>
        <v/>
      </c>
    </row>
    <row r="839">
      <c r="E839" s="10" t="n"/>
      <c r="F839" s="10" t="n"/>
      <c r="I839">
        <f>IF(A839="","",SUMIFS(Purchases[Quantity],Purchases[ProductID],A839))</f>
        <v/>
      </c>
      <c r="J839">
        <f>IF(A839="","",SUMIFS(Sales[Quantity],Sales[ProductID],A839))</f>
        <v/>
      </c>
      <c r="K839">
        <f>IF(A839="","",N(G839)+N(I839)-N(J839))</f>
        <v/>
      </c>
      <c r="L839" s="10">
        <f>IF(K839="","",K839*N(F839))</f>
        <v/>
      </c>
      <c r="M839">
        <f>IF(K839="","",IF(K839&lt;=N(H839),"LOW","OK"))</f>
        <v/>
      </c>
    </row>
    <row r="840">
      <c r="E840" s="10" t="n"/>
      <c r="F840" s="10" t="n"/>
      <c r="I840">
        <f>IF(A840="","",SUMIFS(Purchases[Quantity],Purchases[ProductID],A840))</f>
        <v/>
      </c>
      <c r="J840">
        <f>IF(A840="","",SUMIFS(Sales[Quantity],Sales[ProductID],A840))</f>
        <v/>
      </c>
      <c r="K840">
        <f>IF(A840="","",N(G840)+N(I840)-N(J840))</f>
        <v/>
      </c>
      <c r="L840" s="10">
        <f>IF(K840="","",K840*N(F840))</f>
        <v/>
      </c>
      <c r="M840">
        <f>IF(K840="","",IF(K840&lt;=N(H840),"LOW","OK"))</f>
        <v/>
      </c>
    </row>
    <row r="841">
      <c r="E841" s="10" t="n"/>
      <c r="F841" s="10" t="n"/>
      <c r="I841">
        <f>IF(A841="","",SUMIFS(Purchases[Quantity],Purchases[ProductID],A841))</f>
        <v/>
      </c>
      <c r="J841">
        <f>IF(A841="","",SUMIFS(Sales[Quantity],Sales[ProductID],A841))</f>
        <v/>
      </c>
      <c r="K841">
        <f>IF(A841="","",N(G841)+N(I841)-N(J841))</f>
        <v/>
      </c>
      <c r="L841" s="10">
        <f>IF(K841="","",K841*N(F841))</f>
        <v/>
      </c>
      <c r="M841">
        <f>IF(K841="","",IF(K841&lt;=N(H841),"LOW","OK"))</f>
        <v/>
      </c>
    </row>
    <row r="842">
      <c r="E842" s="10" t="n"/>
      <c r="F842" s="10" t="n"/>
      <c r="I842">
        <f>IF(A842="","",SUMIFS(Purchases[Quantity],Purchases[ProductID],A842))</f>
        <v/>
      </c>
      <c r="J842">
        <f>IF(A842="","",SUMIFS(Sales[Quantity],Sales[ProductID],A842))</f>
        <v/>
      </c>
      <c r="K842">
        <f>IF(A842="","",N(G842)+N(I842)-N(J842))</f>
        <v/>
      </c>
      <c r="L842" s="10">
        <f>IF(K842="","",K842*N(F842))</f>
        <v/>
      </c>
      <c r="M842">
        <f>IF(K842="","",IF(K842&lt;=N(H842),"LOW","OK"))</f>
        <v/>
      </c>
    </row>
    <row r="843">
      <c r="E843" s="10" t="n"/>
      <c r="F843" s="10" t="n"/>
      <c r="I843">
        <f>IF(A843="","",SUMIFS(Purchases[Quantity],Purchases[ProductID],A843))</f>
        <v/>
      </c>
      <c r="J843">
        <f>IF(A843="","",SUMIFS(Sales[Quantity],Sales[ProductID],A843))</f>
        <v/>
      </c>
      <c r="K843">
        <f>IF(A843="","",N(G843)+N(I843)-N(J843))</f>
        <v/>
      </c>
      <c r="L843" s="10">
        <f>IF(K843="","",K843*N(F843))</f>
        <v/>
      </c>
      <c r="M843">
        <f>IF(K843="","",IF(K843&lt;=N(H843),"LOW","OK"))</f>
        <v/>
      </c>
    </row>
    <row r="844">
      <c r="E844" s="10" t="n"/>
      <c r="F844" s="10" t="n"/>
      <c r="I844">
        <f>IF(A844="","",SUMIFS(Purchases[Quantity],Purchases[ProductID],A844))</f>
        <v/>
      </c>
      <c r="J844">
        <f>IF(A844="","",SUMIFS(Sales[Quantity],Sales[ProductID],A844))</f>
        <v/>
      </c>
      <c r="K844">
        <f>IF(A844="","",N(G844)+N(I844)-N(J844))</f>
        <v/>
      </c>
      <c r="L844" s="10">
        <f>IF(K844="","",K844*N(F844))</f>
        <v/>
      </c>
      <c r="M844">
        <f>IF(K844="","",IF(K844&lt;=N(H844),"LOW","OK"))</f>
        <v/>
      </c>
    </row>
    <row r="845">
      <c r="E845" s="10" t="n"/>
      <c r="F845" s="10" t="n"/>
      <c r="I845">
        <f>IF(A845="","",SUMIFS(Purchases[Quantity],Purchases[ProductID],A845))</f>
        <v/>
      </c>
      <c r="J845">
        <f>IF(A845="","",SUMIFS(Sales[Quantity],Sales[ProductID],A845))</f>
        <v/>
      </c>
      <c r="K845">
        <f>IF(A845="","",N(G845)+N(I845)-N(J845))</f>
        <v/>
      </c>
      <c r="L845" s="10">
        <f>IF(K845="","",K845*N(F845))</f>
        <v/>
      </c>
      <c r="M845">
        <f>IF(K845="","",IF(K845&lt;=N(H845),"LOW","OK"))</f>
        <v/>
      </c>
    </row>
    <row r="846">
      <c r="E846" s="10" t="n"/>
      <c r="F846" s="10" t="n"/>
      <c r="I846">
        <f>IF(A846="","",SUMIFS(Purchases[Quantity],Purchases[ProductID],A846))</f>
        <v/>
      </c>
      <c r="J846">
        <f>IF(A846="","",SUMIFS(Sales[Quantity],Sales[ProductID],A846))</f>
        <v/>
      </c>
      <c r="K846">
        <f>IF(A846="","",N(G846)+N(I846)-N(J846))</f>
        <v/>
      </c>
      <c r="L846" s="10">
        <f>IF(K846="","",K846*N(F846))</f>
        <v/>
      </c>
      <c r="M846">
        <f>IF(K846="","",IF(K846&lt;=N(H846),"LOW","OK"))</f>
        <v/>
      </c>
    </row>
    <row r="847">
      <c r="E847" s="10" t="n"/>
      <c r="F847" s="10" t="n"/>
      <c r="I847">
        <f>IF(A847="","",SUMIFS(Purchases[Quantity],Purchases[ProductID],A847))</f>
        <v/>
      </c>
      <c r="J847">
        <f>IF(A847="","",SUMIFS(Sales[Quantity],Sales[ProductID],A847))</f>
        <v/>
      </c>
      <c r="K847">
        <f>IF(A847="","",N(G847)+N(I847)-N(J847))</f>
        <v/>
      </c>
      <c r="L847" s="10">
        <f>IF(K847="","",K847*N(F847))</f>
        <v/>
      </c>
      <c r="M847">
        <f>IF(K847="","",IF(K847&lt;=N(H847),"LOW","OK"))</f>
        <v/>
      </c>
    </row>
    <row r="848">
      <c r="E848" s="10" t="n"/>
      <c r="F848" s="10" t="n"/>
      <c r="I848">
        <f>IF(A848="","",SUMIFS(Purchases[Quantity],Purchases[ProductID],A848))</f>
        <v/>
      </c>
      <c r="J848">
        <f>IF(A848="","",SUMIFS(Sales[Quantity],Sales[ProductID],A848))</f>
        <v/>
      </c>
      <c r="K848">
        <f>IF(A848="","",N(G848)+N(I848)-N(J848))</f>
        <v/>
      </c>
      <c r="L848" s="10">
        <f>IF(K848="","",K848*N(F848))</f>
        <v/>
      </c>
      <c r="M848">
        <f>IF(K848="","",IF(K848&lt;=N(H848),"LOW","OK"))</f>
        <v/>
      </c>
    </row>
    <row r="849">
      <c r="E849" s="10" t="n"/>
      <c r="F849" s="10" t="n"/>
      <c r="I849">
        <f>IF(A849="","",SUMIFS(Purchases[Quantity],Purchases[ProductID],A849))</f>
        <v/>
      </c>
      <c r="J849">
        <f>IF(A849="","",SUMIFS(Sales[Quantity],Sales[ProductID],A849))</f>
        <v/>
      </c>
      <c r="K849">
        <f>IF(A849="","",N(G849)+N(I849)-N(J849))</f>
        <v/>
      </c>
      <c r="L849" s="10">
        <f>IF(K849="","",K849*N(F849))</f>
        <v/>
      </c>
      <c r="M849">
        <f>IF(K849="","",IF(K849&lt;=N(H849),"LOW","OK"))</f>
        <v/>
      </c>
    </row>
    <row r="850">
      <c r="E850" s="10" t="n"/>
      <c r="F850" s="10" t="n"/>
      <c r="I850">
        <f>IF(A850="","",SUMIFS(Purchases[Quantity],Purchases[ProductID],A850))</f>
        <v/>
      </c>
      <c r="J850">
        <f>IF(A850="","",SUMIFS(Sales[Quantity],Sales[ProductID],A850))</f>
        <v/>
      </c>
      <c r="K850">
        <f>IF(A850="","",N(G850)+N(I850)-N(J850))</f>
        <v/>
      </c>
      <c r="L850" s="10">
        <f>IF(K850="","",K850*N(F850))</f>
        <v/>
      </c>
      <c r="M850">
        <f>IF(K850="","",IF(K850&lt;=N(H850),"LOW","OK"))</f>
        <v/>
      </c>
    </row>
    <row r="851">
      <c r="E851" s="10" t="n"/>
      <c r="F851" s="10" t="n"/>
      <c r="I851">
        <f>IF(A851="","",SUMIFS(Purchases[Quantity],Purchases[ProductID],A851))</f>
        <v/>
      </c>
      <c r="J851">
        <f>IF(A851="","",SUMIFS(Sales[Quantity],Sales[ProductID],A851))</f>
        <v/>
      </c>
      <c r="K851">
        <f>IF(A851="","",N(G851)+N(I851)-N(J851))</f>
        <v/>
      </c>
      <c r="L851" s="10">
        <f>IF(K851="","",K851*N(F851))</f>
        <v/>
      </c>
      <c r="M851">
        <f>IF(K851="","",IF(K851&lt;=N(H851),"LOW","OK"))</f>
        <v/>
      </c>
    </row>
    <row r="852">
      <c r="E852" s="10" t="n"/>
      <c r="F852" s="10" t="n"/>
      <c r="I852">
        <f>IF(A852="","",SUMIFS(Purchases[Quantity],Purchases[ProductID],A852))</f>
        <v/>
      </c>
      <c r="J852">
        <f>IF(A852="","",SUMIFS(Sales[Quantity],Sales[ProductID],A852))</f>
        <v/>
      </c>
      <c r="K852">
        <f>IF(A852="","",N(G852)+N(I852)-N(J852))</f>
        <v/>
      </c>
      <c r="L852" s="10">
        <f>IF(K852="","",K852*N(F852))</f>
        <v/>
      </c>
      <c r="M852">
        <f>IF(K852="","",IF(K852&lt;=N(H852),"LOW","OK"))</f>
        <v/>
      </c>
    </row>
    <row r="853">
      <c r="E853" s="10" t="n"/>
      <c r="F853" s="10" t="n"/>
      <c r="I853">
        <f>IF(A853="","",SUMIFS(Purchases[Quantity],Purchases[ProductID],A853))</f>
        <v/>
      </c>
      <c r="J853">
        <f>IF(A853="","",SUMIFS(Sales[Quantity],Sales[ProductID],A853))</f>
        <v/>
      </c>
      <c r="K853">
        <f>IF(A853="","",N(G853)+N(I853)-N(J853))</f>
        <v/>
      </c>
      <c r="L853" s="10">
        <f>IF(K853="","",K853*N(F853))</f>
        <v/>
      </c>
      <c r="M853">
        <f>IF(K853="","",IF(K853&lt;=N(H853),"LOW","OK"))</f>
        <v/>
      </c>
    </row>
    <row r="854">
      <c r="E854" s="10" t="n"/>
      <c r="F854" s="10" t="n"/>
      <c r="I854">
        <f>IF(A854="","",SUMIFS(Purchases[Quantity],Purchases[ProductID],A854))</f>
        <v/>
      </c>
      <c r="J854">
        <f>IF(A854="","",SUMIFS(Sales[Quantity],Sales[ProductID],A854))</f>
        <v/>
      </c>
      <c r="K854">
        <f>IF(A854="","",N(G854)+N(I854)-N(J854))</f>
        <v/>
      </c>
      <c r="L854" s="10">
        <f>IF(K854="","",K854*N(F854))</f>
        <v/>
      </c>
      <c r="M854">
        <f>IF(K854="","",IF(K854&lt;=N(H854),"LOW","OK"))</f>
        <v/>
      </c>
    </row>
    <row r="855">
      <c r="E855" s="10" t="n"/>
      <c r="F855" s="10" t="n"/>
      <c r="I855">
        <f>IF(A855="","",SUMIFS(Purchases[Quantity],Purchases[ProductID],A855))</f>
        <v/>
      </c>
      <c r="J855">
        <f>IF(A855="","",SUMIFS(Sales[Quantity],Sales[ProductID],A855))</f>
        <v/>
      </c>
      <c r="K855">
        <f>IF(A855="","",N(G855)+N(I855)-N(J855))</f>
        <v/>
      </c>
      <c r="L855" s="10">
        <f>IF(K855="","",K855*N(F855))</f>
        <v/>
      </c>
      <c r="M855">
        <f>IF(K855="","",IF(K855&lt;=N(H855),"LOW","OK"))</f>
        <v/>
      </c>
    </row>
    <row r="856">
      <c r="E856" s="10" t="n"/>
      <c r="F856" s="10" t="n"/>
      <c r="I856">
        <f>IF(A856="","",SUMIFS(Purchases[Quantity],Purchases[ProductID],A856))</f>
        <v/>
      </c>
      <c r="J856">
        <f>IF(A856="","",SUMIFS(Sales[Quantity],Sales[ProductID],A856))</f>
        <v/>
      </c>
      <c r="K856">
        <f>IF(A856="","",N(G856)+N(I856)-N(J856))</f>
        <v/>
      </c>
      <c r="L856" s="10">
        <f>IF(K856="","",K856*N(F856))</f>
        <v/>
      </c>
      <c r="M856">
        <f>IF(K856="","",IF(K856&lt;=N(H856),"LOW","OK"))</f>
        <v/>
      </c>
    </row>
    <row r="857">
      <c r="E857" s="10" t="n"/>
      <c r="F857" s="10" t="n"/>
      <c r="I857">
        <f>IF(A857="","",SUMIFS(Purchases[Quantity],Purchases[ProductID],A857))</f>
        <v/>
      </c>
      <c r="J857">
        <f>IF(A857="","",SUMIFS(Sales[Quantity],Sales[ProductID],A857))</f>
        <v/>
      </c>
      <c r="K857">
        <f>IF(A857="","",N(G857)+N(I857)-N(J857))</f>
        <v/>
      </c>
      <c r="L857" s="10">
        <f>IF(K857="","",K857*N(F857))</f>
        <v/>
      </c>
      <c r="M857">
        <f>IF(K857="","",IF(K857&lt;=N(H857),"LOW","OK"))</f>
        <v/>
      </c>
    </row>
    <row r="858">
      <c r="E858" s="10" t="n"/>
      <c r="F858" s="10" t="n"/>
      <c r="I858">
        <f>IF(A858="","",SUMIFS(Purchases[Quantity],Purchases[ProductID],A858))</f>
        <v/>
      </c>
      <c r="J858">
        <f>IF(A858="","",SUMIFS(Sales[Quantity],Sales[ProductID],A858))</f>
        <v/>
      </c>
      <c r="K858">
        <f>IF(A858="","",N(G858)+N(I858)-N(J858))</f>
        <v/>
      </c>
      <c r="L858" s="10">
        <f>IF(K858="","",K858*N(F858))</f>
        <v/>
      </c>
      <c r="M858">
        <f>IF(K858="","",IF(K858&lt;=N(H858),"LOW","OK"))</f>
        <v/>
      </c>
    </row>
    <row r="859">
      <c r="E859" s="10" t="n"/>
      <c r="F859" s="10" t="n"/>
      <c r="I859">
        <f>IF(A859="","",SUMIFS(Purchases[Quantity],Purchases[ProductID],A859))</f>
        <v/>
      </c>
      <c r="J859">
        <f>IF(A859="","",SUMIFS(Sales[Quantity],Sales[ProductID],A859))</f>
        <v/>
      </c>
      <c r="K859">
        <f>IF(A859="","",N(G859)+N(I859)-N(J859))</f>
        <v/>
      </c>
      <c r="L859" s="10">
        <f>IF(K859="","",K859*N(F859))</f>
        <v/>
      </c>
      <c r="M859">
        <f>IF(K859="","",IF(K859&lt;=N(H859),"LOW","OK"))</f>
        <v/>
      </c>
    </row>
    <row r="860">
      <c r="E860" s="10" t="n"/>
      <c r="F860" s="10" t="n"/>
      <c r="I860">
        <f>IF(A860="","",SUMIFS(Purchases[Quantity],Purchases[ProductID],A860))</f>
        <v/>
      </c>
      <c r="J860">
        <f>IF(A860="","",SUMIFS(Sales[Quantity],Sales[ProductID],A860))</f>
        <v/>
      </c>
      <c r="K860">
        <f>IF(A860="","",N(G860)+N(I860)-N(J860))</f>
        <v/>
      </c>
      <c r="L860" s="10">
        <f>IF(K860="","",K860*N(F860))</f>
        <v/>
      </c>
      <c r="M860">
        <f>IF(K860="","",IF(K860&lt;=N(H860),"LOW","OK"))</f>
        <v/>
      </c>
    </row>
    <row r="861">
      <c r="E861" s="10" t="n"/>
      <c r="F861" s="10" t="n"/>
      <c r="I861">
        <f>IF(A861="","",SUMIFS(Purchases[Quantity],Purchases[ProductID],A861))</f>
        <v/>
      </c>
      <c r="J861">
        <f>IF(A861="","",SUMIFS(Sales[Quantity],Sales[ProductID],A861))</f>
        <v/>
      </c>
      <c r="K861">
        <f>IF(A861="","",N(G861)+N(I861)-N(J861))</f>
        <v/>
      </c>
      <c r="L861" s="10">
        <f>IF(K861="","",K861*N(F861))</f>
        <v/>
      </c>
      <c r="M861">
        <f>IF(K861="","",IF(K861&lt;=N(H861),"LOW","OK"))</f>
        <v/>
      </c>
    </row>
    <row r="862">
      <c r="E862" s="10" t="n"/>
      <c r="F862" s="10" t="n"/>
      <c r="I862">
        <f>IF(A862="","",SUMIFS(Purchases[Quantity],Purchases[ProductID],A862))</f>
        <v/>
      </c>
      <c r="J862">
        <f>IF(A862="","",SUMIFS(Sales[Quantity],Sales[ProductID],A862))</f>
        <v/>
      </c>
      <c r="K862">
        <f>IF(A862="","",N(G862)+N(I862)-N(J862))</f>
        <v/>
      </c>
      <c r="L862" s="10">
        <f>IF(K862="","",K862*N(F862))</f>
        <v/>
      </c>
      <c r="M862">
        <f>IF(K862="","",IF(K862&lt;=N(H862),"LOW","OK"))</f>
        <v/>
      </c>
    </row>
    <row r="863">
      <c r="E863" s="10" t="n"/>
      <c r="F863" s="10" t="n"/>
      <c r="I863">
        <f>IF(A863="","",SUMIFS(Purchases[Quantity],Purchases[ProductID],A863))</f>
        <v/>
      </c>
      <c r="J863">
        <f>IF(A863="","",SUMIFS(Sales[Quantity],Sales[ProductID],A863))</f>
        <v/>
      </c>
      <c r="K863">
        <f>IF(A863="","",N(G863)+N(I863)-N(J863))</f>
        <v/>
      </c>
      <c r="L863" s="10">
        <f>IF(K863="","",K863*N(F863))</f>
        <v/>
      </c>
      <c r="M863">
        <f>IF(K863="","",IF(K863&lt;=N(H863),"LOW","OK"))</f>
        <v/>
      </c>
    </row>
    <row r="864">
      <c r="E864" s="10" t="n"/>
      <c r="F864" s="10" t="n"/>
      <c r="I864">
        <f>IF(A864="","",SUMIFS(Purchases[Quantity],Purchases[ProductID],A864))</f>
        <v/>
      </c>
      <c r="J864">
        <f>IF(A864="","",SUMIFS(Sales[Quantity],Sales[ProductID],A864))</f>
        <v/>
      </c>
      <c r="K864">
        <f>IF(A864="","",N(G864)+N(I864)-N(J864))</f>
        <v/>
      </c>
      <c r="L864" s="10">
        <f>IF(K864="","",K864*N(F864))</f>
        <v/>
      </c>
      <c r="M864">
        <f>IF(K864="","",IF(K864&lt;=N(H864),"LOW","OK"))</f>
        <v/>
      </c>
    </row>
    <row r="865">
      <c r="E865" s="10" t="n"/>
      <c r="F865" s="10" t="n"/>
      <c r="I865">
        <f>IF(A865="","",SUMIFS(Purchases[Quantity],Purchases[ProductID],A865))</f>
        <v/>
      </c>
      <c r="J865">
        <f>IF(A865="","",SUMIFS(Sales[Quantity],Sales[ProductID],A865))</f>
        <v/>
      </c>
      <c r="K865">
        <f>IF(A865="","",N(G865)+N(I865)-N(J865))</f>
        <v/>
      </c>
      <c r="L865" s="10">
        <f>IF(K865="","",K865*N(F865))</f>
        <v/>
      </c>
      <c r="M865">
        <f>IF(K865="","",IF(K865&lt;=N(H865),"LOW","OK"))</f>
        <v/>
      </c>
    </row>
    <row r="866">
      <c r="E866" s="10" t="n"/>
      <c r="F866" s="10" t="n"/>
      <c r="I866">
        <f>IF(A866="","",SUMIFS(Purchases[Quantity],Purchases[ProductID],A866))</f>
        <v/>
      </c>
      <c r="J866">
        <f>IF(A866="","",SUMIFS(Sales[Quantity],Sales[ProductID],A866))</f>
        <v/>
      </c>
      <c r="K866">
        <f>IF(A866="","",N(G866)+N(I866)-N(J866))</f>
        <v/>
      </c>
      <c r="L866" s="10">
        <f>IF(K866="","",K866*N(F866))</f>
        <v/>
      </c>
      <c r="M866">
        <f>IF(K866="","",IF(K866&lt;=N(H866),"LOW","OK"))</f>
        <v/>
      </c>
    </row>
    <row r="867">
      <c r="E867" s="10" t="n"/>
      <c r="F867" s="10" t="n"/>
      <c r="I867">
        <f>IF(A867="","",SUMIFS(Purchases[Quantity],Purchases[ProductID],A867))</f>
        <v/>
      </c>
      <c r="J867">
        <f>IF(A867="","",SUMIFS(Sales[Quantity],Sales[ProductID],A867))</f>
        <v/>
      </c>
      <c r="K867">
        <f>IF(A867="","",N(G867)+N(I867)-N(J867))</f>
        <v/>
      </c>
      <c r="L867" s="10">
        <f>IF(K867="","",K867*N(F867))</f>
        <v/>
      </c>
      <c r="M867">
        <f>IF(K867="","",IF(K867&lt;=N(H867),"LOW","OK"))</f>
        <v/>
      </c>
    </row>
    <row r="868">
      <c r="E868" s="10" t="n"/>
      <c r="F868" s="10" t="n"/>
      <c r="I868">
        <f>IF(A868="","",SUMIFS(Purchases[Quantity],Purchases[ProductID],A868))</f>
        <v/>
      </c>
      <c r="J868">
        <f>IF(A868="","",SUMIFS(Sales[Quantity],Sales[ProductID],A868))</f>
        <v/>
      </c>
      <c r="K868">
        <f>IF(A868="","",N(G868)+N(I868)-N(J868))</f>
        <v/>
      </c>
      <c r="L868" s="10">
        <f>IF(K868="","",K868*N(F868))</f>
        <v/>
      </c>
      <c r="M868">
        <f>IF(K868="","",IF(K868&lt;=N(H868),"LOW","OK"))</f>
        <v/>
      </c>
    </row>
    <row r="869">
      <c r="E869" s="10" t="n"/>
      <c r="F869" s="10" t="n"/>
      <c r="I869">
        <f>IF(A869="","",SUMIFS(Purchases[Quantity],Purchases[ProductID],A869))</f>
        <v/>
      </c>
      <c r="J869">
        <f>IF(A869="","",SUMIFS(Sales[Quantity],Sales[ProductID],A869))</f>
        <v/>
      </c>
      <c r="K869">
        <f>IF(A869="","",N(G869)+N(I869)-N(J869))</f>
        <v/>
      </c>
      <c r="L869" s="10">
        <f>IF(K869="","",K869*N(F869))</f>
        <v/>
      </c>
      <c r="M869">
        <f>IF(K869="","",IF(K869&lt;=N(H869),"LOW","OK"))</f>
        <v/>
      </c>
    </row>
    <row r="870">
      <c r="E870" s="10" t="n"/>
      <c r="F870" s="10" t="n"/>
      <c r="I870">
        <f>IF(A870="","",SUMIFS(Purchases[Quantity],Purchases[ProductID],A870))</f>
        <v/>
      </c>
      <c r="J870">
        <f>IF(A870="","",SUMIFS(Sales[Quantity],Sales[ProductID],A870))</f>
        <v/>
      </c>
      <c r="K870">
        <f>IF(A870="","",N(G870)+N(I870)-N(J870))</f>
        <v/>
      </c>
      <c r="L870" s="10">
        <f>IF(K870="","",K870*N(F870))</f>
        <v/>
      </c>
      <c r="M870">
        <f>IF(K870="","",IF(K870&lt;=N(H870),"LOW","OK"))</f>
        <v/>
      </c>
    </row>
    <row r="871">
      <c r="E871" s="10" t="n"/>
      <c r="F871" s="10" t="n"/>
      <c r="I871">
        <f>IF(A871="","",SUMIFS(Purchases[Quantity],Purchases[ProductID],A871))</f>
        <v/>
      </c>
      <c r="J871">
        <f>IF(A871="","",SUMIFS(Sales[Quantity],Sales[ProductID],A871))</f>
        <v/>
      </c>
      <c r="K871">
        <f>IF(A871="","",N(G871)+N(I871)-N(J871))</f>
        <v/>
      </c>
      <c r="L871" s="10">
        <f>IF(K871="","",K871*N(F871))</f>
        <v/>
      </c>
      <c r="M871">
        <f>IF(K871="","",IF(K871&lt;=N(H871),"LOW","OK"))</f>
        <v/>
      </c>
    </row>
    <row r="872">
      <c r="E872" s="10" t="n"/>
      <c r="F872" s="10" t="n"/>
      <c r="I872">
        <f>IF(A872="","",SUMIFS(Purchases[Quantity],Purchases[ProductID],A872))</f>
        <v/>
      </c>
      <c r="J872">
        <f>IF(A872="","",SUMIFS(Sales[Quantity],Sales[ProductID],A872))</f>
        <v/>
      </c>
      <c r="K872">
        <f>IF(A872="","",N(G872)+N(I872)-N(J872))</f>
        <v/>
      </c>
      <c r="L872" s="10">
        <f>IF(K872="","",K872*N(F872))</f>
        <v/>
      </c>
      <c r="M872">
        <f>IF(K872="","",IF(K872&lt;=N(H872),"LOW","OK"))</f>
        <v/>
      </c>
    </row>
    <row r="873">
      <c r="E873" s="10" t="n"/>
      <c r="F873" s="10" t="n"/>
      <c r="I873">
        <f>IF(A873="","",SUMIFS(Purchases[Quantity],Purchases[ProductID],A873))</f>
        <v/>
      </c>
      <c r="J873">
        <f>IF(A873="","",SUMIFS(Sales[Quantity],Sales[ProductID],A873))</f>
        <v/>
      </c>
      <c r="K873">
        <f>IF(A873="","",N(G873)+N(I873)-N(J873))</f>
        <v/>
      </c>
      <c r="L873" s="10">
        <f>IF(K873="","",K873*N(F873))</f>
        <v/>
      </c>
      <c r="M873">
        <f>IF(K873="","",IF(K873&lt;=N(H873),"LOW","OK"))</f>
        <v/>
      </c>
    </row>
    <row r="874">
      <c r="E874" s="10" t="n"/>
      <c r="F874" s="10" t="n"/>
      <c r="I874">
        <f>IF(A874="","",SUMIFS(Purchases[Quantity],Purchases[ProductID],A874))</f>
        <v/>
      </c>
      <c r="J874">
        <f>IF(A874="","",SUMIFS(Sales[Quantity],Sales[ProductID],A874))</f>
        <v/>
      </c>
      <c r="K874">
        <f>IF(A874="","",N(G874)+N(I874)-N(J874))</f>
        <v/>
      </c>
      <c r="L874" s="10">
        <f>IF(K874="","",K874*N(F874))</f>
        <v/>
      </c>
      <c r="M874">
        <f>IF(K874="","",IF(K874&lt;=N(H874),"LOW","OK"))</f>
        <v/>
      </c>
    </row>
    <row r="875">
      <c r="E875" s="10" t="n"/>
      <c r="F875" s="10" t="n"/>
      <c r="I875">
        <f>IF(A875="","",SUMIFS(Purchases[Quantity],Purchases[ProductID],A875))</f>
        <v/>
      </c>
      <c r="J875">
        <f>IF(A875="","",SUMIFS(Sales[Quantity],Sales[ProductID],A875))</f>
        <v/>
      </c>
      <c r="K875">
        <f>IF(A875="","",N(G875)+N(I875)-N(J875))</f>
        <v/>
      </c>
      <c r="L875" s="10">
        <f>IF(K875="","",K875*N(F875))</f>
        <v/>
      </c>
      <c r="M875">
        <f>IF(K875="","",IF(K875&lt;=N(H875),"LOW","OK"))</f>
        <v/>
      </c>
    </row>
    <row r="876">
      <c r="E876" s="10" t="n"/>
      <c r="F876" s="10" t="n"/>
      <c r="I876">
        <f>IF(A876="","",SUMIFS(Purchases[Quantity],Purchases[ProductID],A876))</f>
        <v/>
      </c>
      <c r="J876">
        <f>IF(A876="","",SUMIFS(Sales[Quantity],Sales[ProductID],A876))</f>
        <v/>
      </c>
      <c r="K876">
        <f>IF(A876="","",N(G876)+N(I876)-N(J876))</f>
        <v/>
      </c>
      <c r="L876" s="10">
        <f>IF(K876="","",K876*N(F876))</f>
        <v/>
      </c>
      <c r="M876">
        <f>IF(K876="","",IF(K876&lt;=N(H876),"LOW","OK"))</f>
        <v/>
      </c>
    </row>
    <row r="877">
      <c r="E877" s="10" t="n"/>
      <c r="F877" s="10" t="n"/>
      <c r="I877">
        <f>IF(A877="","",SUMIFS(Purchases[Quantity],Purchases[ProductID],A877))</f>
        <v/>
      </c>
      <c r="J877">
        <f>IF(A877="","",SUMIFS(Sales[Quantity],Sales[ProductID],A877))</f>
        <v/>
      </c>
      <c r="K877">
        <f>IF(A877="","",N(G877)+N(I877)-N(J877))</f>
        <v/>
      </c>
      <c r="L877" s="10">
        <f>IF(K877="","",K877*N(F877))</f>
        <v/>
      </c>
      <c r="M877">
        <f>IF(K877="","",IF(K877&lt;=N(H877),"LOW","OK"))</f>
        <v/>
      </c>
    </row>
    <row r="878">
      <c r="E878" s="10" t="n"/>
      <c r="F878" s="10" t="n"/>
      <c r="I878">
        <f>IF(A878="","",SUMIFS(Purchases[Quantity],Purchases[ProductID],A878))</f>
        <v/>
      </c>
      <c r="J878">
        <f>IF(A878="","",SUMIFS(Sales[Quantity],Sales[ProductID],A878))</f>
        <v/>
      </c>
      <c r="K878">
        <f>IF(A878="","",N(G878)+N(I878)-N(J878))</f>
        <v/>
      </c>
      <c r="L878" s="10">
        <f>IF(K878="","",K878*N(F878))</f>
        <v/>
      </c>
      <c r="M878">
        <f>IF(K878="","",IF(K878&lt;=N(H878),"LOW","OK"))</f>
        <v/>
      </c>
    </row>
    <row r="879">
      <c r="E879" s="10" t="n"/>
      <c r="F879" s="10" t="n"/>
      <c r="I879">
        <f>IF(A879="","",SUMIFS(Purchases[Quantity],Purchases[ProductID],A879))</f>
        <v/>
      </c>
      <c r="J879">
        <f>IF(A879="","",SUMIFS(Sales[Quantity],Sales[ProductID],A879))</f>
        <v/>
      </c>
      <c r="K879">
        <f>IF(A879="","",N(G879)+N(I879)-N(J879))</f>
        <v/>
      </c>
      <c r="L879" s="10">
        <f>IF(K879="","",K879*N(F879))</f>
        <v/>
      </c>
      <c r="M879">
        <f>IF(K879="","",IF(K879&lt;=N(H879),"LOW","OK"))</f>
        <v/>
      </c>
    </row>
    <row r="880">
      <c r="E880" s="10" t="n"/>
      <c r="F880" s="10" t="n"/>
      <c r="I880">
        <f>IF(A880="","",SUMIFS(Purchases[Quantity],Purchases[ProductID],A880))</f>
        <v/>
      </c>
      <c r="J880">
        <f>IF(A880="","",SUMIFS(Sales[Quantity],Sales[ProductID],A880))</f>
        <v/>
      </c>
      <c r="K880">
        <f>IF(A880="","",N(G880)+N(I880)-N(J880))</f>
        <v/>
      </c>
      <c r="L880" s="10">
        <f>IF(K880="","",K880*N(F880))</f>
        <v/>
      </c>
      <c r="M880">
        <f>IF(K880="","",IF(K880&lt;=N(H880),"LOW","OK"))</f>
        <v/>
      </c>
    </row>
    <row r="881">
      <c r="E881" s="10" t="n"/>
      <c r="F881" s="10" t="n"/>
      <c r="I881">
        <f>IF(A881="","",SUMIFS(Purchases[Quantity],Purchases[ProductID],A881))</f>
        <v/>
      </c>
      <c r="J881">
        <f>IF(A881="","",SUMIFS(Sales[Quantity],Sales[ProductID],A881))</f>
        <v/>
      </c>
      <c r="K881">
        <f>IF(A881="","",N(G881)+N(I881)-N(J881))</f>
        <v/>
      </c>
      <c r="L881" s="10">
        <f>IF(K881="","",K881*N(F881))</f>
        <v/>
      </c>
      <c r="M881">
        <f>IF(K881="","",IF(K881&lt;=N(H881),"LOW","OK"))</f>
        <v/>
      </c>
    </row>
    <row r="882">
      <c r="E882" s="10" t="n"/>
      <c r="F882" s="10" t="n"/>
      <c r="I882">
        <f>IF(A882="","",SUMIFS(Purchases[Quantity],Purchases[ProductID],A882))</f>
        <v/>
      </c>
      <c r="J882">
        <f>IF(A882="","",SUMIFS(Sales[Quantity],Sales[ProductID],A882))</f>
        <v/>
      </c>
      <c r="K882">
        <f>IF(A882="","",N(G882)+N(I882)-N(J882))</f>
        <v/>
      </c>
      <c r="L882" s="10">
        <f>IF(K882="","",K882*N(F882))</f>
        <v/>
      </c>
      <c r="M882">
        <f>IF(K882="","",IF(K882&lt;=N(H882),"LOW","OK"))</f>
        <v/>
      </c>
    </row>
    <row r="883">
      <c r="E883" s="10" t="n"/>
      <c r="F883" s="10" t="n"/>
      <c r="I883">
        <f>IF(A883="","",SUMIFS(Purchases[Quantity],Purchases[ProductID],A883))</f>
        <v/>
      </c>
      <c r="J883">
        <f>IF(A883="","",SUMIFS(Sales[Quantity],Sales[ProductID],A883))</f>
        <v/>
      </c>
      <c r="K883">
        <f>IF(A883="","",N(G883)+N(I883)-N(J883))</f>
        <v/>
      </c>
      <c r="L883" s="10">
        <f>IF(K883="","",K883*N(F883))</f>
        <v/>
      </c>
      <c r="M883">
        <f>IF(K883="","",IF(K883&lt;=N(H883),"LOW","OK"))</f>
        <v/>
      </c>
    </row>
    <row r="884">
      <c r="E884" s="10" t="n"/>
      <c r="F884" s="10" t="n"/>
      <c r="I884">
        <f>IF(A884="","",SUMIFS(Purchases[Quantity],Purchases[ProductID],A884))</f>
        <v/>
      </c>
      <c r="J884">
        <f>IF(A884="","",SUMIFS(Sales[Quantity],Sales[ProductID],A884))</f>
        <v/>
      </c>
      <c r="K884">
        <f>IF(A884="","",N(G884)+N(I884)-N(J884))</f>
        <v/>
      </c>
      <c r="L884" s="10">
        <f>IF(K884="","",K884*N(F884))</f>
        <v/>
      </c>
      <c r="M884">
        <f>IF(K884="","",IF(K884&lt;=N(H884),"LOW","OK"))</f>
        <v/>
      </c>
    </row>
    <row r="885">
      <c r="E885" s="10" t="n"/>
      <c r="F885" s="10" t="n"/>
      <c r="I885">
        <f>IF(A885="","",SUMIFS(Purchases[Quantity],Purchases[ProductID],A885))</f>
        <v/>
      </c>
      <c r="J885">
        <f>IF(A885="","",SUMIFS(Sales[Quantity],Sales[ProductID],A885))</f>
        <v/>
      </c>
      <c r="K885">
        <f>IF(A885="","",N(G885)+N(I885)-N(J885))</f>
        <v/>
      </c>
      <c r="L885" s="10">
        <f>IF(K885="","",K885*N(F885))</f>
        <v/>
      </c>
      <c r="M885">
        <f>IF(K885="","",IF(K885&lt;=N(H885),"LOW","OK"))</f>
        <v/>
      </c>
    </row>
    <row r="886">
      <c r="E886" s="10" t="n"/>
      <c r="F886" s="10" t="n"/>
      <c r="I886">
        <f>IF(A886="","",SUMIFS(Purchases[Quantity],Purchases[ProductID],A886))</f>
        <v/>
      </c>
      <c r="J886">
        <f>IF(A886="","",SUMIFS(Sales[Quantity],Sales[ProductID],A886))</f>
        <v/>
      </c>
      <c r="K886">
        <f>IF(A886="","",N(G886)+N(I886)-N(J886))</f>
        <v/>
      </c>
      <c r="L886" s="10">
        <f>IF(K886="","",K886*N(F886))</f>
        <v/>
      </c>
      <c r="M886">
        <f>IF(K886="","",IF(K886&lt;=N(H886),"LOW","OK"))</f>
        <v/>
      </c>
    </row>
    <row r="887">
      <c r="E887" s="10" t="n"/>
      <c r="F887" s="10" t="n"/>
      <c r="I887">
        <f>IF(A887="","",SUMIFS(Purchases[Quantity],Purchases[ProductID],A887))</f>
        <v/>
      </c>
      <c r="J887">
        <f>IF(A887="","",SUMIFS(Sales[Quantity],Sales[ProductID],A887))</f>
        <v/>
      </c>
      <c r="K887">
        <f>IF(A887="","",N(G887)+N(I887)-N(J887))</f>
        <v/>
      </c>
      <c r="L887" s="10">
        <f>IF(K887="","",K887*N(F887))</f>
        <v/>
      </c>
      <c r="M887">
        <f>IF(K887="","",IF(K887&lt;=N(H887),"LOW","OK"))</f>
        <v/>
      </c>
    </row>
    <row r="888">
      <c r="E888" s="10" t="n"/>
      <c r="F888" s="10" t="n"/>
      <c r="I888">
        <f>IF(A888="","",SUMIFS(Purchases[Quantity],Purchases[ProductID],A888))</f>
        <v/>
      </c>
      <c r="J888">
        <f>IF(A888="","",SUMIFS(Sales[Quantity],Sales[ProductID],A888))</f>
        <v/>
      </c>
      <c r="K888">
        <f>IF(A888="","",N(G888)+N(I888)-N(J888))</f>
        <v/>
      </c>
      <c r="L888" s="10">
        <f>IF(K888="","",K888*N(F888))</f>
        <v/>
      </c>
      <c r="M888">
        <f>IF(K888="","",IF(K888&lt;=N(H888),"LOW","OK"))</f>
        <v/>
      </c>
    </row>
    <row r="889">
      <c r="E889" s="10" t="n"/>
      <c r="F889" s="10" t="n"/>
      <c r="I889">
        <f>IF(A889="","",SUMIFS(Purchases[Quantity],Purchases[ProductID],A889))</f>
        <v/>
      </c>
      <c r="J889">
        <f>IF(A889="","",SUMIFS(Sales[Quantity],Sales[ProductID],A889))</f>
        <v/>
      </c>
      <c r="K889">
        <f>IF(A889="","",N(G889)+N(I889)-N(J889))</f>
        <v/>
      </c>
      <c r="L889" s="10">
        <f>IF(K889="","",K889*N(F889))</f>
        <v/>
      </c>
      <c r="M889">
        <f>IF(K889="","",IF(K889&lt;=N(H889),"LOW","OK"))</f>
        <v/>
      </c>
    </row>
    <row r="890">
      <c r="E890" s="10" t="n"/>
      <c r="F890" s="10" t="n"/>
      <c r="I890">
        <f>IF(A890="","",SUMIFS(Purchases[Quantity],Purchases[ProductID],A890))</f>
        <v/>
      </c>
      <c r="J890">
        <f>IF(A890="","",SUMIFS(Sales[Quantity],Sales[ProductID],A890))</f>
        <v/>
      </c>
      <c r="K890">
        <f>IF(A890="","",N(G890)+N(I890)-N(J890))</f>
        <v/>
      </c>
      <c r="L890" s="10">
        <f>IF(K890="","",K890*N(F890))</f>
        <v/>
      </c>
      <c r="M890">
        <f>IF(K890="","",IF(K890&lt;=N(H890),"LOW","OK"))</f>
        <v/>
      </c>
    </row>
    <row r="891">
      <c r="E891" s="10" t="n"/>
      <c r="F891" s="10" t="n"/>
      <c r="I891">
        <f>IF(A891="","",SUMIFS(Purchases[Quantity],Purchases[ProductID],A891))</f>
        <v/>
      </c>
      <c r="J891">
        <f>IF(A891="","",SUMIFS(Sales[Quantity],Sales[ProductID],A891))</f>
        <v/>
      </c>
      <c r="K891">
        <f>IF(A891="","",N(G891)+N(I891)-N(J891))</f>
        <v/>
      </c>
      <c r="L891" s="10">
        <f>IF(K891="","",K891*N(F891))</f>
        <v/>
      </c>
      <c r="M891">
        <f>IF(K891="","",IF(K891&lt;=N(H891),"LOW","OK"))</f>
        <v/>
      </c>
    </row>
    <row r="892">
      <c r="E892" s="10" t="n"/>
      <c r="F892" s="10" t="n"/>
      <c r="I892">
        <f>IF(A892="","",SUMIFS(Purchases[Quantity],Purchases[ProductID],A892))</f>
        <v/>
      </c>
      <c r="J892">
        <f>IF(A892="","",SUMIFS(Sales[Quantity],Sales[ProductID],A892))</f>
        <v/>
      </c>
      <c r="K892">
        <f>IF(A892="","",N(G892)+N(I892)-N(J892))</f>
        <v/>
      </c>
      <c r="L892" s="10">
        <f>IF(K892="","",K892*N(F892))</f>
        <v/>
      </c>
      <c r="M892">
        <f>IF(K892="","",IF(K892&lt;=N(H892),"LOW","OK"))</f>
        <v/>
      </c>
    </row>
    <row r="893">
      <c r="E893" s="10" t="n"/>
      <c r="F893" s="10" t="n"/>
      <c r="I893">
        <f>IF(A893="","",SUMIFS(Purchases[Quantity],Purchases[ProductID],A893))</f>
        <v/>
      </c>
      <c r="J893">
        <f>IF(A893="","",SUMIFS(Sales[Quantity],Sales[ProductID],A893))</f>
        <v/>
      </c>
      <c r="K893">
        <f>IF(A893="","",N(G893)+N(I893)-N(J893))</f>
        <v/>
      </c>
      <c r="L893" s="10">
        <f>IF(K893="","",K893*N(F893))</f>
        <v/>
      </c>
      <c r="M893">
        <f>IF(K893="","",IF(K893&lt;=N(H893),"LOW","OK"))</f>
        <v/>
      </c>
    </row>
    <row r="894">
      <c r="E894" s="10" t="n"/>
      <c r="F894" s="10" t="n"/>
      <c r="I894">
        <f>IF(A894="","",SUMIFS(Purchases[Quantity],Purchases[ProductID],A894))</f>
        <v/>
      </c>
      <c r="J894">
        <f>IF(A894="","",SUMIFS(Sales[Quantity],Sales[ProductID],A894))</f>
        <v/>
      </c>
      <c r="K894">
        <f>IF(A894="","",N(G894)+N(I894)-N(J894))</f>
        <v/>
      </c>
      <c r="L894" s="10">
        <f>IF(K894="","",K894*N(F894))</f>
        <v/>
      </c>
      <c r="M894">
        <f>IF(K894="","",IF(K894&lt;=N(H894),"LOW","OK"))</f>
        <v/>
      </c>
    </row>
    <row r="895">
      <c r="E895" s="10" t="n"/>
      <c r="F895" s="10" t="n"/>
      <c r="I895">
        <f>IF(A895="","",SUMIFS(Purchases[Quantity],Purchases[ProductID],A895))</f>
        <v/>
      </c>
      <c r="J895">
        <f>IF(A895="","",SUMIFS(Sales[Quantity],Sales[ProductID],A895))</f>
        <v/>
      </c>
      <c r="K895">
        <f>IF(A895="","",N(G895)+N(I895)-N(J895))</f>
        <v/>
      </c>
      <c r="L895" s="10">
        <f>IF(K895="","",K895*N(F895))</f>
        <v/>
      </c>
      <c r="M895">
        <f>IF(K895="","",IF(K895&lt;=N(H895),"LOW","OK"))</f>
        <v/>
      </c>
    </row>
    <row r="896">
      <c r="E896" s="10" t="n"/>
      <c r="F896" s="10" t="n"/>
      <c r="I896">
        <f>IF(A896="","",SUMIFS(Purchases[Quantity],Purchases[ProductID],A896))</f>
        <v/>
      </c>
      <c r="J896">
        <f>IF(A896="","",SUMIFS(Sales[Quantity],Sales[ProductID],A896))</f>
        <v/>
      </c>
      <c r="K896">
        <f>IF(A896="","",N(G896)+N(I896)-N(J896))</f>
        <v/>
      </c>
      <c r="L896" s="10">
        <f>IF(K896="","",K896*N(F896))</f>
        <v/>
      </c>
      <c r="M896">
        <f>IF(K896="","",IF(K896&lt;=N(H896),"LOW","OK"))</f>
        <v/>
      </c>
    </row>
    <row r="897">
      <c r="E897" s="10" t="n"/>
      <c r="F897" s="10" t="n"/>
      <c r="I897">
        <f>IF(A897="","",SUMIFS(Purchases[Quantity],Purchases[ProductID],A897))</f>
        <v/>
      </c>
      <c r="J897">
        <f>IF(A897="","",SUMIFS(Sales[Quantity],Sales[ProductID],A897))</f>
        <v/>
      </c>
      <c r="K897">
        <f>IF(A897="","",N(G897)+N(I897)-N(J897))</f>
        <v/>
      </c>
      <c r="L897" s="10">
        <f>IF(K897="","",K897*N(F897))</f>
        <v/>
      </c>
      <c r="M897">
        <f>IF(K897="","",IF(K897&lt;=N(H897),"LOW","OK"))</f>
        <v/>
      </c>
    </row>
    <row r="898">
      <c r="E898" s="10" t="n"/>
      <c r="F898" s="10" t="n"/>
      <c r="I898">
        <f>IF(A898="","",SUMIFS(Purchases[Quantity],Purchases[ProductID],A898))</f>
        <v/>
      </c>
      <c r="J898">
        <f>IF(A898="","",SUMIFS(Sales[Quantity],Sales[ProductID],A898))</f>
        <v/>
      </c>
      <c r="K898">
        <f>IF(A898="","",N(G898)+N(I898)-N(J898))</f>
        <v/>
      </c>
      <c r="L898" s="10">
        <f>IF(K898="","",K898*N(F898))</f>
        <v/>
      </c>
      <c r="M898">
        <f>IF(K898="","",IF(K898&lt;=N(H898),"LOW","OK"))</f>
        <v/>
      </c>
    </row>
    <row r="899">
      <c r="E899" s="10" t="n"/>
      <c r="F899" s="10" t="n"/>
      <c r="I899">
        <f>IF(A899="","",SUMIFS(Purchases[Quantity],Purchases[ProductID],A899))</f>
        <v/>
      </c>
      <c r="J899">
        <f>IF(A899="","",SUMIFS(Sales[Quantity],Sales[ProductID],A899))</f>
        <v/>
      </c>
      <c r="K899">
        <f>IF(A899="","",N(G899)+N(I899)-N(J899))</f>
        <v/>
      </c>
      <c r="L899" s="10">
        <f>IF(K899="","",K899*N(F899))</f>
        <v/>
      </c>
      <c r="M899">
        <f>IF(K899="","",IF(K899&lt;=N(H899),"LOW","OK"))</f>
        <v/>
      </c>
    </row>
    <row r="900">
      <c r="E900" s="10" t="n"/>
      <c r="F900" s="10" t="n"/>
      <c r="I900">
        <f>IF(A900="","",SUMIFS(Purchases[Quantity],Purchases[ProductID],A900))</f>
        <v/>
      </c>
      <c r="J900">
        <f>IF(A900="","",SUMIFS(Sales[Quantity],Sales[ProductID],A900))</f>
        <v/>
      </c>
      <c r="K900">
        <f>IF(A900="","",N(G900)+N(I900)-N(J900))</f>
        <v/>
      </c>
      <c r="L900" s="10">
        <f>IF(K900="","",K900*N(F900))</f>
        <v/>
      </c>
      <c r="M900">
        <f>IF(K900="","",IF(K900&lt;=N(H900),"LOW","OK"))</f>
        <v/>
      </c>
    </row>
    <row r="901">
      <c r="E901" s="10" t="n"/>
      <c r="F901" s="10" t="n"/>
      <c r="I901">
        <f>IF(A901="","",SUMIFS(Purchases[Quantity],Purchases[ProductID],A901))</f>
        <v/>
      </c>
      <c r="J901">
        <f>IF(A901="","",SUMIFS(Sales[Quantity],Sales[ProductID],A901))</f>
        <v/>
      </c>
      <c r="K901">
        <f>IF(A901="","",N(G901)+N(I901)-N(J901))</f>
        <v/>
      </c>
      <c r="L901" s="10">
        <f>IF(K901="","",K901*N(F901))</f>
        <v/>
      </c>
      <c r="M901">
        <f>IF(K901="","",IF(K901&lt;=N(H901),"LOW","OK"))</f>
        <v/>
      </c>
    </row>
    <row r="902">
      <c r="E902" s="10" t="n"/>
      <c r="F902" s="10" t="n"/>
      <c r="I902">
        <f>IF(A902="","",SUMIFS(Purchases[Quantity],Purchases[ProductID],A902))</f>
        <v/>
      </c>
      <c r="J902">
        <f>IF(A902="","",SUMIFS(Sales[Quantity],Sales[ProductID],A902))</f>
        <v/>
      </c>
      <c r="K902">
        <f>IF(A902="","",N(G902)+N(I902)-N(J902))</f>
        <v/>
      </c>
      <c r="L902" s="10">
        <f>IF(K902="","",K902*N(F902))</f>
        <v/>
      </c>
      <c r="M902">
        <f>IF(K902="","",IF(K902&lt;=N(H902),"LOW","OK"))</f>
        <v/>
      </c>
    </row>
    <row r="903">
      <c r="E903" s="10" t="n"/>
      <c r="F903" s="10" t="n"/>
      <c r="I903">
        <f>IF(A903="","",SUMIFS(Purchases[Quantity],Purchases[ProductID],A903))</f>
        <v/>
      </c>
      <c r="J903">
        <f>IF(A903="","",SUMIFS(Sales[Quantity],Sales[ProductID],A903))</f>
        <v/>
      </c>
      <c r="K903">
        <f>IF(A903="","",N(G903)+N(I903)-N(J903))</f>
        <v/>
      </c>
      <c r="L903" s="10">
        <f>IF(K903="","",K903*N(F903))</f>
        <v/>
      </c>
      <c r="M903">
        <f>IF(K903="","",IF(K903&lt;=N(H903),"LOW","OK"))</f>
        <v/>
      </c>
    </row>
    <row r="904">
      <c r="E904" s="10" t="n"/>
      <c r="F904" s="10" t="n"/>
      <c r="I904">
        <f>IF(A904="","",SUMIFS(Purchases[Quantity],Purchases[ProductID],A904))</f>
        <v/>
      </c>
      <c r="J904">
        <f>IF(A904="","",SUMIFS(Sales[Quantity],Sales[ProductID],A904))</f>
        <v/>
      </c>
      <c r="K904">
        <f>IF(A904="","",N(G904)+N(I904)-N(J904))</f>
        <v/>
      </c>
      <c r="L904" s="10">
        <f>IF(K904="","",K904*N(F904))</f>
        <v/>
      </c>
      <c r="M904">
        <f>IF(K904="","",IF(K904&lt;=N(H904),"LOW","OK"))</f>
        <v/>
      </c>
    </row>
    <row r="905">
      <c r="E905" s="10" t="n"/>
      <c r="F905" s="10" t="n"/>
      <c r="I905">
        <f>IF(A905="","",SUMIFS(Purchases[Quantity],Purchases[ProductID],A905))</f>
        <v/>
      </c>
      <c r="J905">
        <f>IF(A905="","",SUMIFS(Sales[Quantity],Sales[ProductID],A905))</f>
        <v/>
      </c>
      <c r="K905">
        <f>IF(A905="","",N(G905)+N(I905)-N(J905))</f>
        <v/>
      </c>
      <c r="L905" s="10">
        <f>IF(K905="","",K905*N(F905))</f>
        <v/>
      </c>
      <c r="M905">
        <f>IF(K905="","",IF(K905&lt;=N(H905),"LOW","OK"))</f>
        <v/>
      </c>
    </row>
    <row r="906">
      <c r="E906" s="10" t="n"/>
      <c r="F906" s="10" t="n"/>
      <c r="I906">
        <f>IF(A906="","",SUMIFS(Purchases[Quantity],Purchases[ProductID],A906))</f>
        <v/>
      </c>
      <c r="J906">
        <f>IF(A906="","",SUMIFS(Sales[Quantity],Sales[ProductID],A906))</f>
        <v/>
      </c>
      <c r="K906">
        <f>IF(A906="","",N(G906)+N(I906)-N(J906))</f>
        <v/>
      </c>
      <c r="L906" s="10">
        <f>IF(K906="","",K906*N(F906))</f>
        <v/>
      </c>
      <c r="M906">
        <f>IF(K906="","",IF(K906&lt;=N(H906),"LOW","OK"))</f>
        <v/>
      </c>
    </row>
    <row r="907">
      <c r="E907" s="10" t="n"/>
      <c r="F907" s="10" t="n"/>
      <c r="I907">
        <f>IF(A907="","",SUMIFS(Purchases[Quantity],Purchases[ProductID],A907))</f>
        <v/>
      </c>
      <c r="J907">
        <f>IF(A907="","",SUMIFS(Sales[Quantity],Sales[ProductID],A907))</f>
        <v/>
      </c>
      <c r="K907">
        <f>IF(A907="","",N(G907)+N(I907)-N(J907))</f>
        <v/>
      </c>
      <c r="L907" s="10">
        <f>IF(K907="","",K907*N(F907))</f>
        <v/>
      </c>
      <c r="M907">
        <f>IF(K907="","",IF(K907&lt;=N(H907),"LOW","OK"))</f>
        <v/>
      </c>
    </row>
    <row r="908">
      <c r="E908" s="10" t="n"/>
      <c r="F908" s="10" t="n"/>
      <c r="I908">
        <f>IF(A908="","",SUMIFS(Purchases[Quantity],Purchases[ProductID],A908))</f>
        <v/>
      </c>
      <c r="J908">
        <f>IF(A908="","",SUMIFS(Sales[Quantity],Sales[ProductID],A908))</f>
        <v/>
      </c>
      <c r="K908">
        <f>IF(A908="","",N(G908)+N(I908)-N(J908))</f>
        <v/>
      </c>
      <c r="L908" s="10">
        <f>IF(K908="","",K908*N(F908))</f>
        <v/>
      </c>
      <c r="M908">
        <f>IF(K908="","",IF(K908&lt;=N(H908),"LOW","OK"))</f>
        <v/>
      </c>
    </row>
    <row r="909">
      <c r="E909" s="10" t="n"/>
      <c r="F909" s="10" t="n"/>
      <c r="I909">
        <f>IF(A909="","",SUMIFS(Purchases[Quantity],Purchases[ProductID],A909))</f>
        <v/>
      </c>
      <c r="J909">
        <f>IF(A909="","",SUMIFS(Sales[Quantity],Sales[ProductID],A909))</f>
        <v/>
      </c>
      <c r="K909">
        <f>IF(A909="","",N(G909)+N(I909)-N(J909))</f>
        <v/>
      </c>
      <c r="L909" s="10">
        <f>IF(K909="","",K909*N(F909))</f>
        <v/>
      </c>
      <c r="M909">
        <f>IF(K909="","",IF(K909&lt;=N(H909),"LOW","OK"))</f>
        <v/>
      </c>
    </row>
    <row r="910">
      <c r="E910" s="10" t="n"/>
      <c r="F910" s="10" t="n"/>
      <c r="I910">
        <f>IF(A910="","",SUMIFS(Purchases[Quantity],Purchases[ProductID],A910))</f>
        <v/>
      </c>
      <c r="J910">
        <f>IF(A910="","",SUMIFS(Sales[Quantity],Sales[ProductID],A910))</f>
        <v/>
      </c>
      <c r="K910">
        <f>IF(A910="","",N(G910)+N(I910)-N(J910))</f>
        <v/>
      </c>
      <c r="L910" s="10">
        <f>IF(K910="","",K910*N(F910))</f>
        <v/>
      </c>
      <c r="M910">
        <f>IF(K910="","",IF(K910&lt;=N(H910),"LOW","OK"))</f>
        <v/>
      </c>
    </row>
    <row r="911">
      <c r="E911" s="10" t="n"/>
      <c r="F911" s="10" t="n"/>
      <c r="I911">
        <f>IF(A911="","",SUMIFS(Purchases[Quantity],Purchases[ProductID],A911))</f>
        <v/>
      </c>
      <c r="J911">
        <f>IF(A911="","",SUMIFS(Sales[Quantity],Sales[ProductID],A911))</f>
        <v/>
      </c>
      <c r="K911">
        <f>IF(A911="","",N(G911)+N(I911)-N(J911))</f>
        <v/>
      </c>
      <c r="L911" s="10">
        <f>IF(K911="","",K911*N(F911))</f>
        <v/>
      </c>
      <c r="M911">
        <f>IF(K911="","",IF(K911&lt;=N(H911),"LOW","OK"))</f>
        <v/>
      </c>
    </row>
    <row r="912">
      <c r="E912" s="10" t="n"/>
      <c r="F912" s="10" t="n"/>
      <c r="I912">
        <f>IF(A912="","",SUMIFS(Purchases[Quantity],Purchases[ProductID],A912))</f>
        <v/>
      </c>
      <c r="J912">
        <f>IF(A912="","",SUMIFS(Sales[Quantity],Sales[ProductID],A912))</f>
        <v/>
      </c>
      <c r="K912">
        <f>IF(A912="","",N(G912)+N(I912)-N(J912))</f>
        <v/>
      </c>
      <c r="L912" s="10">
        <f>IF(K912="","",K912*N(F912))</f>
        <v/>
      </c>
      <c r="M912">
        <f>IF(K912="","",IF(K912&lt;=N(H912),"LOW","OK"))</f>
        <v/>
      </c>
    </row>
    <row r="913">
      <c r="E913" s="10" t="n"/>
      <c r="F913" s="10" t="n"/>
      <c r="I913">
        <f>IF(A913="","",SUMIFS(Purchases[Quantity],Purchases[ProductID],A913))</f>
        <v/>
      </c>
      <c r="J913">
        <f>IF(A913="","",SUMIFS(Sales[Quantity],Sales[ProductID],A913))</f>
        <v/>
      </c>
      <c r="K913">
        <f>IF(A913="","",N(G913)+N(I913)-N(J913))</f>
        <v/>
      </c>
      <c r="L913" s="10">
        <f>IF(K913="","",K913*N(F913))</f>
        <v/>
      </c>
      <c r="M913">
        <f>IF(K913="","",IF(K913&lt;=N(H913),"LOW","OK"))</f>
        <v/>
      </c>
    </row>
    <row r="914">
      <c r="E914" s="10" t="n"/>
      <c r="F914" s="10" t="n"/>
      <c r="I914">
        <f>IF(A914="","",SUMIFS(Purchases[Quantity],Purchases[ProductID],A914))</f>
        <v/>
      </c>
      <c r="J914">
        <f>IF(A914="","",SUMIFS(Sales[Quantity],Sales[ProductID],A914))</f>
        <v/>
      </c>
      <c r="K914">
        <f>IF(A914="","",N(G914)+N(I914)-N(J914))</f>
        <v/>
      </c>
      <c r="L914" s="10">
        <f>IF(K914="","",K914*N(F914))</f>
        <v/>
      </c>
      <c r="M914">
        <f>IF(K914="","",IF(K914&lt;=N(H914),"LOW","OK"))</f>
        <v/>
      </c>
    </row>
    <row r="915">
      <c r="E915" s="10" t="n"/>
      <c r="F915" s="10" t="n"/>
      <c r="I915">
        <f>IF(A915="","",SUMIFS(Purchases[Quantity],Purchases[ProductID],A915))</f>
        <v/>
      </c>
      <c r="J915">
        <f>IF(A915="","",SUMIFS(Sales[Quantity],Sales[ProductID],A915))</f>
        <v/>
      </c>
      <c r="K915">
        <f>IF(A915="","",N(G915)+N(I915)-N(J915))</f>
        <v/>
      </c>
      <c r="L915" s="10">
        <f>IF(K915="","",K915*N(F915))</f>
        <v/>
      </c>
      <c r="M915">
        <f>IF(K915="","",IF(K915&lt;=N(H915),"LOW","OK"))</f>
        <v/>
      </c>
    </row>
    <row r="916">
      <c r="E916" s="10" t="n"/>
      <c r="F916" s="10" t="n"/>
      <c r="I916">
        <f>IF(A916="","",SUMIFS(Purchases[Quantity],Purchases[ProductID],A916))</f>
        <v/>
      </c>
      <c r="J916">
        <f>IF(A916="","",SUMIFS(Sales[Quantity],Sales[ProductID],A916))</f>
        <v/>
      </c>
      <c r="K916">
        <f>IF(A916="","",N(G916)+N(I916)-N(J916))</f>
        <v/>
      </c>
      <c r="L916" s="10">
        <f>IF(K916="","",K916*N(F916))</f>
        <v/>
      </c>
      <c r="M916">
        <f>IF(K916="","",IF(K916&lt;=N(H916),"LOW","OK"))</f>
        <v/>
      </c>
    </row>
    <row r="917">
      <c r="E917" s="10" t="n"/>
      <c r="F917" s="10" t="n"/>
      <c r="I917">
        <f>IF(A917="","",SUMIFS(Purchases[Quantity],Purchases[ProductID],A917))</f>
        <v/>
      </c>
      <c r="J917">
        <f>IF(A917="","",SUMIFS(Sales[Quantity],Sales[ProductID],A917))</f>
        <v/>
      </c>
      <c r="K917">
        <f>IF(A917="","",N(G917)+N(I917)-N(J917))</f>
        <v/>
      </c>
      <c r="L917" s="10">
        <f>IF(K917="","",K917*N(F917))</f>
        <v/>
      </c>
      <c r="M917">
        <f>IF(K917="","",IF(K917&lt;=N(H917),"LOW","OK"))</f>
        <v/>
      </c>
    </row>
    <row r="918">
      <c r="E918" s="10" t="n"/>
      <c r="F918" s="10" t="n"/>
      <c r="I918">
        <f>IF(A918="","",SUMIFS(Purchases[Quantity],Purchases[ProductID],A918))</f>
        <v/>
      </c>
      <c r="J918">
        <f>IF(A918="","",SUMIFS(Sales[Quantity],Sales[ProductID],A918))</f>
        <v/>
      </c>
      <c r="K918">
        <f>IF(A918="","",N(G918)+N(I918)-N(J918))</f>
        <v/>
      </c>
      <c r="L918" s="10">
        <f>IF(K918="","",K918*N(F918))</f>
        <v/>
      </c>
      <c r="M918">
        <f>IF(K918="","",IF(K918&lt;=N(H918),"LOW","OK"))</f>
        <v/>
      </c>
    </row>
    <row r="919">
      <c r="E919" s="10" t="n"/>
      <c r="F919" s="10" t="n"/>
      <c r="I919">
        <f>IF(A919="","",SUMIFS(Purchases[Quantity],Purchases[ProductID],A919))</f>
        <v/>
      </c>
      <c r="J919">
        <f>IF(A919="","",SUMIFS(Sales[Quantity],Sales[ProductID],A919))</f>
        <v/>
      </c>
      <c r="K919">
        <f>IF(A919="","",N(G919)+N(I919)-N(J919))</f>
        <v/>
      </c>
      <c r="L919" s="10">
        <f>IF(K919="","",K919*N(F919))</f>
        <v/>
      </c>
      <c r="M919">
        <f>IF(K919="","",IF(K919&lt;=N(H919),"LOW","OK"))</f>
        <v/>
      </c>
    </row>
    <row r="920">
      <c r="E920" s="10" t="n"/>
      <c r="F920" s="10" t="n"/>
      <c r="I920">
        <f>IF(A920="","",SUMIFS(Purchases[Quantity],Purchases[ProductID],A920))</f>
        <v/>
      </c>
      <c r="J920">
        <f>IF(A920="","",SUMIFS(Sales[Quantity],Sales[ProductID],A920))</f>
        <v/>
      </c>
      <c r="K920">
        <f>IF(A920="","",N(G920)+N(I920)-N(J920))</f>
        <v/>
      </c>
      <c r="L920" s="10">
        <f>IF(K920="","",K920*N(F920))</f>
        <v/>
      </c>
      <c r="M920">
        <f>IF(K920="","",IF(K920&lt;=N(H920),"LOW","OK"))</f>
        <v/>
      </c>
    </row>
    <row r="921">
      <c r="E921" s="10" t="n"/>
      <c r="F921" s="10" t="n"/>
      <c r="I921">
        <f>IF(A921="","",SUMIFS(Purchases[Quantity],Purchases[ProductID],A921))</f>
        <v/>
      </c>
      <c r="J921">
        <f>IF(A921="","",SUMIFS(Sales[Quantity],Sales[ProductID],A921))</f>
        <v/>
      </c>
      <c r="K921">
        <f>IF(A921="","",N(G921)+N(I921)-N(J921))</f>
        <v/>
      </c>
      <c r="L921" s="10">
        <f>IF(K921="","",K921*N(F921))</f>
        <v/>
      </c>
      <c r="M921">
        <f>IF(K921="","",IF(K921&lt;=N(H921),"LOW","OK"))</f>
        <v/>
      </c>
    </row>
    <row r="922">
      <c r="E922" s="10" t="n"/>
      <c r="F922" s="10" t="n"/>
      <c r="I922">
        <f>IF(A922="","",SUMIFS(Purchases[Quantity],Purchases[ProductID],A922))</f>
        <v/>
      </c>
      <c r="J922">
        <f>IF(A922="","",SUMIFS(Sales[Quantity],Sales[ProductID],A922))</f>
        <v/>
      </c>
      <c r="K922">
        <f>IF(A922="","",N(G922)+N(I922)-N(J922))</f>
        <v/>
      </c>
      <c r="L922" s="10">
        <f>IF(K922="","",K922*N(F922))</f>
        <v/>
      </c>
      <c r="M922">
        <f>IF(K922="","",IF(K922&lt;=N(H922),"LOW","OK"))</f>
        <v/>
      </c>
    </row>
    <row r="923">
      <c r="E923" s="10" t="n"/>
      <c r="F923" s="10" t="n"/>
      <c r="I923">
        <f>IF(A923="","",SUMIFS(Purchases[Quantity],Purchases[ProductID],A923))</f>
        <v/>
      </c>
      <c r="J923">
        <f>IF(A923="","",SUMIFS(Sales[Quantity],Sales[ProductID],A923))</f>
        <v/>
      </c>
      <c r="K923">
        <f>IF(A923="","",N(G923)+N(I923)-N(J923))</f>
        <v/>
      </c>
      <c r="L923" s="10">
        <f>IF(K923="","",K923*N(F923))</f>
        <v/>
      </c>
      <c r="M923">
        <f>IF(K923="","",IF(K923&lt;=N(H923),"LOW","OK"))</f>
        <v/>
      </c>
    </row>
    <row r="924">
      <c r="E924" s="10" t="n"/>
      <c r="F924" s="10" t="n"/>
      <c r="I924">
        <f>IF(A924="","",SUMIFS(Purchases[Quantity],Purchases[ProductID],A924))</f>
        <v/>
      </c>
      <c r="J924">
        <f>IF(A924="","",SUMIFS(Sales[Quantity],Sales[ProductID],A924))</f>
        <v/>
      </c>
      <c r="K924">
        <f>IF(A924="","",N(G924)+N(I924)-N(J924))</f>
        <v/>
      </c>
      <c r="L924" s="10">
        <f>IF(K924="","",K924*N(F924))</f>
        <v/>
      </c>
      <c r="M924">
        <f>IF(K924="","",IF(K924&lt;=N(H924),"LOW","OK"))</f>
        <v/>
      </c>
    </row>
    <row r="925">
      <c r="E925" s="10" t="n"/>
      <c r="F925" s="10" t="n"/>
      <c r="I925">
        <f>IF(A925="","",SUMIFS(Purchases[Quantity],Purchases[ProductID],A925))</f>
        <v/>
      </c>
      <c r="J925">
        <f>IF(A925="","",SUMIFS(Sales[Quantity],Sales[ProductID],A925))</f>
        <v/>
      </c>
      <c r="K925">
        <f>IF(A925="","",N(G925)+N(I925)-N(J925))</f>
        <v/>
      </c>
      <c r="L925" s="10">
        <f>IF(K925="","",K925*N(F925))</f>
        <v/>
      </c>
      <c r="M925">
        <f>IF(K925="","",IF(K925&lt;=N(H925),"LOW","OK"))</f>
        <v/>
      </c>
    </row>
    <row r="926">
      <c r="E926" s="10" t="n"/>
      <c r="F926" s="10" t="n"/>
      <c r="I926">
        <f>IF(A926="","",SUMIFS(Purchases[Quantity],Purchases[ProductID],A926))</f>
        <v/>
      </c>
      <c r="J926">
        <f>IF(A926="","",SUMIFS(Sales[Quantity],Sales[ProductID],A926))</f>
        <v/>
      </c>
      <c r="K926">
        <f>IF(A926="","",N(G926)+N(I926)-N(J926))</f>
        <v/>
      </c>
      <c r="L926" s="10">
        <f>IF(K926="","",K926*N(F926))</f>
        <v/>
      </c>
      <c r="M926">
        <f>IF(K926="","",IF(K926&lt;=N(H926),"LOW","OK"))</f>
        <v/>
      </c>
    </row>
    <row r="927">
      <c r="E927" s="10" t="n"/>
      <c r="F927" s="10" t="n"/>
      <c r="I927">
        <f>IF(A927="","",SUMIFS(Purchases[Quantity],Purchases[ProductID],A927))</f>
        <v/>
      </c>
      <c r="J927">
        <f>IF(A927="","",SUMIFS(Sales[Quantity],Sales[ProductID],A927))</f>
        <v/>
      </c>
      <c r="K927">
        <f>IF(A927="","",N(G927)+N(I927)-N(J927))</f>
        <v/>
      </c>
      <c r="L927" s="10">
        <f>IF(K927="","",K927*N(F927))</f>
        <v/>
      </c>
      <c r="M927">
        <f>IF(K927="","",IF(K927&lt;=N(H927),"LOW","OK"))</f>
        <v/>
      </c>
    </row>
    <row r="928">
      <c r="E928" s="10" t="n"/>
      <c r="F928" s="10" t="n"/>
      <c r="I928">
        <f>IF(A928="","",SUMIFS(Purchases[Quantity],Purchases[ProductID],A928))</f>
        <v/>
      </c>
      <c r="J928">
        <f>IF(A928="","",SUMIFS(Sales[Quantity],Sales[ProductID],A928))</f>
        <v/>
      </c>
      <c r="K928">
        <f>IF(A928="","",N(G928)+N(I928)-N(J928))</f>
        <v/>
      </c>
      <c r="L928" s="10">
        <f>IF(K928="","",K928*N(F928))</f>
        <v/>
      </c>
      <c r="M928">
        <f>IF(K928="","",IF(K928&lt;=N(H928),"LOW","OK"))</f>
        <v/>
      </c>
    </row>
    <row r="929">
      <c r="E929" s="10" t="n"/>
      <c r="F929" s="10" t="n"/>
      <c r="I929">
        <f>IF(A929="","",SUMIFS(Purchases[Quantity],Purchases[ProductID],A929))</f>
        <v/>
      </c>
      <c r="J929">
        <f>IF(A929="","",SUMIFS(Sales[Quantity],Sales[ProductID],A929))</f>
        <v/>
      </c>
      <c r="K929">
        <f>IF(A929="","",N(G929)+N(I929)-N(J929))</f>
        <v/>
      </c>
      <c r="L929" s="10">
        <f>IF(K929="","",K929*N(F929))</f>
        <v/>
      </c>
      <c r="M929">
        <f>IF(K929="","",IF(K929&lt;=N(H929),"LOW","OK"))</f>
        <v/>
      </c>
    </row>
    <row r="930">
      <c r="E930" s="10" t="n"/>
      <c r="F930" s="10" t="n"/>
      <c r="I930">
        <f>IF(A930="","",SUMIFS(Purchases[Quantity],Purchases[ProductID],A930))</f>
        <v/>
      </c>
      <c r="J930">
        <f>IF(A930="","",SUMIFS(Sales[Quantity],Sales[ProductID],A930))</f>
        <v/>
      </c>
      <c r="K930">
        <f>IF(A930="","",N(G930)+N(I930)-N(J930))</f>
        <v/>
      </c>
      <c r="L930" s="10">
        <f>IF(K930="","",K930*N(F930))</f>
        <v/>
      </c>
      <c r="M930">
        <f>IF(K930="","",IF(K930&lt;=N(H930),"LOW","OK"))</f>
        <v/>
      </c>
    </row>
    <row r="931">
      <c r="E931" s="10" t="n"/>
      <c r="F931" s="10" t="n"/>
      <c r="I931">
        <f>IF(A931="","",SUMIFS(Purchases[Quantity],Purchases[ProductID],A931))</f>
        <v/>
      </c>
      <c r="J931">
        <f>IF(A931="","",SUMIFS(Sales[Quantity],Sales[ProductID],A931))</f>
        <v/>
      </c>
      <c r="K931">
        <f>IF(A931="","",N(G931)+N(I931)-N(J931))</f>
        <v/>
      </c>
      <c r="L931" s="10">
        <f>IF(K931="","",K931*N(F931))</f>
        <v/>
      </c>
      <c r="M931">
        <f>IF(K931="","",IF(K931&lt;=N(H931),"LOW","OK"))</f>
        <v/>
      </c>
    </row>
    <row r="932">
      <c r="E932" s="10" t="n"/>
      <c r="F932" s="10" t="n"/>
      <c r="I932">
        <f>IF(A932="","",SUMIFS(Purchases[Quantity],Purchases[ProductID],A932))</f>
        <v/>
      </c>
      <c r="J932">
        <f>IF(A932="","",SUMIFS(Sales[Quantity],Sales[ProductID],A932))</f>
        <v/>
      </c>
      <c r="K932">
        <f>IF(A932="","",N(G932)+N(I932)-N(J932))</f>
        <v/>
      </c>
      <c r="L932" s="10">
        <f>IF(K932="","",K932*N(F932))</f>
        <v/>
      </c>
      <c r="M932">
        <f>IF(K932="","",IF(K932&lt;=N(H932),"LOW","OK"))</f>
        <v/>
      </c>
    </row>
    <row r="933">
      <c r="E933" s="10" t="n"/>
      <c r="F933" s="10" t="n"/>
      <c r="I933">
        <f>IF(A933="","",SUMIFS(Purchases[Quantity],Purchases[ProductID],A933))</f>
        <v/>
      </c>
      <c r="J933">
        <f>IF(A933="","",SUMIFS(Sales[Quantity],Sales[ProductID],A933))</f>
        <v/>
      </c>
      <c r="K933">
        <f>IF(A933="","",N(G933)+N(I933)-N(J933))</f>
        <v/>
      </c>
      <c r="L933" s="10">
        <f>IF(K933="","",K933*N(F933))</f>
        <v/>
      </c>
      <c r="M933">
        <f>IF(K933="","",IF(K933&lt;=N(H933),"LOW","OK"))</f>
        <v/>
      </c>
    </row>
    <row r="934">
      <c r="E934" s="10" t="n"/>
      <c r="F934" s="10" t="n"/>
      <c r="I934">
        <f>IF(A934="","",SUMIFS(Purchases[Quantity],Purchases[ProductID],A934))</f>
        <v/>
      </c>
      <c r="J934">
        <f>IF(A934="","",SUMIFS(Sales[Quantity],Sales[ProductID],A934))</f>
        <v/>
      </c>
      <c r="K934">
        <f>IF(A934="","",N(G934)+N(I934)-N(J934))</f>
        <v/>
      </c>
      <c r="L934" s="10">
        <f>IF(K934="","",K934*N(F934))</f>
        <v/>
      </c>
      <c r="M934">
        <f>IF(K934="","",IF(K934&lt;=N(H934),"LOW","OK"))</f>
        <v/>
      </c>
    </row>
    <row r="935">
      <c r="E935" s="10" t="n"/>
      <c r="F935" s="10" t="n"/>
      <c r="I935">
        <f>IF(A935="","",SUMIFS(Purchases[Quantity],Purchases[ProductID],A935))</f>
        <v/>
      </c>
      <c r="J935">
        <f>IF(A935="","",SUMIFS(Sales[Quantity],Sales[ProductID],A935))</f>
        <v/>
      </c>
      <c r="K935">
        <f>IF(A935="","",N(G935)+N(I935)-N(J935))</f>
        <v/>
      </c>
      <c r="L935" s="10">
        <f>IF(K935="","",K935*N(F935))</f>
        <v/>
      </c>
      <c r="M935">
        <f>IF(K935="","",IF(K935&lt;=N(H935),"LOW","OK"))</f>
        <v/>
      </c>
    </row>
    <row r="936">
      <c r="E936" s="10" t="n"/>
      <c r="F936" s="10" t="n"/>
      <c r="I936">
        <f>IF(A936="","",SUMIFS(Purchases[Quantity],Purchases[ProductID],A936))</f>
        <v/>
      </c>
      <c r="J936">
        <f>IF(A936="","",SUMIFS(Sales[Quantity],Sales[ProductID],A936))</f>
        <v/>
      </c>
      <c r="K936">
        <f>IF(A936="","",N(G936)+N(I936)-N(J936))</f>
        <v/>
      </c>
      <c r="L936" s="10">
        <f>IF(K936="","",K936*N(F936))</f>
        <v/>
      </c>
      <c r="M936">
        <f>IF(K936="","",IF(K936&lt;=N(H936),"LOW","OK"))</f>
        <v/>
      </c>
    </row>
    <row r="937">
      <c r="E937" s="10" t="n"/>
      <c r="F937" s="10" t="n"/>
      <c r="I937">
        <f>IF(A937="","",SUMIFS(Purchases[Quantity],Purchases[ProductID],A937))</f>
        <v/>
      </c>
      <c r="J937">
        <f>IF(A937="","",SUMIFS(Sales[Quantity],Sales[ProductID],A937))</f>
        <v/>
      </c>
      <c r="K937">
        <f>IF(A937="","",N(G937)+N(I937)-N(J937))</f>
        <v/>
      </c>
      <c r="L937" s="10">
        <f>IF(K937="","",K937*N(F937))</f>
        <v/>
      </c>
      <c r="M937">
        <f>IF(K937="","",IF(K937&lt;=N(H937),"LOW","OK"))</f>
        <v/>
      </c>
    </row>
    <row r="938">
      <c r="E938" s="10" t="n"/>
      <c r="F938" s="10" t="n"/>
      <c r="I938">
        <f>IF(A938="","",SUMIFS(Purchases[Quantity],Purchases[ProductID],A938))</f>
        <v/>
      </c>
      <c r="J938">
        <f>IF(A938="","",SUMIFS(Sales[Quantity],Sales[ProductID],A938))</f>
        <v/>
      </c>
      <c r="K938">
        <f>IF(A938="","",N(G938)+N(I938)-N(J938))</f>
        <v/>
      </c>
      <c r="L938" s="10">
        <f>IF(K938="","",K938*N(F938))</f>
        <v/>
      </c>
      <c r="M938">
        <f>IF(K938="","",IF(K938&lt;=N(H938),"LOW","OK"))</f>
        <v/>
      </c>
    </row>
    <row r="939">
      <c r="E939" s="10" t="n"/>
      <c r="F939" s="10" t="n"/>
      <c r="I939">
        <f>IF(A939="","",SUMIFS(Purchases[Quantity],Purchases[ProductID],A939))</f>
        <v/>
      </c>
      <c r="J939">
        <f>IF(A939="","",SUMIFS(Sales[Quantity],Sales[ProductID],A939))</f>
        <v/>
      </c>
      <c r="K939">
        <f>IF(A939="","",N(G939)+N(I939)-N(J939))</f>
        <v/>
      </c>
      <c r="L939" s="10">
        <f>IF(K939="","",K939*N(F939))</f>
        <v/>
      </c>
      <c r="M939">
        <f>IF(K939="","",IF(K939&lt;=N(H939),"LOW","OK"))</f>
        <v/>
      </c>
    </row>
    <row r="940">
      <c r="E940" s="10" t="n"/>
      <c r="F940" s="10" t="n"/>
      <c r="I940">
        <f>IF(A940="","",SUMIFS(Purchases[Quantity],Purchases[ProductID],A940))</f>
        <v/>
      </c>
      <c r="J940">
        <f>IF(A940="","",SUMIFS(Sales[Quantity],Sales[ProductID],A940))</f>
        <v/>
      </c>
      <c r="K940">
        <f>IF(A940="","",N(G940)+N(I940)-N(J940))</f>
        <v/>
      </c>
      <c r="L940" s="10">
        <f>IF(K940="","",K940*N(F940))</f>
        <v/>
      </c>
      <c r="M940">
        <f>IF(K940="","",IF(K940&lt;=N(H940),"LOW","OK"))</f>
        <v/>
      </c>
    </row>
    <row r="941">
      <c r="E941" s="10" t="n"/>
      <c r="F941" s="10" t="n"/>
      <c r="I941">
        <f>IF(A941="","",SUMIFS(Purchases[Quantity],Purchases[ProductID],A941))</f>
        <v/>
      </c>
      <c r="J941">
        <f>IF(A941="","",SUMIFS(Sales[Quantity],Sales[ProductID],A941))</f>
        <v/>
      </c>
      <c r="K941">
        <f>IF(A941="","",N(G941)+N(I941)-N(J941))</f>
        <v/>
      </c>
      <c r="L941" s="10">
        <f>IF(K941="","",K941*N(F941))</f>
        <v/>
      </c>
      <c r="M941">
        <f>IF(K941="","",IF(K941&lt;=N(H941),"LOW","OK"))</f>
        <v/>
      </c>
    </row>
    <row r="942">
      <c r="E942" s="10" t="n"/>
      <c r="F942" s="10" t="n"/>
      <c r="I942">
        <f>IF(A942="","",SUMIFS(Purchases[Quantity],Purchases[ProductID],A942))</f>
        <v/>
      </c>
      <c r="J942">
        <f>IF(A942="","",SUMIFS(Sales[Quantity],Sales[ProductID],A942))</f>
        <v/>
      </c>
      <c r="K942">
        <f>IF(A942="","",N(G942)+N(I942)-N(J942))</f>
        <v/>
      </c>
      <c r="L942" s="10">
        <f>IF(K942="","",K942*N(F942))</f>
        <v/>
      </c>
      <c r="M942">
        <f>IF(K942="","",IF(K942&lt;=N(H942),"LOW","OK"))</f>
        <v/>
      </c>
    </row>
    <row r="943">
      <c r="E943" s="10" t="n"/>
      <c r="F943" s="10" t="n"/>
      <c r="I943">
        <f>IF(A943="","",SUMIFS(Purchases[Quantity],Purchases[ProductID],A943))</f>
        <v/>
      </c>
      <c r="J943">
        <f>IF(A943="","",SUMIFS(Sales[Quantity],Sales[ProductID],A943))</f>
        <v/>
      </c>
      <c r="K943">
        <f>IF(A943="","",N(G943)+N(I943)-N(J943))</f>
        <v/>
      </c>
      <c r="L943" s="10">
        <f>IF(K943="","",K943*N(F943))</f>
        <v/>
      </c>
      <c r="M943">
        <f>IF(K943="","",IF(K943&lt;=N(H943),"LOW","OK"))</f>
        <v/>
      </c>
    </row>
    <row r="944">
      <c r="E944" s="10" t="n"/>
      <c r="F944" s="10" t="n"/>
      <c r="I944">
        <f>IF(A944="","",SUMIFS(Purchases[Quantity],Purchases[ProductID],A944))</f>
        <v/>
      </c>
      <c r="J944">
        <f>IF(A944="","",SUMIFS(Sales[Quantity],Sales[ProductID],A944))</f>
        <v/>
      </c>
      <c r="K944">
        <f>IF(A944="","",N(G944)+N(I944)-N(J944))</f>
        <v/>
      </c>
      <c r="L944" s="10">
        <f>IF(K944="","",K944*N(F944))</f>
        <v/>
      </c>
      <c r="M944">
        <f>IF(K944="","",IF(K944&lt;=N(H944),"LOW","OK"))</f>
        <v/>
      </c>
    </row>
    <row r="945">
      <c r="E945" s="10" t="n"/>
      <c r="F945" s="10" t="n"/>
      <c r="I945">
        <f>IF(A945="","",SUMIFS(Purchases[Quantity],Purchases[ProductID],A945))</f>
        <v/>
      </c>
      <c r="J945">
        <f>IF(A945="","",SUMIFS(Sales[Quantity],Sales[ProductID],A945))</f>
        <v/>
      </c>
      <c r="K945">
        <f>IF(A945="","",N(G945)+N(I945)-N(J945))</f>
        <v/>
      </c>
      <c r="L945" s="10">
        <f>IF(K945="","",K945*N(F945))</f>
        <v/>
      </c>
      <c r="M945">
        <f>IF(K945="","",IF(K945&lt;=N(H945),"LOW","OK"))</f>
        <v/>
      </c>
    </row>
    <row r="946">
      <c r="E946" s="10" t="n"/>
      <c r="F946" s="10" t="n"/>
      <c r="I946">
        <f>IF(A946="","",SUMIFS(Purchases[Quantity],Purchases[ProductID],A946))</f>
        <v/>
      </c>
      <c r="J946">
        <f>IF(A946="","",SUMIFS(Sales[Quantity],Sales[ProductID],A946))</f>
        <v/>
      </c>
      <c r="K946">
        <f>IF(A946="","",N(G946)+N(I946)-N(J946))</f>
        <v/>
      </c>
      <c r="L946" s="10">
        <f>IF(K946="","",K946*N(F946))</f>
        <v/>
      </c>
      <c r="M946">
        <f>IF(K946="","",IF(K946&lt;=N(H946),"LOW","OK"))</f>
        <v/>
      </c>
    </row>
    <row r="947">
      <c r="E947" s="10" t="n"/>
      <c r="F947" s="10" t="n"/>
      <c r="I947">
        <f>IF(A947="","",SUMIFS(Purchases[Quantity],Purchases[ProductID],A947))</f>
        <v/>
      </c>
      <c r="J947">
        <f>IF(A947="","",SUMIFS(Sales[Quantity],Sales[ProductID],A947))</f>
        <v/>
      </c>
      <c r="K947">
        <f>IF(A947="","",N(G947)+N(I947)-N(J947))</f>
        <v/>
      </c>
      <c r="L947" s="10">
        <f>IF(K947="","",K947*N(F947))</f>
        <v/>
      </c>
      <c r="M947">
        <f>IF(K947="","",IF(K947&lt;=N(H947),"LOW","OK"))</f>
        <v/>
      </c>
    </row>
    <row r="948">
      <c r="E948" s="10" t="n"/>
      <c r="F948" s="10" t="n"/>
      <c r="I948">
        <f>IF(A948="","",SUMIFS(Purchases[Quantity],Purchases[ProductID],A948))</f>
        <v/>
      </c>
      <c r="J948">
        <f>IF(A948="","",SUMIFS(Sales[Quantity],Sales[ProductID],A948))</f>
        <v/>
      </c>
      <c r="K948">
        <f>IF(A948="","",N(G948)+N(I948)-N(J948))</f>
        <v/>
      </c>
      <c r="L948" s="10">
        <f>IF(K948="","",K948*N(F948))</f>
        <v/>
      </c>
      <c r="M948">
        <f>IF(K948="","",IF(K948&lt;=N(H948),"LOW","OK"))</f>
        <v/>
      </c>
    </row>
    <row r="949">
      <c r="E949" s="10" t="n"/>
      <c r="F949" s="10" t="n"/>
      <c r="I949">
        <f>IF(A949="","",SUMIFS(Purchases[Quantity],Purchases[ProductID],A949))</f>
        <v/>
      </c>
      <c r="J949">
        <f>IF(A949="","",SUMIFS(Sales[Quantity],Sales[ProductID],A949))</f>
        <v/>
      </c>
      <c r="K949">
        <f>IF(A949="","",N(G949)+N(I949)-N(J949))</f>
        <v/>
      </c>
      <c r="L949" s="10">
        <f>IF(K949="","",K949*N(F949))</f>
        <v/>
      </c>
      <c r="M949">
        <f>IF(K949="","",IF(K949&lt;=N(H949),"LOW","OK"))</f>
        <v/>
      </c>
    </row>
    <row r="950">
      <c r="E950" s="10" t="n"/>
      <c r="F950" s="10" t="n"/>
      <c r="I950">
        <f>IF(A950="","",SUMIFS(Purchases[Quantity],Purchases[ProductID],A950))</f>
        <v/>
      </c>
      <c r="J950">
        <f>IF(A950="","",SUMIFS(Sales[Quantity],Sales[ProductID],A950))</f>
        <v/>
      </c>
      <c r="K950">
        <f>IF(A950="","",N(G950)+N(I950)-N(J950))</f>
        <v/>
      </c>
      <c r="L950" s="10">
        <f>IF(K950="","",K950*N(F950))</f>
        <v/>
      </c>
      <c r="M950">
        <f>IF(K950="","",IF(K950&lt;=N(H950),"LOW","OK"))</f>
        <v/>
      </c>
    </row>
    <row r="951">
      <c r="E951" s="10" t="n"/>
      <c r="F951" s="10" t="n"/>
      <c r="I951">
        <f>IF(A951="","",SUMIFS(Purchases[Quantity],Purchases[ProductID],A951))</f>
        <v/>
      </c>
      <c r="J951">
        <f>IF(A951="","",SUMIFS(Sales[Quantity],Sales[ProductID],A951))</f>
        <v/>
      </c>
      <c r="K951">
        <f>IF(A951="","",N(G951)+N(I951)-N(J951))</f>
        <v/>
      </c>
      <c r="L951" s="10">
        <f>IF(K951="","",K951*N(F951))</f>
        <v/>
      </c>
      <c r="M951">
        <f>IF(K951="","",IF(K951&lt;=N(H951),"LOW","OK"))</f>
        <v/>
      </c>
    </row>
    <row r="952">
      <c r="E952" s="10" t="n"/>
      <c r="F952" s="10" t="n"/>
      <c r="I952">
        <f>IF(A952="","",SUMIFS(Purchases[Quantity],Purchases[ProductID],A952))</f>
        <v/>
      </c>
      <c r="J952">
        <f>IF(A952="","",SUMIFS(Sales[Quantity],Sales[ProductID],A952))</f>
        <v/>
      </c>
      <c r="K952">
        <f>IF(A952="","",N(G952)+N(I952)-N(J952))</f>
        <v/>
      </c>
      <c r="L952" s="10">
        <f>IF(K952="","",K952*N(F952))</f>
        <v/>
      </c>
      <c r="M952">
        <f>IF(K952="","",IF(K952&lt;=N(H952),"LOW","OK"))</f>
        <v/>
      </c>
    </row>
    <row r="953">
      <c r="E953" s="10" t="n"/>
      <c r="F953" s="10" t="n"/>
      <c r="I953">
        <f>IF(A953="","",SUMIFS(Purchases[Quantity],Purchases[ProductID],A953))</f>
        <v/>
      </c>
      <c r="J953">
        <f>IF(A953="","",SUMIFS(Sales[Quantity],Sales[ProductID],A953))</f>
        <v/>
      </c>
      <c r="K953">
        <f>IF(A953="","",N(G953)+N(I953)-N(J953))</f>
        <v/>
      </c>
      <c r="L953" s="10">
        <f>IF(K953="","",K953*N(F953))</f>
        <v/>
      </c>
      <c r="M953">
        <f>IF(K953="","",IF(K953&lt;=N(H953),"LOW","OK"))</f>
        <v/>
      </c>
    </row>
    <row r="954">
      <c r="E954" s="10" t="n"/>
      <c r="F954" s="10" t="n"/>
      <c r="I954">
        <f>IF(A954="","",SUMIFS(Purchases[Quantity],Purchases[ProductID],A954))</f>
        <v/>
      </c>
      <c r="J954">
        <f>IF(A954="","",SUMIFS(Sales[Quantity],Sales[ProductID],A954))</f>
        <v/>
      </c>
      <c r="K954">
        <f>IF(A954="","",N(G954)+N(I954)-N(J954))</f>
        <v/>
      </c>
      <c r="L954" s="10">
        <f>IF(K954="","",K954*N(F954))</f>
        <v/>
      </c>
      <c r="M954">
        <f>IF(K954="","",IF(K954&lt;=N(H954),"LOW","OK"))</f>
        <v/>
      </c>
    </row>
    <row r="955">
      <c r="E955" s="10" t="n"/>
      <c r="F955" s="10" t="n"/>
      <c r="I955">
        <f>IF(A955="","",SUMIFS(Purchases[Quantity],Purchases[ProductID],A955))</f>
        <v/>
      </c>
      <c r="J955">
        <f>IF(A955="","",SUMIFS(Sales[Quantity],Sales[ProductID],A955))</f>
        <v/>
      </c>
      <c r="K955">
        <f>IF(A955="","",N(G955)+N(I955)-N(J955))</f>
        <v/>
      </c>
      <c r="L955" s="10">
        <f>IF(K955="","",K955*N(F955))</f>
        <v/>
      </c>
      <c r="M955">
        <f>IF(K955="","",IF(K955&lt;=N(H955),"LOW","OK"))</f>
        <v/>
      </c>
    </row>
    <row r="956">
      <c r="E956" s="10" t="n"/>
      <c r="F956" s="10" t="n"/>
      <c r="I956">
        <f>IF(A956="","",SUMIFS(Purchases[Quantity],Purchases[ProductID],A956))</f>
        <v/>
      </c>
      <c r="J956">
        <f>IF(A956="","",SUMIFS(Sales[Quantity],Sales[ProductID],A956))</f>
        <v/>
      </c>
      <c r="K956">
        <f>IF(A956="","",N(G956)+N(I956)-N(J956))</f>
        <v/>
      </c>
      <c r="L956" s="10">
        <f>IF(K956="","",K956*N(F956))</f>
        <v/>
      </c>
      <c r="M956">
        <f>IF(K956="","",IF(K956&lt;=N(H956),"LOW","OK"))</f>
        <v/>
      </c>
    </row>
    <row r="957">
      <c r="E957" s="10" t="n"/>
      <c r="F957" s="10" t="n"/>
      <c r="I957">
        <f>IF(A957="","",SUMIFS(Purchases[Quantity],Purchases[ProductID],A957))</f>
        <v/>
      </c>
      <c r="J957">
        <f>IF(A957="","",SUMIFS(Sales[Quantity],Sales[ProductID],A957))</f>
        <v/>
      </c>
      <c r="K957">
        <f>IF(A957="","",N(G957)+N(I957)-N(J957))</f>
        <v/>
      </c>
      <c r="L957" s="10">
        <f>IF(K957="","",K957*N(F957))</f>
        <v/>
      </c>
      <c r="M957">
        <f>IF(K957="","",IF(K957&lt;=N(H957),"LOW","OK"))</f>
        <v/>
      </c>
    </row>
    <row r="958">
      <c r="E958" s="10" t="n"/>
      <c r="F958" s="10" t="n"/>
      <c r="I958">
        <f>IF(A958="","",SUMIFS(Purchases[Quantity],Purchases[ProductID],A958))</f>
        <v/>
      </c>
      <c r="J958">
        <f>IF(A958="","",SUMIFS(Sales[Quantity],Sales[ProductID],A958))</f>
        <v/>
      </c>
      <c r="K958">
        <f>IF(A958="","",N(G958)+N(I958)-N(J958))</f>
        <v/>
      </c>
      <c r="L958" s="10">
        <f>IF(K958="","",K958*N(F958))</f>
        <v/>
      </c>
      <c r="M958">
        <f>IF(K958="","",IF(K958&lt;=N(H958),"LOW","OK"))</f>
        <v/>
      </c>
    </row>
    <row r="959">
      <c r="E959" s="10" t="n"/>
      <c r="F959" s="10" t="n"/>
      <c r="I959">
        <f>IF(A959="","",SUMIFS(Purchases[Quantity],Purchases[ProductID],A959))</f>
        <v/>
      </c>
      <c r="J959">
        <f>IF(A959="","",SUMIFS(Sales[Quantity],Sales[ProductID],A959))</f>
        <v/>
      </c>
      <c r="K959">
        <f>IF(A959="","",N(G959)+N(I959)-N(J959))</f>
        <v/>
      </c>
      <c r="L959" s="10">
        <f>IF(K959="","",K959*N(F959))</f>
        <v/>
      </c>
      <c r="M959">
        <f>IF(K959="","",IF(K959&lt;=N(H959),"LOW","OK"))</f>
        <v/>
      </c>
    </row>
    <row r="960">
      <c r="E960" s="10" t="n"/>
      <c r="F960" s="10" t="n"/>
      <c r="I960">
        <f>IF(A960="","",SUMIFS(Purchases[Quantity],Purchases[ProductID],A960))</f>
        <v/>
      </c>
      <c r="J960">
        <f>IF(A960="","",SUMIFS(Sales[Quantity],Sales[ProductID],A960))</f>
        <v/>
      </c>
      <c r="K960">
        <f>IF(A960="","",N(G960)+N(I960)-N(J960))</f>
        <v/>
      </c>
      <c r="L960" s="10">
        <f>IF(K960="","",K960*N(F960))</f>
        <v/>
      </c>
      <c r="M960">
        <f>IF(K960="","",IF(K960&lt;=N(H960),"LOW","OK"))</f>
        <v/>
      </c>
    </row>
    <row r="961">
      <c r="E961" s="10" t="n"/>
      <c r="F961" s="10" t="n"/>
      <c r="I961">
        <f>IF(A961="","",SUMIFS(Purchases[Quantity],Purchases[ProductID],A961))</f>
        <v/>
      </c>
      <c r="J961">
        <f>IF(A961="","",SUMIFS(Sales[Quantity],Sales[ProductID],A961))</f>
        <v/>
      </c>
      <c r="K961">
        <f>IF(A961="","",N(G961)+N(I961)-N(J961))</f>
        <v/>
      </c>
      <c r="L961" s="10">
        <f>IF(K961="","",K961*N(F961))</f>
        <v/>
      </c>
      <c r="M961">
        <f>IF(K961="","",IF(K961&lt;=N(H961),"LOW","OK"))</f>
        <v/>
      </c>
    </row>
    <row r="962">
      <c r="E962" s="10" t="n"/>
      <c r="F962" s="10" t="n"/>
      <c r="I962">
        <f>IF(A962="","",SUMIFS(Purchases[Quantity],Purchases[ProductID],A962))</f>
        <v/>
      </c>
      <c r="J962">
        <f>IF(A962="","",SUMIFS(Sales[Quantity],Sales[ProductID],A962))</f>
        <v/>
      </c>
      <c r="K962">
        <f>IF(A962="","",N(G962)+N(I962)-N(J962))</f>
        <v/>
      </c>
      <c r="L962" s="10">
        <f>IF(K962="","",K962*N(F962))</f>
        <v/>
      </c>
      <c r="M962">
        <f>IF(K962="","",IF(K962&lt;=N(H962),"LOW","OK"))</f>
        <v/>
      </c>
    </row>
    <row r="963">
      <c r="E963" s="10" t="n"/>
      <c r="F963" s="10" t="n"/>
      <c r="I963">
        <f>IF(A963="","",SUMIFS(Purchases[Quantity],Purchases[ProductID],A963))</f>
        <v/>
      </c>
      <c r="J963">
        <f>IF(A963="","",SUMIFS(Sales[Quantity],Sales[ProductID],A963))</f>
        <v/>
      </c>
      <c r="K963">
        <f>IF(A963="","",N(G963)+N(I963)-N(J963))</f>
        <v/>
      </c>
      <c r="L963" s="10">
        <f>IF(K963="","",K963*N(F963))</f>
        <v/>
      </c>
      <c r="M963">
        <f>IF(K963="","",IF(K963&lt;=N(H963),"LOW","OK"))</f>
        <v/>
      </c>
    </row>
    <row r="964">
      <c r="E964" s="10" t="n"/>
      <c r="F964" s="10" t="n"/>
      <c r="I964">
        <f>IF(A964="","",SUMIFS(Purchases[Quantity],Purchases[ProductID],A964))</f>
        <v/>
      </c>
      <c r="J964">
        <f>IF(A964="","",SUMIFS(Sales[Quantity],Sales[ProductID],A964))</f>
        <v/>
      </c>
      <c r="K964">
        <f>IF(A964="","",N(G964)+N(I964)-N(J964))</f>
        <v/>
      </c>
      <c r="L964" s="10">
        <f>IF(K964="","",K964*N(F964))</f>
        <v/>
      </c>
      <c r="M964">
        <f>IF(K964="","",IF(K964&lt;=N(H964),"LOW","OK"))</f>
        <v/>
      </c>
    </row>
    <row r="965">
      <c r="E965" s="10" t="n"/>
      <c r="F965" s="10" t="n"/>
      <c r="I965">
        <f>IF(A965="","",SUMIFS(Purchases[Quantity],Purchases[ProductID],A965))</f>
        <v/>
      </c>
      <c r="J965">
        <f>IF(A965="","",SUMIFS(Sales[Quantity],Sales[ProductID],A965))</f>
        <v/>
      </c>
      <c r="K965">
        <f>IF(A965="","",N(G965)+N(I965)-N(J965))</f>
        <v/>
      </c>
      <c r="L965" s="10">
        <f>IF(K965="","",K965*N(F965))</f>
        <v/>
      </c>
      <c r="M965">
        <f>IF(K965="","",IF(K965&lt;=N(H965),"LOW","OK"))</f>
        <v/>
      </c>
    </row>
    <row r="966">
      <c r="E966" s="10" t="n"/>
      <c r="F966" s="10" t="n"/>
      <c r="I966">
        <f>IF(A966="","",SUMIFS(Purchases[Quantity],Purchases[ProductID],A966))</f>
        <v/>
      </c>
      <c r="J966">
        <f>IF(A966="","",SUMIFS(Sales[Quantity],Sales[ProductID],A966))</f>
        <v/>
      </c>
      <c r="K966">
        <f>IF(A966="","",N(G966)+N(I966)-N(J966))</f>
        <v/>
      </c>
      <c r="L966" s="10">
        <f>IF(K966="","",K966*N(F966))</f>
        <v/>
      </c>
      <c r="M966">
        <f>IF(K966="","",IF(K966&lt;=N(H966),"LOW","OK"))</f>
        <v/>
      </c>
    </row>
    <row r="967">
      <c r="E967" s="10" t="n"/>
      <c r="F967" s="10" t="n"/>
      <c r="I967">
        <f>IF(A967="","",SUMIFS(Purchases[Quantity],Purchases[ProductID],A967))</f>
        <v/>
      </c>
      <c r="J967">
        <f>IF(A967="","",SUMIFS(Sales[Quantity],Sales[ProductID],A967))</f>
        <v/>
      </c>
      <c r="K967">
        <f>IF(A967="","",N(G967)+N(I967)-N(J967))</f>
        <v/>
      </c>
      <c r="L967" s="10">
        <f>IF(K967="","",K967*N(F967))</f>
        <v/>
      </c>
      <c r="M967">
        <f>IF(K967="","",IF(K967&lt;=N(H967),"LOW","OK"))</f>
        <v/>
      </c>
    </row>
    <row r="968">
      <c r="E968" s="10" t="n"/>
      <c r="F968" s="10" t="n"/>
      <c r="I968">
        <f>IF(A968="","",SUMIFS(Purchases[Quantity],Purchases[ProductID],A968))</f>
        <v/>
      </c>
      <c r="J968">
        <f>IF(A968="","",SUMIFS(Sales[Quantity],Sales[ProductID],A968))</f>
        <v/>
      </c>
      <c r="K968">
        <f>IF(A968="","",N(G968)+N(I968)-N(J968))</f>
        <v/>
      </c>
      <c r="L968" s="10">
        <f>IF(K968="","",K968*N(F968))</f>
        <v/>
      </c>
      <c r="M968">
        <f>IF(K968="","",IF(K968&lt;=N(H968),"LOW","OK"))</f>
        <v/>
      </c>
    </row>
    <row r="969">
      <c r="E969" s="10" t="n"/>
      <c r="F969" s="10" t="n"/>
      <c r="I969">
        <f>IF(A969="","",SUMIFS(Purchases[Quantity],Purchases[ProductID],A969))</f>
        <v/>
      </c>
      <c r="J969">
        <f>IF(A969="","",SUMIFS(Sales[Quantity],Sales[ProductID],A969))</f>
        <v/>
      </c>
      <c r="K969">
        <f>IF(A969="","",N(G969)+N(I969)-N(J969))</f>
        <v/>
      </c>
      <c r="L969" s="10">
        <f>IF(K969="","",K969*N(F969))</f>
        <v/>
      </c>
      <c r="M969">
        <f>IF(K969="","",IF(K969&lt;=N(H969),"LOW","OK"))</f>
        <v/>
      </c>
    </row>
    <row r="970">
      <c r="E970" s="10" t="n"/>
      <c r="F970" s="10" t="n"/>
      <c r="I970">
        <f>IF(A970="","",SUMIFS(Purchases[Quantity],Purchases[ProductID],A970))</f>
        <v/>
      </c>
      <c r="J970">
        <f>IF(A970="","",SUMIFS(Sales[Quantity],Sales[ProductID],A970))</f>
        <v/>
      </c>
      <c r="K970">
        <f>IF(A970="","",N(G970)+N(I970)-N(J970))</f>
        <v/>
      </c>
      <c r="L970" s="10">
        <f>IF(K970="","",K970*N(F970))</f>
        <v/>
      </c>
      <c r="M970">
        <f>IF(K970="","",IF(K970&lt;=N(H970),"LOW","OK"))</f>
        <v/>
      </c>
    </row>
    <row r="971">
      <c r="E971" s="10" t="n"/>
      <c r="F971" s="10" t="n"/>
      <c r="I971">
        <f>IF(A971="","",SUMIFS(Purchases[Quantity],Purchases[ProductID],A971))</f>
        <v/>
      </c>
      <c r="J971">
        <f>IF(A971="","",SUMIFS(Sales[Quantity],Sales[ProductID],A971))</f>
        <v/>
      </c>
      <c r="K971">
        <f>IF(A971="","",N(G971)+N(I971)-N(J971))</f>
        <v/>
      </c>
      <c r="L971" s="10">
        <f>IF(K971="","",K971*N(F971))</f>
        <v/>
      </c>
      <c r="M971">
        <f>IF(K971="","",IF(K971&lt;=N(H971),"LOW","OK"))</f>
        <v/>
      </c>
    </row>
    <row r="972">
      <c r="E972" s="10" t="n"/>
      <c r="F972" s="10" t="n"/>
      <c r="I972">
        <f>IF(A972="","",SUMIFS(Purchases[Quantity],Purchases[ProductID],A972))</f>
        <v/>
      </c>
      <c r="J972">
        <f>IF(A972="","",SUMIFS(Sales[Quantity],Sales[ProductID],A972))</f>
        <v/>
      </c>
      <c r="K972">
        <f>IF(A972="","",N(G972)+N(I972)-N(J972))</f>
        <v/>
      </c>
      <c r="L972" s="10">
        <f>IF(K972="","",K972*N(F972))</f>
        <v/>
      </c>
      <c r="M972">
        <f>IF(K972="","",IF(K972&lt;=N(H972),"LOW","OK"))</f>
        <v/>
      </c>
    </row>
    <row r="973">
      <c r="E973" s="10" t="n"/>
      <c r="F973" s="10" t="n"/>
      <c r="I973">
        <f>IF(A973="","",SUMIFS(Purchases[Quantity],Purchases[ProductID],A973))</f>
        <v/>
      </c>
      <c r="J973">
        <f>IF(A973="","",SUMIFS(Sales[Quantity],Sales[ProductID],A973))</f>
        <v/>
      </c>
      <c r="K973">
        <f>IF(A973="","",N(G973)+N(I973)-N(J973))</f>
        <v/>
      </c>
      <c r="L973" s="10">
        <f>IF(K973="","",K973*N(F973))</f>
        <v/>
      </c>
      <c r="M973">
        <f>IF(K973="","",IF(K973&lt;=N(H973),"LOW","OK"))</f>
        <v/>
      </c>
    </row>
    <row r="974">
      <c r="E974" s="10" t="n"/>
      <c r="F974" s="10" t="n"/>
      <c r="I974">
        <f>IF(A974="","",SUMIFS(Purchases[Quantity],Purchases[ProductID],A974))</f>
        <v/>
      </c>
      <c r="J974">
        <f>IF(A974="","",SUMIFS(Sales[Quantity],Sales[ProductID],A974))</f>
        <v/>
      </c>
      <c r="K974">
        <f>IF(A974="","",N(G974)+N(I974)-N(J974))</f>
        <v/>
      </c>
      <c r="L974" s="10">
        <f>IF(K974="","",K974*N(F974))</f>
        <v/>
      </c>
      <c r="M974">
        <f>IF(K974="","",IF(K974&lt;=N(H974),"LOW","OK"))</f>
        <v/>
      </c>
    </row>
    <row r="975">
      <c r="E975" s="10" t="n"/>
      <c r="F975" s="10" t="n"/>
      <c r="I975">
        <f>IF(A975="","",SUMIFS(Purchases[Quantity],Purchases[ProductID],A975))</f>
        <v/>
      </c>
      <c r="J975">
        <f>IF(A975="","",SUMIFS(Sales[Quantity],Sales[ProductID],A975))</f>
        <v/>
      </c>
      <c r="K975">
        <f>IF(A975="","",N(G975)+N(I975)-N(J975))</f>
        <v/>
      </c>
      <c r="L975" s="10">
        <f>IF(K975="","",K975*N(F975))</f>
        <v/>
      </c>
      <c r="M975">
        <f>IF(K975="","",IF(K975&lt;=N(H975),"LOW","OK"))</f>
        <v/>
      </c>
    </row>
    <row r="976">
      <c r="E976" s="10" t="n"/>
      <c r="F976" s="10" t="n"/>
      <c r="I976">
        <f>IF(A976="","",SUMIFS(Purchases[Quantity],Purchases[ProductID],A976))</f>
        <v/>
      </c>
      <c r="J976">
        <f>IF(A976="","",SUMIFS(Sales[Quantity],Sales[ProductID],A976))</f>
        <v/>
      </c>
      <c r="K976">
        <f>IF(A976="","",N(G976)+N(I976)-N(J976))</f>
        <v/>
      </c>
      <c r="L976" s="10">
        <f>IF(K976="","",K976*N(F976))</f>
        <v/>
      </c>
      <c r="M976">
        <f>IF(K976="","",IF(K976&lt;=N(H976),"LOW","OK"))</f>
        <v/>
      </c>
    </row>
    <row r="977">
      <c r="E977" s="10" t="n"/>
      <c r="F977" s="10" t="n"/>
      <c r="I977">
        <f>IF(A977="","",SUMIFS(Purchases[Quantity],Purchases[ProductID],A977))</f>
        <v/>
      </c>
      <c r="J977">
        <f>IF(A977="","",SUMIFS(Sales[Quantity],Sales[ProductID],A977))</f>
        <v/>
      </c>
      <c r="K977">
        <f>IF(A977="","",N(G977)+N(I977)-N(J977))</f>
        <v/>
      </c>
      <c r="L977" s="10">
        <f>IF(K977="","",K977*N(F977))</f>
        <v/>
      </c>
      <c r="M977">
        <f>IF(K977="","",IF(K977&lt;=N(H977),"LOW","OK"))</f>
        <v/>
      </c>
    </row>
    <row r="978">
      <c r="E978" s="10" t="n"/>
      <c r="F978" s="10" t="n"/>
      <c r="I978">
        <f>IF(A978="","",SUMIFS(Purchases[Quantity],Purchases[ProductID],A978))</f>
        <v/>
      </c>
      <c r="J978">
        <f>IF(A978="","",SUMIFS(Sales[Quantity],Sales[ProductID],A978))</f>
        <v/>
      </c>
      <c r="K978">
        <f>IF(A978="","",N(G978)+N(I978)-N(J978))</f>
        <v/>
      </c>
      <c r="L978" s="10">
        <f>IF(K978="","",K978*N(F978))</f>
        <v/>
      </c>
      <c r="M978">
        <f>IF(K978="","",IF(K978&lt;=N(H978),"LOW","OK"))</f>
        <v/>
      </c>
    </row>
    <row r="979">
      <c r="E979" s="10" t="n"/>
      <c r="F979" s="10" t="n"/>
      <c r="I979">
        <f>IF(A979="","",SUMIFS(Purchases[Quantity],Purchases[ProductID],A979))</f>
        <v/>
      </c>
      <c r="J979">
        <f>IF(A979="","",SUMIFS(Sales[Quantity],Sales[ProductID],A979))</f>
        <v/>
      </c>
      <c r="K979">
        <f>IF(A979="","",N(G979)+N(I979)-N(J979))</f>
        <v/>
      </c>
      <c r="L979" s="10">
        <f>IF(K979="","",K979*N(F979))</f>
        <v/>
      </c>
      <c r="M979">
        <f>IF(K979="","",IF(K979&lt;=N(H979),"LOW","OK"))</f>
        <v/>
      </c>
    </row>
    <row r="980">
      <c r="E980" s="10" t="n"/>
      <c r="F980" s="10" t="n"/>
      <c r="I980">
        <f>IF(A980="","",SUMIFS(Purchases[Quantity],Purchases[ProductID],A980))</f>
        <v/>
      </c>
      <c r="J980">
        <f>IF(A980="","",SUMIFS(Sales[Quantity],Sales[ProductID],A980))</f>
        <v/>
      </c>
      <c r="K980">
        <f>IF(A980="","",N(G980)+N(I980)-N(J980))</f>
        <v/>
      </c>
      <c r="L980" s="10">
        <f>IF(K980="","",K980*N(F980))</f>
        <v/>
      </c>
      <c r="M980">
        <f>IF(K980="","",IF(K980&lt;=N(H980),"LOW","OK"))</f>
        <v/>
      </c>
    </row>
    <row r="981">
      <c r="E981" s="10" t="n"/>
      <c r="F981" s="10" t="n"/>
      <c r="I981">
        <f>IF(A981="","",SUMIFS(Purchases[Quantity],Purchases[ProductID],A981))</f>
        <v/>
      </c>
      <c r="J981">
        <f>IF(A981="","",SUMIFS(Sales[Quantity],Sales[ProductID],A981))</f>
        <v/>
      </c>
      <c r="K981">
        <f>IF(A981="","",N(G981)+N(I981)-N(J981))</f>
        <v/>
      </c>
      <c r="L981" s="10">
        <f>IF(K981="","",K981*N(F981))</f>
        <v/>
      </c>
      <c r="M981">
        <f>IF(K981="","",IF(K981&lt;=N(H981),"LOW","OK"))</f>
        <v/>
      </c>
    </row>
    <row r="982">
      <c r="E982" s="10" t="n"/>
      <c r="F982" s="10" t="n"/>
      <c r="I982">
        <f>IF(A982="","",SUMIFS(Purchases[Quantity],Purchases[ProductID],A982))</f>
        <v/>
      </c>
      <c r="J982">
        <f>IF(A982="","",SUMIFS(Sales[Quantity],Sales[ProductID],A982))</f>
        <v/>
      </c>
      <c r="K982">
        <f>IF(A982="","",N(G982)+N(I982)-N(J982))</f>
        <v/>
      </c>
      <c r="L982" s="10">
        <f>IF(K982="","",K982*N(F982))</f>
        <v/>
      </c>
      <c r="M982">
        <f>IF(K982="","",IF(K982&lt;=N(H982),"LOW","OK"))</f>
        <v/>
      </c>
    </row>
    <row r="983">
      <c r="E983" s="10" t="n"/>
      <c r="F983" s="10" t="n"/>
      <c r="I983">
        <f>IF(A983="","",SUMIFS(Purchases[Quantity],Purchases[ProductID],A983))</f>
        <v/>
      </c>
      <c r="J983">
        <f>IF(A983="","",SUMIFS(Sales[Quantity],Sales[ProductID],A983))</f>
        <v/>
      </c>
      <c r="K983">
        <f>IF(A983="","",N(G983)+N(I983)-N(J983))</f>
        <v/>
      </c>
      <c r="L983" s="10">
        <f>IF(K983="","",K983*N(F983))</f>
        <v/>
      </c>
      <c r="M983">
        <f>IF(K983="","",IF(K983&lt;=N(H983),"LOW","OK"))</f>
        <v/>
      </c>
    </row>
    <row r="984">
      <c r="E984" s="10" t="n"/>
      <c r="F984" s="10" t="n"/>
      <c r="I984">
        <f>IF(A984="","",SUMIFS(Purchases[Quantity],Purchases[ProductID],A984))</f>
        <v/>
      </c>
      <c r="J984">
        <f>IF(A984="","",SUMIFS(Sales[Quantity],Sales[ProductID],A984))</f>
        <v/>
      </c>
      <c r="K984">
        <f>IF(A984="","",N(G984)+N(I984)-N(J984))</f>
        <v/>
      </c>
      <c r="L984" s="10">
        <f>IF(K984="","",K984*N(F984))</f>
        <v/>
      </c>
      <c r="M984">
        <f>IF(K984="","",IF(K984&lt;=N(H984),"LOW","OK"))</f>
        <v/>
      </c>
    </row>
    <row r="985">
      <c r="E985" s="10" t="n"/>
      <c r="F985" s="10" t="n"/>
      <c r="I985">
        <f>IF(A985="","",SUMIFS(Purchases[Quantity],Purchases[ProductID],A985))</f>
        <v/>
      </c>
      <c r="J985">
        <f>IF(A985="","",SUMIFS(Sales[Quantity],Sales[ProductID],A985))</f>
        <v/>
      </c>
      <c r="K985">
        <f>IF(A985="","",N(G985)+N(I985)-N(J985))</f>
        <v/>
      </c>
      <c r="L985" s="10">
        <f>IF(K985="","",K985*N(F985))</f>
        <v/>
      </c>
      <c r="M985">
        <f>IF(K985="","",IF(K985&lt;=N(H985),"LOW","OK"))</f>
        <v/>
      </c>
    </row>
    <row r="986">
      <c r="E986" s="10" t="n"/>
      <c r="F986" s="10" t="n"/>
      <c r="I986">
        <f>IF(A986="","",SUMIFS(Purchases[Quantity],Purchases[ProductID],A986))</f>
        <v/>
      </c>
      <c r="J986">
        <f>IF(A986="","",SUMIFS(Sales[Quantity],Sales[ProductID],A986))</f>
        <v/>
      </c>
      <c r="K986">
        <f>IF(A986="","",N(G986)+N(I986)-N(J986))</f>
        <v/>
      </c>
      <c r="L986" s="10">
        <f>IF(K986="","",K986*N(F986))</f>
        <v/>
      </c>
      <c r="M986">
        <f>IF(K986="","",IF(K986&lt;=N(H986),"LOW","OK"))</f>
        <v/>
      </c>
    </row>
    <row r="987">
      <c r="E987" s="10" t="n"/>
      <c r="F987" s="10" t="n"/>
      <c r="I987">
        <f>IF(A987="","",SUMIFS(Purchases[Quantity],Purchases[ProductID],A987))</f>
        <v/>
      </c>
      <c r="J987">
        <f>IF(A987="","",SUMIFS(Sales[Quantity],Sales[ProductID],A987))</f>
        <v/>
      </c>
      <c r="K987">
        <f>IF(A987="","",N(G987)+N(I987)-N(J987))</f>
        <v/>
      </c>
      <c r="L987" s="10">
        <f>IF(K987="","",K987*N(F987))</f>
        <v/>
      </c>
      <c r="M987">
        <f>IF(K987="","",IF(K987&lt;=N(H987),"LOW","OK"))</f>
        <v/>
      </c>
    </row>
    <row r="988">
      <c r="E988" s="10" t="n"/>
      <c r="F988" s="10" t="n"/>
      <c r="I988">
        <f>IF(A988="","",SUMIFS(Purchases[Quantity],Purchases[ProductID],A988))</f>
        <v/>
      </c>
      <c r="J988">
        <f>IF(A988="","",SUMIFS(Sales[Quantity],Sales[ProductID],A988))</f>
        <v/>
      </c>
      <c r="K988">
        <f>IF(A988="","",N(G988)+N(I988)-N(J988))</f>
        <v/>
      </c>
      <c r="L988" s="10">
        <f>IF(K988="","",K988*N(F988))</f>
        <v/>
      </c>
      <c r="M988">
        <f>IF(K988="","",IF(K988&lt;=N(H988),"LOW","OK"))</f>
        <v/>
      </c>
    </row>
    <row r="989">
      <c r="E989" s="10" t="n"/>
      <c r="F989" s="10" t="n"/>
      <c r="I989">
        <f>IF(A989="","",SUMIFS(Purchases[Quantity],Purchases[ProductID],A989))</f>
        <v/>
      </c>
      <c r="J989">
        <f>IF(A989="","",SUMIFS(Sales[Quantity],Sales[ProductID],A989))</f>
        <v/>
      </c>
      <c r="K989">
        <f>IF(A989="","",N(G989)+N(I989)-N(J989))</f>
        <v/>
      </c>
      <c r="L989" s="10">
        <f>IF(K989="","",K989*N(F989))</f>
        <v/>
      </c>
      <c r="M989">
        <f>IF(K989="","",IF(K989&lt;=N(H989),"LOW","OK"))</f>
        <v/>
      </c>
    </row>
    <row r="990">
      <c r="E990" s="10" t="n"/>
      <c r="F990" s="10" t="n"/>
      <c r="I990">
        <f>IF(A990="","",SUMIFS(Purchases[Quantity],Purchases[ProductID],A990))</f>
        <v/>
      </c>
      <c r="J990">
        <f>IF(A990="","",SUMIFS(Sales[Quantity],Sales[ProductID],A990))</f>
        <v/>
      </c>
      <c r="K990">
        <f>IF(A990="","",N(G990)+N(I990)-N(J990))</f>
        <v/>
      </c>
      <c r="L990" s="10">
        <f>IF(K990="","",K990*N(F990))</f>
        <v/>
      </c>
      <c r="M990">
        <f>IF(K990="","",IF(K990&lt;=N(H990),"LOW","OK"))</f>
        <v/>
      </c>
    </row>
    <row r="991">
      <c r="E991" s="10" t="n"/>
      <c r="F991" s="10" t="n"/>
      <c r="I991">
        <f>IF(A991="","",SUMIFS(Purchases[Quantity],Purchases[ProductID],A991))</f>
        <v/>
      </c>
      <c r="J991">
        <f>IF(A991="","",SUMIFS(Sales[Quantity],Sales[ProductID],A991))</f>
        <v/>
      </c>
      <c r="K991">
        <f>IF(A991="","",N(G991)+N(I991)-N(J991))</f>
        <v/>
      </c>
      <c r="L991" s="10">
        <f>IF(K991="","",K991*N(F991))</f>
        <v/>
      </c>
      <c r="M991">
        <f>IF(K991="","",IF(K991&lt;=N(H991),"LOW","OK"))</f>
        <v/>
      </c>
    </row>
    <row r="992">
      <c r="E992" s="10" t="n"/>
      <c r="F992" s="10" t="n"/>
      <c r="I992">
        <f>IF(A992="","",SUMIFS(Purchases[Quantity],Purchases[ProductID],A992))</f>
        <v/>
      </c>
      <c r="J992">
        <f>IF(A992="","",SUMIFS(Sales[Quantity],Sales[ProductID],A992))</f>
        <v/>
      </c>
      <c r="K992">
        <f>IF(A992="","",N(G992)+N(I992)-N(J992))</f>
        <v/>
      </c>
      <c r="L992" s="10">
        <f>IF(K992="","",K992*N(F992))</f>
        <v/>
      </c>
      <c r="M992">
        <f>IF(K992="","",IF(K992&lt;=N(H992),"LOW","OK"))</f>
        <v/>
      </c>
    </row>
    <row r="993">
      <c r="E993" s="10" t="n"/>
      <c r="F993" s="10" t="n"/>
      <c r="I993">
        <f>IF(A993="","",SUMIFS(Purchases[Quantity],Purchases[ProductID],A993))</f>
        <v/>
      </c>
      <c r="J993">
        <f>IF(A993="","",SUMIFS(Sales[Quantity],Sales[ProductID],A993))</f>
        <v/>
      </c>
      <c r="K993">
        <f>IF(A993="","",N(G993)+N(I993)-N(J993))</f>
        <v/>
      </c>
      <c r="L993" s="10">
        <f>IF(K993="","",K993*N(F993))</f>
        <v/>
      </c>
      <c r="M993">
        <f>IF(K993="","",IF(K993&lt;=N(H993),"LOW","OK"))</f>
        <v/>
      </c>
    </row>
    <row r="994">
      <c r="E994" s="10" t="n"/>
      <c r="F994" s="10" t="n"/>
      <c r="I994">
        <f>IF(A994="","",SUMIFS(Purchases[Quantity],Purchases[ProductID],A994))</f>
        <v/>
      </c>
      <c r="J994">
        <f>IF(A994="","",SUMIFS(Sales[Quantity],Sales[ProductID],A994))</f>
        <v/>
      </c>
      <c r="K994">
        <f>IF(A994="","",N(G994)+N(I994)-N(J994))</f>
        <v/>
      </c>
      <c r="L994" s="10">
        <f>IF(K994="","",K994*N(F994))</f>
        <v/>
      </c>
      <c r="M994">
        <f>IF(K994="","",IF(K994&lt;=N(H994),"LOW","OK"))</f>
        <v/>
      </c>
    </row>
    <row r="995">
      <c r="E995" s="10" t="n"/>
      <c r="F995" s="10" t="n"/>
      <c r="I995">
        <f>IF(A995="","",SUMIFS(Purchases[Quantity],Purchases[ProductID],A995))</f>
        <v/>
      </c>
      <c r="J995">
        <f>IF(A995="","",SUMIFS(Sales[Quantity],Sales[ProductID],A995))</f>
        <v/>
      </c>
      <c r="K995">
        <f>IF(A995="","",N(G995)+N(I995)-N(J995))</f>
        <v/>
      </c>
      <c r="L995" s="10">
        <f>IF(K995="","",K995*N(F995))</f>
        <v/>
      </c>
      <c r="M995">
        <f>IF(K995="","",IF(K995&lt;=N(H995),"LOW","OK"))</f>
        <v/>
      </c>
    </row>
    <row r="996">
      <c r="E996" s="10" t="n"/>
      <c r="F996" s="10" t="n"/>
      <c r="I996">
        <f>IF(A996="","",SUMIFS(Purchases[Quantity],Purchases[ProductID],A996))</f>
        <v/>
      </c>
      <c r="J996">
        <f>IF(A996="","",SUMIFS(Sales[Quantity],Sales[ProductID],A996))</f>
        <v/>
      </c>
      <c r="K996">
        <f>IF(A996="","",N(G996)+N(I996)-N(J996))</f>
        <v/>
      </c>
      <c r="L996" s="10">
        <f>IF(K996="","",K996*N(F996))</f>
        <v/>
      </c>
      <c r="M996">
        <f>IF(K996="","",IF(K996&lt;=N(H996),"LOW","OK"))</f>
        <v/>
      </c>
    </row>
    <row r="997">
      <c r="E997" s="10" t="n"/>
      <c r="F997" s="10" t="n"/>
      <c r="I997">
        <f>IF(A997="","",SUMIFS(Purchases[Quantity],Purchases[ProductID],A997))</f>
        <v/>
      </c>
      <c r="J997">
        <f>IF(A997="","",SUMIFS(Sales[Quantity],Sales[ProductID],A997))</f>
        <v/>
      </c>
      <c r="K997">
        <f>IF(A997="","",N(G997)+N(I997)-N(J997))</f>
        <v/>
      </c>
      <c r="L997" s="10">
        <f>IF(K997="","",K997*N(F997))</f>
        <v/>
      </c>
      <c r="M997">
        <f>IF(K997="","",IF(K997&lt;=N(H997),"LOW","OK"))</f>
        <v/>
      </c>
    </row>
    <row r="998">
      <c r="E998" s="10" t="n"/>
      <c r="F998" s="10" t="n"/>
      <c r="I998">
        <f>IF(A998="","",SUMIFS(Purchases[Quantity],Purchases[ProductID],A998))</f>
        <v/>
      </c>
      <c r="J998">
        <f>IF(A998="","",SUMIFS(Sales[Quantity],Sales[ProductID],A998))</f>
        <v/>
      </c>
      <c r="K998">
        <f>IF(A998="","",N(G998)+N(I998)-N(J998))</f>
        <v/>
      </c>
      <c r="L998" s="10">
        <f>IF(K998="","",K998*N(F998))</f>
        <v/>
      </c>
      <c r="M998">
        <f>IF(K998="","",IF(K998&lt;=N(H998),"LOW","OK"))</f>
        <v/>
      </c>
    </row>
    <row r="999">
      <c r="E999" s="10" t="n"/>
      <c r="F999" s="10" t="n"/>
      <c r="I999">
        <f>IF(A999="","",SUMIFS(Purchases[Quantity],Purchases[ProductID],A999))</f>
        <v/>
      </c>
      <c r="J999">
        <f>IF(A999="","",SUMIFS(Sales[Quantity],Sales[ProductID],A999))</f>
        <v/>
      </c>
      <c r="K999">
        <f>IF(A999="","",N(G999)+N(I999)-N(J999))</f>
        <v/>
      </c>
      <c r="L999" s="10">
        <f>IF(K999="","",K999*N(F999))</f>
        <v/>
      </c>
      <c r="M999">
        <f>IF(K999="","",IF(K999&lt;=N(H999),"LOW","OK"))</f>
        <v/>
      </c>
    </row>
    <row r="1000">
      <c r="E1000" s="10" t="n"/>
      <c r="F1000" s="10" t="n"/>
      <c r="I1000">
        <f>IF(A1000="","",SUMIFS(Purchases[Quantity],Purchases[ProductID],A1000))</f>
        <v/>
      </c>
      <c r="J1000">
        <f>IF(A1000="","",SUMIFS(Sales[Quantity],Sales[ProductID],A1000))</f>
        <v/>
      </c>
      <c r="K1000">
        <f>IF(A1000="","",N(G1000)+N(I1000)-N(J1000))</f>
        <v/>
      </c>
      <c r="L1000" s="10">
        <f>IF(K1000="","",K1000*N(F1000))</f>
        <v/>
      </c>
      <c r="M1000">
        <f>IF(K1000="","",IF(K1000&lt;=N(H1000),"LOW","OK"))</f>
        <v/>
      </c>
    </row>
  </sheetData>
  <conditionalFormatting sqref="M2:M1000">
    <cfRule type="cellIs" priority="1" operator="equal" dxfId="0">
      <formula>"LOW"</formula>
    </cfRule>
  </conditionalFormatting>
  <dataValidations count="1">
    <dataValidation sqref="N2:N1000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6" customWidth="1" min="8" max="8"/>
    <col width="14" customWidth="1" min="9" max="9"/>
  </cols>
  <sheetData>
    <row r="1">
      <c r="A1" s="11" t="inlineStr">
        <is>
          <t>SupplierID</t>
        </is>
      </c>
      <c r="B1" s="11" t="inlineStr">
        <is>
          <t>SupplierName</t>
        </is>
      </c>
      <c r="C1" s="11" t="inlineStr">
        <is>
          <t>Mobile</t>
        </is>
      </c>
      <c r="D1" s="11" t="inlineStr">
        <is>
          <t>Email</t>
        </is>
      </c>
      <c r="E1" s="11" t="inlineStr">
        <is>
          <t>GSTIN</t>
        </is>
      </c>
      <c r="F1" s="11" t="inlineStr">
        <is>
          <t>Address</t>
        </is>
      </c>
      <c r="G1" s="11" t="inlineStr">
        <is>
          <t>OpeningBalance</t>
        </is>
      </c>
      <c r="H1" s="11" t="inlineStr">
        <is>
          <t>CreditLimit</t>
        </is>
      </c>
      <c r="I1" s="11" t="inlineStr">
        <is>
          <t>Status</t>
        </is>
      </c>
    </row>
    <row r="2">
      <c r="A2" t="inlineStr">
        <is>
          <t>SUP001</t>
        </is>
      </c>
      <c r="B2" t="inlineStr">
        <is>
          <t>Sample Supplier</t>
        </is>
      </c>
      <c r="G2" s="10" t="n">
        <v>0</v>
      </c>
      <c r="H2" s="10" t="n">
        <v>50000</v>
      </c>
      <c r="I2" t="inlineStr">
        <is>
          <t>Active</t>
        </is>
      </c>
    </row>
    <row r="3">
      <c r="G3" s="10" t="n"/>
      <c r="H3" s="10" t="n"/>
    </row>
    <row r="4">
      <c r="G4" s="10" t="n"/>
      <c r="H4" s="10" t="n"/>
    </row>
    <row r="5">
      <c r="G5" s="10" t="n"/>
      <c r="H5" s="10" t="n"/>
    </row>
    <row r="6">
      <c r="G6" s="10" t="n"/>
      <c r="H6" s="10" t="n"/>
    </row>
    <row r="7">
      <c r="G7" s="10" t="n"/>
      <c r="H7" s="10" t="n"/>
    </row>
    <row r="8">
      <c r="G8" s="10" t="n"/>
      <c r="H8" s="10" t="n"/>
    </row>
    <row r="9">
      <c r="G9" s="10" t="n"/>
      <c r="H9" s="10" t="n"/>
    </row>
    <row r="10">
      <c r="G10" s="10" t="n"/>
      <c r="H10" s="10" t="n"/>
    </row>
    <row r="11">
      <c r="G11" s="10" t="n"/>
      <c r="H11" s="10" t="n"/>
    </row>
    <row r="12">
      <c r="G12" s="10" t="n"/>
      <c r="H12" s="10" t="n"/>
    </row>
    <row r="13">
      <c r="G13" s="10" t="n"/>
      <c r="H13" s="10" t="n"/>
    </row>
    <row r="14">
      <c r="G14" s="10" t="n"/>
      <c r="H14" s="10" t="n"/>
    </row>
    <row r="15">
      <c r="G15" s="10" t="n"/>
      <c r="H15" s="10" t="n"/>
    </row>
    <row r="16">
      <c r="G16" s="10" t="n"/>
      <c r="H16" s="10" t="n"/>
    </row>
    <row r="17">
      <c r="G17" s="10" t="n"/>
      <c r="H17" s="10" t="n"/>
    </row>
    <row r="18">
      <c r="G18" s="10" t="n"/>
      <c r="H18" s="10" t="n"/>
    </row>
    <row r="19">
      <c r="G19" s="10" t="n"/>
      <c r="H19" s="10" t="n"/>
    </row>
    <row r="20">
      <c r="G20" s="10" t="n"/>
      <c r="H20" s="10" t="n"/>
    </row>
    <row r="21">
      <c r="G21" s="10" t="n"/>
      <c r="H21" s="10" t="n"/>
    </row>
    <row r="22">
      <c r="G22" s="10" t="n"/>
      <c r="H22" s="10" t="n"/>
    </row>
    <row r="23">
      <c r="G23" s="10" t="n"/>
      <c r="H23" s="10" t="n"/>
    </row>
    <row r="24">
      <c r="G24" s="10" t="n"/>
      <c r="H24" s="10" t="n"/>
    </row>
    <row r="25">
      <c r="G25" s="10" t="n"/>
      <c r="H25" s="10" t="n"/>
    </row>
    <row r="26">
      <c r="G26" s="10" t="n"/>
      <c r="H26" s="10" t="n"/>
    </row>
    <row r="27">
      <c r="G27" s="10" t="n"/>
      <c r="H27" s="10" t="n"/>
    </row>
    <row r="28">
      <c r="G28" s="10" t="n"/>
      <c r="H28" s="10" t="n"/>
    </row>
    <row r="29">
      <c r="G29" s="10" t="n"/>
      <c r="H29" s="10" t="n"/>
    </row>
    <row r="30">
      <c r="G30" s="10" t="n"/>
      <c r="H30" s="10" t="n"/>
    </row>
    <row r="31">
      <c r="G31" s="10" t="n"/>
      <c r="H31" s="10" t="n"/>
    </row>
    <row r="32">
      <c r="G32" s="10" t="n"/>
      <c r="H32" s="10" t="n"/>
    </row>
    <row r="33">
      <c r="G33" s="10" t="n"/>
      <c r="H33" s="10" t="n"/>
    </row>
    <row r="34">
      <c r="G34" s="10" t="n"/>
      <c r="H34" s="10" t="n"/>
    </row>
    <row r="35">
      <c r="G35" s="10" t="n"/>
      <c r="H35" s="10" t="n"/>
    </row>
    <row r="36">
      <c r="G36" s="10" t="n"/>
      <c r="H36" s="10" t="n"/>
    </row>
    <row r="37">
      <c r="G37" s="10" t="n"/>
      <c r="H37" s="10" t="n"/>
    </row>
    <row r="38">
      <c r="G38" s="10" t="n"/>
      <c r="H38" s="10" t="n"/>
    </row>
    <row r="39">
      <c r="G39" s="10" t="n"/>
      <c r="H39" s="10" t="n"/>
    </row>
    <row r="40">
      <c r="G40" s="10" t="n"/>
      <c r="H40" s="10" t="n"/>
    </row>
    <row r="41">
      <c r="G41" s="10" t="n"/>
      <c r="H41" s="10" t="n"/>
    </row>
    <row r="42">
      <c r="G42" s="10" t="n"/>
      <c r="H42" s="10" t="n"/>
    </row>
    <row r="43">
      <c r="G43" s="10" t="n"/>
      <c r="H43" s="10" t="n"/>
    </row>
    <row r="44">
      <c r="G44" s="10" t="n"/>
      <c r="H44" s="10" t="n"/>
    </row>
    <row r="45">
      <c r="G45" s="10" t="n"/>
      <c r="H45" s="10" t="n"/>
    </row>
    <row r="46">
      <c r="G46" s="10" t="n"/>
      <c r="H46" s="10" t="n"/>
    </row>
    <row r="47">
      <c r="G47" s="10" t="n"/>
      <c r="H47" s="10" t="n"/>
    </row>
    <row r="48">
      <c r="G48" s="10" t="n"/>
      <c r="H48" s="10" t="n"/>
    </row>
    <row r="49">
      <c r="G49" s="10" t="n"/>
      <c r="H49" s="10" t="n"/>
    </row>
    <row r="50">
      <c r="G50" s="10" t="n"/>
      <c r="H50" s="10" t="n"/>
    </row>
    <row r="51">
      <c r="G51" s="10" t="n"/>
      <c r="H51" s="10" t="n"/>
    </row>
    <row r="52">
      <c r="G52" s="10" t="n"/>
      <c r="H52" s="10" t="n"/>
    </row>
    <row r="53">
      <c r="G53" s="10" t="n"/>
      <c r="H53" s="10" t="n"/>
    </row>
    <row r="54">
      <c r="G54" s="10" t="n"/>
      <c r="H54" s="10" t="n"/>
    </row>
    <row r="55">
      <c r="G55" s="10" t="n"/>
      <c r="H55" s="10" t="n"/>
    </row>
    <row r="56">
      <c r="G56" s="10" t="n"/>
      <c r="H56" s="10" t="n"/>
    </row>
    <row r="57">
      <c r="G57" s="10" t="n"/>
      <c r="H57" s="10" t="n"/>
    </row>
    <row r="58">
      <c r="G58" s="10" t="n"/>
      <c r="H58" s="10" t="n"/>
    </row>
    <row r="59">
      <c r="G59" s="10" t="n"/>
      <c r="H59" s="10" t="n"/>
    </row>
    <row r="60">
      <c r="G60" s="10" t="n"/>
      <c r="H60" s="10" t="n"/>
    </row>
    <row r="61">
      <c r="G61" s="10" t="n"/>
      <c r="H61" s="10" t="n"/>
    </row>
    <row r="62">
      <c r="G62" s="10" t="n"/>
      <c r="H62" s="10" t="n"/>
    </row>
    <row r="63">
      <c r="G63" s="10" t="n"/>
      <c r="H63" s="10" t="n"/>
    </row>
    <row r="64">
      <c r="G64" s="10" t="n"/>
      <c r="H64" s="10" t="n"/>
    </row>
    <row r="65">
      <c r="G65" s="10" t="n"/>
      <c r="H65" s="10" t="n"/>
    </row>
    <row r="66">
      <c r="G66" s="10" t="n"/>
      <c r="H66" s="10" t="n"/>
    </row>
    <row r="67">
      <c r="G67" s="10" t="n"/>
      <c r="H67" s="10" t="n"/>
    </row>
    <row r="68">
      <c r="G68" s="10" t="n"/>
      <c r="H68" s="10" t="n"/>
    </row>
    <row r="69">
      <c r="G69" s="10" t="n"/>
      <c r="H69" s="10" t="n"/>
    </row>
    <row r="70">
      <c r="G70" s="10" t="n"/>
      <c r="H70" s="10" t="n"/>
    </row>
    <row r="71">
      <c r="G71" s="10" t="n"/>
      <c r="H71" s="10" t="n"/>
    </row>
    <row r="72">
      <c r="G72" s="10" t="n"/>
      <c r="H72" s="10" t="n"/>
    </row>
    <row r="73">
      <c r="G73" s="10" t="n"/>
      <c r="H73" s="10" t="n"/>
    </row>
    <row r="74">
      <c r="G74" s="10" t="n"/>
      <c r="H74" s="10" t="n"/>
    </row>
    <row r="75">
      <c r="G75" s="10" t="n"/>
      <c r="H75" s="10" t="n"/>
    </row>
    <row r="76">
      <c r="G76" s="10" t="n"/>
      <c r="H76" s="10" t="n"/>
    </row>
    <row r="77">
      <c r="G77" s="10" t="n"/>
      <c r="H77" s="10" t="n"/>
    </row>
    <row r="78">
      <c r="G78" s="10" t="n"/>
      <c r="H78" s="10" t="n"/>
    </row>
    <row r="79">
      <c r="G79" s="10" t="n"/>
      <c r="H79" s="10" t="n"/>
    </row>
    <row r="80">
      <c r="G80" s="10" t="n"/>
      <c r="H80" s="10" t="n"/>
    </row>
    <row r="81">
      <c r="G81" s="10" t="n"/>
      <c r="H81" s="10" t="n"/>
    </row>
    <row r="82">
      <c r="G82" s="10" t="n"/>
      <c r="H82" s="10" t="n"/>
    </row>
    <row r="83">
      <c r="G83" s="10" t="n"/>
      <c r="H83" s="10" t="n"/>
    </row>
    <row r="84">
      <c r="G84" s="10" t="n"/>
      <c r="H84" s="10" t="n"/>
    </row>
    <row r="85">
      <c r="G85" s="10" t="n"/>
      <c r="H85" s="10" t="n"/>
    </row>
    <row r="86">
      <c r="G86" s="10" t="n"/>
      <c r="H86" s="10" t="n"/>
    </row>
    <row r="87">
      <c r="G87" s="10" t="n"/>
      <c r="H87" s="10" t="n"/>
    </row>
    <row r="88">
      <c r="G88" s="10" t="n"/>
      <c r="H88" s="10" t="n"/>
    </row>
    <row r="89">
      <c r="G89" s="10" t="n"/>
      <c r="H89" s="10" t="n"/>
    </row>
    <row r="90">
      <c r="G90" s="10" t="n"/>
      <c r="H90" s="10" t="n"/>
    </row>
    <row r="91">
      <c r="G91" s="10" t="n"/>
      <c r="H91" s="10" t="n"/>
    </row>
    <row r="92">
      <c r="G92" s="10" t="n"/>
      <c r="H92" s="10" t="n"/>
    </row>
    <row r="93">
      <c r="G93" s="10" t="n"/>
      <c r="H93" s="10" t="n"/>
    </row>
    <row r="94">
      <c r="G94" s="10" t="n"/>
      <c r="H94" s="10" t="n"/>
    </row>
    <row r="95">
      <c r="G95" s="10" t="n"/>
      <c r="H95" s="10" t="n"/>
    </row>
    <row r="96">
      <c r="G96" s="10" t="n"/>
      <c r="H96" s="10" t="n"/>
    </row>
    <row r="97">
      <c r="G97" s="10" t="n"/>
      <c r="H97" s="10" t="n"/>
    </row>
    <row r="98">
      <c r="G98" s="10" t="n"/>
      <c r="H98" s="10" t="n"/>
    </row>
    <row r="99">
      <c r="G99" s="10" t="n"/>
      <c r="H99" s="10" t="n"/>
    </row>
    <row r="100">
      <c r="G100" s="10" t="n"/>
      <c r="H100" s="10" t="n"/>
    </row>
    <row r="101">
      <c r="G101" s="10" t="n"/>
      <c r="H101" s="10" t="n"/>
    </row>
    <row r="102">
      <c r="G102" s="10" t="n"/>
      <c r="H102" s="10" t="n"/>
    </row>
    <row r="103">
      <c r="G103" s="10" t="n"/>
      <c r="H103" s="10" t="n"/>
    </row>
    <row r="104">
      <c r="G104" s="10" t="n"/>
      <c r="H104" s="10" t="n"/>
    </row>
    <row r="105">
      <c r="G105" s="10" t="n"/>
      <c r="H105" s="10" t="n"/>
    </row>
    <row r="106">
      <c r="G106" s="10" t="n"/>
      <c r="H106" s="10" t="n"/>
    </row>
    <row r="107">
      <c r="G107" s="10" t="n"/>
      <c r="H107" s="10" t="n"/>
    </row>
    <row r="108">
      <c r="G108" s="10" t="n"/>
      <c r="H108" s="10" t="n"/>
    </row>
    <row r="109">
      <c r="G109" s="10" t="n"/>
      <c r="H109" s="10" t="n"/>
    </row>
    <row r="110">
      <c r="G110" s="10" t="n"/>
      <c r="H110" s="10" t="n"/>
    </row>
    <row r="111">
      <c r="G111" s="10" t="n"/>
      <c r="H111" s="10" t="n"/>
    </row>
    <row r="112">
      <c r="G112" s="10" t="n"/>
      <c r="H112" s="10" t="n"/>
    </row>
    <row r="113">
      <c r="G113" s="10" t="n"/>
      <c r="H113" s="10" t="n"/>
    </row>
    <row r="114">
      <c r="G114" s="10" t="n"/>
      <c r="H114" s="10" t="n"/>
    </row>
    <row r="115">
      <c r="G115" s="10" t="n"/>
      <c r="H115" s="10" t="n"/>
    </row>
    <row r="116">
      <c r="G116" s="10" t="n"/>
      <c r="H116" s="10" t="n"/>
    </row>
    <row r="117">
      <c r="G117" s="10" t="n"/>
      <c r="H117" s="10" t="n"/>
    </row>
    <row r="118">
      <c r="G118" s="10" t="n"/>
      <c r="H118" s="10" t="n"/>
    </row>
    <row r="119">
      <c r="G119" s="10" t="n"/>
      <c r="H119" s="10" t="n"/>
    </row>
    <row r="120">
      <c r="G120" s="10" t="n"/>
      <c r="H120" s="10" t="n"/>
    </row>
    <row r="121">
      <c r="G121" s="10" t="n"/>
      <c r="H121" s="10" t="n"/>
    </row>
    <row r="122">
      <c r="G122" s="10" t="n"/>
      <c r="H122" s="10" t="n"/>
    </row>
    <row r="123">
      <c r="G123" s="10" t="n"/>
      <c r="H123" s="10" t="n"/>
    </row>
    <row r="124">
      <c r="G124" s="10" t="n"/>
      <c r="H124" s="10" t="n"/>
    </row>
    <row r="125">
      <c r="G125" s="10" t="n"/>
      <c r="H125" s="10" t="n"/>
    </row>
    <row r="126">
      <c r="G126" s="10" t="n"/>
      <c r="H126" s="10" t="n"/>
    </row>
    <row r="127">
      <c r="G127" s="10" t="n"/>
      <c r="H127" s="10" t="n"/>
    </row>
    <row r="128">
      <c r="G128" s="10" t="n"/>
      <c r="H128" s="10" t="n"/>
    </row>
    <row r="129">
      <c r="G129" s="10" t="n"/>
      <c r="H129" s="10" t="n"/>
    </row>
    <row r="130">
      <c r="G130" s="10" t="n"/>
      <c r="H130" s="10" t="n"/>
    </row>
    <row r="131">
      <c r="G131" s="10" t="n"/>
      <c r="H131" s="10" t="n"/>
    </row>
    <row r="132">
      <c r="G132" s="10" t="n"/>
      <c r="H132" s="10" t="n"/>
    </row>
    <row r="133">
      <c r="G133" s="10" t="n"/>
      <c r="H133" s="10" t="n"/>
    </row>
    <row r="134">
      <c r="G134" s="10" t="n"/>
      <c r="H134" s="10" t="n"/>
    </row>
    <row r="135">
      <c r="G135" s="10" t="n"/>
      <c r="H135" s="10" t="n"/>
    </row>
    <row r="136">
      <c r="G136" s="10" t="n"/>
      <c r="H136" s="10" t="n"/>
    </row>
    <row r="137">
      <c r="G137" s="10" t="n"/>
      <c r="H137" s="10" t="n"/>
    </row>
    <row r="138">
      <c r="G138" s="10" t="n"/>
      <c r="H138" s="10" t="n"/>
    </row>
    <row r="139">
      <c r="G139" s="10" t="n"/>
      <c r="H139" s="10" t="n"/>
    </row>
    <row r="140">
      <c r="G140" s="10" t="n"/>
      <c r="H140" s="10" t="n"/>
    </row>
    <row r="141">
      <c r="G141" s="10" t="n"/>
      <c r="H141" s="10" t="n"/>
    </row>
    <row r="142">
      <c r="G142" s="10" t="n"/>
      <c r="H142" s="10" t="n"/>
    </row>
    <row r="143">
      <c r="G143" s="10" t="n"/>
      <c r="H143" s="10" t="n"/>
    </row>
    <row r="144">
      <c r="G144" s="10" t="n"/>
      <c r="H144" s="10" t="n"/>
    </row>
    <row r="145">
      <c r="G145" s="10" t="n"/>
      <c r="H145" s="10" t="n"/>
    </row>
    <row r="146">
      <c r="G146" s="10" t="n"/>
      <c r="H146" s="10" t="n"/>
    </row>
    <row r="147">
      <c r="G147" s="10" t="n"/>
      <c r="H147" s="10" t="n"/>
    </row>
    <row r="148">
      <c r="G148" s="10" t="n"/>
      <c r="H148" s="10" t="n"/>
    </row>
    <row r="149">
      <c r="G149" s="10" t="n"/>
      <c r="H149" s="10" t="n"/>
    </row>
    <row r="150">
      <c r="G150" s="10" t="n"/>
      <c r="H150" s="10" t="n"/>
    </row>
    <row r="151">
      <c r="G151" s="10" t="n"/>
      <c r="H151" s="10" t="n"/>
    </row>
    <row r="152">
      <c r="G152" s="10" t="n"/>
      <c r="H152" s="10" t="n"/>
    </row>
    <row r="153">
      <c r="G153" s="10" t="n"/>
      <c r="H153" s="10" t="n"/>
    </row>
    <row r="154">
      <c r="G154" s="10" t="n"/>
      <c r="H154" s="10" t="n"/>
    </row>
    <row r="155">
      <c r="G155" s="10" t="n"/>
      <c r="H155" s="10" t="n"/>
    </row>
    <row r="156">
      <c r="G156" s="10" t="n"/>
      <c r="H156" s="10" t="n"/>
    </row>
    <row r="157">
      <c r="G157" s="10" t="n"/>
      <c r="H157" s="10" t="n"/>
    </row>
    <row r="158">
      <c r="G158" s="10" t="n"/>
      <c r="H158" s="10" t="n"/>
    </row>
    <row r="159">
      <c r="G159" s="10" t="n"/>
      <c r="H159" s="10" t="n"/>
    </row>
    <row r="160">
      <c r="G160" s="10" t="n"/>
      <c r="H160" s="10" t="n"/>
    </row>
    <row r="161">
      <c r="G161" s="10" t="n"/>
      <c r="H161" s="10" t="n"/>
    </row>
    <row r="162">
      <c r="G162" s="10" t="n"/>
      <c r="H162" s="10" t="n"/>
    </row>
    <row r="163">
      <c r="G163" s="10" t="n"/>
      <c r="H163" s="10" t="n"/>
    </row>
    <row r="164">
      <c r="G164" s="10" t="n"/>
      <c r="H164" s="10" t="n"/>
    </row>
    <row r="165">
      <c r="G165" s="10" t="n"/>
      <c r="H165" s="10" t="n"/>
    </row>
    <row r="166">
      <c r="G166" s="10" t="n"/>
      <c r="H166" s="10" t="n"/>
    </row>
    <row r="167">
      <c r="G167" s="10" t="n"/>
      <c r="H167" s="10" t="n"/>
    </row>
    <row r="168">
      <c r="G168" s="10" t="n"/>
      <c r="H168" s="10" t="n"/>
    </row>
    <row r="169">
      <c r="G169" s="10" t="n"/>
      <c r="H169" s="10" t="n"/>
    </row>
    <row r="170">
      <c r="G170" s="10" t="n"/>
      <c r="H170" s="10" t="n"/>
    </row>
    <row r="171">
      <c r="G171" s="10" t="n"/>
      <c r="H171" s="10" t="n"/>
    </row>
    <row r="172">
      <c r="G172" s="10" t="n"/>
      <c r="H172" s="10" t="n"/>
    </row>
    <row r="173">
      <c r="G173" s="10" t="n"/>
      <c r="H173" s="10" t="n"/>
    </row>
    <row r="174">
      <c r="G174" s="10" t="n"/>
      <c r="H174" s="10" t="n"/>
    </row>
    <row r="175">
      <c r="G175" s="10" t="n"/>
      <c r="H175" s="10" t="n"/>
    </row>
    <row r="176">
      <c r="G176" s="10" t="n"/>
      <c r="H176" s="10" t="n"/>
    </row>
    <row r="177">
      <c r="G177" s="10" t="n"/>
      <c r="H177" s="10" t="n"/>
    </row>
    <row r="178">
      <c r="G178" s="10" t="n"/>
      <c r="H178" s="10" t="n"/>
    </row>
    <row r="179">
      <c r="G179" s="10" t="n"/>
      <c r="H179" s="10" t="n"/>
    </row>
    <row r="180">
      <c r="G180" s="10" t="n"/>
      <c r="H180" s="10" t="n"/>
    </row>
    <row r="181">
      <c r="G181" s="10" t="n"/>
      <c r="H181" s="10" t="n"/>
    </row>
    <row r="182">
      <c r="G182" s="10" t="n"/>
      <c r="H182" s="10" t="n"/>
    </row>
    <row r="183">
      <c r="G183" s="10" t="n"/>
      <c r="H183" s="10" t="n"/>
    </row>
    <row r="184">
      <c r="G184" s="10" t="n"/>
      <c r="H184" s="10" t="n"/>
    </row>
    <row r="185">
      <c r="G185" s="10" t="n"/>
      <c r="H185" s="10" t="n"/>
    </row>
    <row r="186">
      <c r="G186" s="10" t="n"/>
      <c r="H186" s="10" t="n"/>
    </row>
    <row r="187">
      <c r="G187" s="10" t="n"/>
      <c r="H187" s="10" t="n"/>
    </row>
    <row r="188">
      <c r="G188" s="10" t="n"/>
      <c r="H188" s="10" t="n"/>
    </row>
    <row r="189">
      <c r="G189" s="10" t="n"/>
      <c r="H189" s="10" t="n"/>
    </row>
    <row r="190">
      <c r="G190" s="10" t="n"/>
      <c r="H190" s="10" t="n"/>
    </row>
    <row r="191">
      <c r="G191" s="10" t="n"/>
      <c r="H191" s="10" t="n"/>
    </row>
    <row r="192">
      <c r="G192" s="10" t="n"/>
      <c r="H192" s="10" t="n"/>
    </row>
    <row r="193">
      <c r="G193" s="10" t="n"/>
      <c r="H193" s="10" t="n"/>
    </row>
    <row r="194">
      <c r="G194" s="10" t="n"/>
      <c r="H194" s="10" t="n"/>
    </row>
    <row r="195">
      <c r="G195" s="10" t="n"/>
      <c r="H195" s="10" t="n"/>
    </row>
    <row r="196">
      <c r="G196" s="10" t="n"/>
      <c r="H196" s="10" t="n"/>
    </row>
    <row r="197">
      <c r="G197" s="10" t="n"/>
      <c r="H197" s="10" t="n"/>
    </row>
    <row r="198">
      <c r="G198" s="10" t="n"/>
      <c r="H198" s="10" t="n"/>
    </row>
    <row r="199">
      <c r="G199" s="10" t="n"/>
      <c r="H199" s="10" t="n"/>
    </row>
    <row r="200">
      <c r="G200" s="10" t="n"/>
      <c r="H200" s="10" t="n"/>
    </row>
    <row r="201">
      <c r="G201" s="10" t="n"/>
      <c r="H201" s="10" t="n"/>
    </row>
    <row r="202">
      <c r="G202" s="10" t="n"/>
      <c r="H202" s="10" t="n"/>
    </row>
    <row r="203">
      <c r="G203" s="10" t="n"/>
      <c r="H203" s="10" t="n"/>
    </row>
    <row r="204">
      <c r="G204" s="10" t="n"/>
      <c r="H204" s="10" t="n"/>
    </row>
    <row r="205">
      <c r="G205" s="10" t="n"/>
      <c r="H205" s="10" t="n"/>
    </row>
    <row r="206">
      <c r="G206" s="10" t="n"/>
      <c r="H206" s="10" t="n"/>
    </row>
    <row r="207">
      <c r="G207" s="10" t="n"/>
      <c r="H207" s="10" t="n"/>
    </row>
    <row r="208">
      <c r="G208" s="10" t="n"/>
      <c r="H208" s="10" t="n"/>
    </row>
    <row r="209">
      <c r="G209" s="10" t="n"/>
      <c r="H209" s="10" t="n"/>
    </row>
    <row r="210">
      <c r="G210" s="10" t="n"/>
      <c r="H210" s="10" t="n"/>
    </row>
    <row r="211">
      <c r="G211" s="10" t="n"/>
      <c r="H211" s="10" t="n"/>
    </row>
    <row r="212">
      <c r="G212" s="10" t="n"/>
      <c r="H212" s="10" t="n"/>
    </row>
    <row r="213">
      <c r="G213" s="10" t="n"/>
      <c r="H213" s="10" t="n"/>
    </row>
    <row r="214">
      <c r="G214" s="10" t="n"/>
      <c r="H214" s="10" t="n"/>
    </row>
    <row r="215">
      <c r="G215" s="10" t="n"/>
      <c r="H215" s="10" t="n"/>
    </row>
    <row r="216">
      <c r="G216" s="10" t="n"/>
      <c r="H216" s="10" t="n"/>
    </row>
    <row r="217">
      <c r="G217" s="10" t="n"/>
      <c r="H217" s="10" t="n"/>
    </row>
    <row r="218">
      <c r="G218" s="10" t="n"/>
      <c r="H218" s="10" t="n"/>
    </row>
    <row r="219">
      <c r="G219" s="10" t="n"/>
      <c r="H219" s="10" t="n"/>
    </row>
    <row r="220">
      <c r="G220" s="10" t="n"/>
      <c r="H220" s="10" t="n"/>
    </row>
    <row r="221">
      <c r="G221" s="10" t="n"/>
      <c r="H221" s="10" t="n"/>
    </row>
    <row r="222">
      <c r="G222" s="10" t="n"/>
      <c r="H222" s="10" t="n"/>
    </row>
    <row r="223">
      <c r="G223" s="10" t="n"/>
      <c r="H223" s="10" t="n"/>
    </row>
    <row r="224">
      <c r="G224" s="10" t="n"/>
      <c r="H224" s="10" t="n"/>
    </row>
    <row r="225">
      <c r="G225" s="10" t="n"/>
      <c r="H225" s="10" t="n"/>
    </row>
    <row r="226">
      <c r="G226" s="10" t="n"/>
      <c r="H226" s="10" t="n"/>
    </row>
    <row r="227">
      <c r="G227" s="10" t="n"/>
      <c r="H227" s="10" t="n"/>
    </row>
    <row r="228">
      <c r="G228" s="10" t="n"/>
      <c r="H228" s="10" t="n"/>
    </row>
    <row r="229">
      <c r="G229" s="10" t="n"/>
      <c r="H229" s="10" t="n"/>
    </row>
    <row r="230">
      <c r="G230" s="10" t="n"/>
      <c r="H230" s="10" t="n"/>
    </row>
    <row r="231">
      <c r="G231" s="10" t="n"/>
      <c r="H231" s="10" t="n"/>
    </row>
    <row r="232">
      <c r="G232" s="10" t="n"/>
      <c r="H232" s="10" t="n"/>
    </row>
    <row r="233">
      <c r="G233" s="10" t="n"/>
      <c r="H233" s="10" t="n"/>
    </row>
    <row r="234">
      <c r="G234" s="10" t="n"/>
      <c r="H234" s="10" t="n"/>
    </row>
    <row r="235">
      <c r="G235" s="10" t="n"/>
      <c r="H235" s="10" t="n"/>
    </row>
    <row r="236">
      <c r="G236" s="10" t="n"/>
      <c r="H236" s="10" t="n"/>
    </row>
    <row r="237">
      <c r="G237" s="10" t="n"/>
      <c r="H237" s="10" t="n"/>
    </row>
    <row r="238">
      <c r="G238" s="10" t="n"/>
      <c r="H238" s="10" t="n"/>
    </row>
    <row r="239">
      <c r="G239" s="10" t="n"/>
      <c r="H239" s="10" t="n"/>
    </row>
    <row r="240">
      <c r="G240" s="10" t="n"/>
      <c r="H240" s="10" t="n"/>
    </row>
    <row r="241">
      <c r="G241" s="10" t="n"/>
      <c r="H241" s="10" t="n"/>
    </row>
    <row r="242">
      <c r="G242" s="10" t="n"/>
      <c r="H242" s="10" t="n"/>
    </row>
    <row r="243">
      <c r="G243" s="10" t="n"/>
      <c r="H243" s="10" t="n"/>
    </row>
    <row r="244">
      <c r="G244" s="10" t="n"/>
      <c r="H244" s="10" t="n"/>
    </row>
    <row r="245">
      <c r="G245" s="10" t="n"/>
      <c r="H245" s="10" t="n"/>
    </row>
    <row r="246">
      <c r="G246" s="10" t="n"/>
      <c r="H246" s="10" t="n"/>
    </row>
    <row r="247">
      <c r="G247" s="10" t="n"/>
      <c r="H247" s="10" t="n"/>
    </row>
    <row r="248">
      <c r="G248" s="10" t="n"/>
      <c r="H248" s="10" t="n"/>
    </row>
    <row r="249">
      <c r="G249" s="10" t="n"/>
      <c r="H249" s="10" t="n"/>
    </row>
    <row r="250">
      <c r="G250" s="10" t="n"/>
      <c r="H250" s="10" t="n"/>
    </row>
    <row r="251">
      <c r="G251" s="10" t="n"/>
      <c r="H251" s="10" t="n"/>
    </row>
    <row r="252">
      <c r="G252" s="10" t="n"/>
      <c r="H252" s="10" t="n"/>
    </row>
    <row r="253">
      <c r="G253" s="10" t="n"/>
      <c r="H253" s="10" t="n"/>
    </row>
    <row r="254">
      <c r="G254" s="10" t="n"/>
      <c r="H254" s="10" t="n"/>
    </row>
    <row r="255">
      <c r="G255" s="10" t="n"/>
      <c r="H255" s="10" t="n"/>
    </row>
    <row r="256">
      <c r="G256" s="10" t="n"/>
      <c r="H256" s="10" t="n"/>
    </row>
    <row r="257">
      <c r="G257" s="10" t="n"/>
      <c r="H257" s="10" t="n"/>
    </row>
    <row r="258">
      <c r="G258" s="10" t="n"/>
      <c r="H258" s="10" t="n"/>
    </row>
    <row r="259">
      <c r="G259" s="10" t="n"/>
      <c r="H259" s="10" t="n"/>
    </row>
    <row r="260">
      <c r="G260" s="10" t="n"/>
      <c r="H260" s="10" t="n"/>
    </row>
    <row r="261">
      <c r="G261" s="10" t="n"/>
      <c r="H261" s="10" t="n"/>
    </row>
    <row r="262">
      <c r="G262" s="10" t="n"/>
      <c r="H262" s="10" t="n"/>
    </row>
    <row r="263">
      <c r="G263" s="10" t="n"/>
      <c r="H263" s="10" t="n"/>
    </row>
    <row r="264">
      <c r="G264" s="10" t="n"/>
      <c r="H264" s="10" t="n"/>
    </row>
    <row r="265">
      <c r="G265" s="10" t="n"/>
      <c r="H265" s="10" t="n"/>
    </row>
    <row r="266">
      <c r="G266" s="10" t="n"/>
      <c r="H266" s="10" t="n"/>
    </row>
    <row r="267">
      <c r="G267" s="10" t="n"/>
      <c r="H267" s="10" t="n"/>
    </row>
    <row r="268">
      <c r="G268" s="10" t="n"/>
      <c r="H268" s="10" t="n"/>
    </row>
    <row r="269">
      <c r="G269" s="10" t="n"/>
      <c r="H269" s="10" t="n"/>
    </row>
    <row r="270">
      <c r="G270" s="10" t="n"/>
      <c r="H270" s="10" t="n"/>
    </row>
    <row r="271">
      <c r="G271" s="10" t="n"/>
      <c r="H271" s="10" t="n"/>
    </row>
    <row r="272">
      <c r="G272" s="10" t="n"/>
      <c r="H272" s="10" t="n"/>
    </row>
    <row r="273">
      <c r="G273" s="10" t="n"/>
      <c r="H273" s="10" t="n"/>
    </row>
    <row r="274">
      <c r="G274" s="10" t="n"/>
      <c r="H274" s="10" t="n"/>
    </row>
    <row r="275">
      <c r="G275" s="10" t="n"/>
      <c r="H275" s="10" t="n"/>
    </row>
    <row r="276">
      <c r="G276" s="10" t="n"/>
      <c r="H276" s="10" t="n"/>
    </row>
    <row r="277">
      <c r="G277" s="10" t="n"/>
      <c r="H277" s="10" t="n"/>
    </row>
    <row r="278">
      <c r="G278" s="10" t="n"/>
      <c r="H278" s="10" t="n"/>
    </row>
    <row r="279">
      <c r="G279" s="10" t="n"/>
      <c r="H279" s="10" t="n"/>
    </row>
    <row r="280">
      <c r="G280" s="10" t="n"/>
      <c r="H280" s="10" t="n"/>
    </row>
    <row r="281">
      <c r="G281" s="10" t="n"/>
      <c r="H281" s="10" t="n"/>
    </row>
    <row r="282">
      <c r="G282" s="10" t="n"/>
      <c r="H282" s="10" t="n"/>
    </row>
    <row r="283">
      <c r="G283" s="10" t="n"/>
      <c r="H283" s="10" t="n"/>
    </row>
    <row r="284">
      <c r="G284" s="10" t="n"/>
      <c r="H284" s="10" t="n"/>
    </row>
    <row r="285">
      <c r="G285" s="10" t="n"/>
      <c r="H285" s="10" t="n"/>
    </row>
    <row r="286">
      <c r="G286" s="10" t="n"/>
      <c r="H286" s="10" t="n"/>
    </row>
    <row r="287">
      <c r="G287" s="10" t="n"/>
      <c r="H287" s="10" t="n"/>
    </row>
    <row r="288">
      <c r="G288" s="10" t="n"/>
      <c r="H288" s="10" t="n"/>
    </row>
    <row r="289">
      <c r="G289" s="10" t="n"/>
      <c r="H289" s="10" t="n"/>
    </row>
    <row r="290">
      <c r="G290" s="10" t="n"/>
      <c r="H290" s="10" t="n"/>
    </row>
    <row r="291">
      <c r="G291" s="10" t="n"/>
      <c r="H291" s="10" t="n"/>
    </row>
    <row r="292">
      <c r="G292" s="10" t="n"/>
      <c r="H292" s="10" t="n"/>
    </row>
    <row r="293">
      <c r="G293" s="10" t="n"/>
      <c r="H293" s="10" t="n"/>
    </row>
    <row r="294">
      <c r="G294" s="10" t="n"/>
      <c r="H294" s="10" t="n"/>
    </row>
    <row r="295">
      <c r="G295" s="10" t="n"/>
      <c r="H295" s="10" t="n"/>
    </row>
    <row r="296">
      <c r="G296" s="10" t="n"/>
      <c r="H296" s="10" t="n"/>
    </row>
    <row r="297">
      <c r="G297" s="10" t="n"/>
      <c r="H297" s="10" t="n"/>
    </row>
    <row r="298">
      <c r="G298" s="10" t="n"/>
      <c r="H298" s="10" t="n"/>
    </row>
    <row r="299">
      <c r="G299" s="10" t="n"/>
      <c r="H299" s="10" t="n"/>
    </row>
    <row r="300">
      <c r="G300" s="10" t="n"/>
      <c r="H300" s="10" t="n"/>
    </row>
    <row r="301">
      <c r="G301" s="10" t="n"/>
      <c r="H301" s="10" t="n"/>
    </row>
    <row r="302">
      <c r="G302" s="10" t="n"/>
      <c r="H302" s="10" t="n"/>
    </row>
    <row r="303">
      <c r="G303" s="10" t="n"/>
      <c r="H303" s="10" t="n"/>
    </row>
    <row r="304">
      <c r="G304" s="10" t="n"/>
      <c r="H304" s="10" t="n"/>
    </row>
    <row r="305">
      <c r="G305" s="10" t="n"/>
      <c r="H305" s="10" t="n"/>
    </row>
    <row r="306">
      <c r="G306" s="10" t="n"/>
      <c r="H306" s="10" t="n"/>
    </row>
    <row r="307">
      <c r="G307" s="10" t="n"/>
      <c r="H307" s="10" t="n"/>
    </row>
    <row r="308">
      <c r="G308" s="10" t="n"/>
      <c r="H308" s="10" t="n"/>
    </row>
    <row r="309">
      <c r="G309" s="10" t="n"/>
      <c r="H309" s="10" t="n"/>
    </row>
    <row r="310">
      <c r="G310" s="10" t="n"/>
      <c r="H310" s="10" t="n"/>
    </row>
    <row r="311">
      <c r="G311" s="10" t="n"/>
      <c r="H311" s="10" t="n"/>
    </row>
    <row r="312">
      <c r="G312" s="10" t="n"/>
      <c r="H312" s="10" t="n"/>
    </row>
    <row r="313">
      <c r="G313" s="10" t="n"/>
      <c r="H313" s="10" t="n"/>
    </row>
    <row r="314">
      <c r="G314" s="10" t="n"/>
      <c r="H314" s="10" t="n"/>
    </row>
    <row r="315">
      <c r="G315" s="10" t="n"/>
      <c r="H315" s="10" t="n"/>
    </row>
    <row r="316">
      <c r="G316" s="10" t="n"/>
      <c r="H316" s="10" t="n"/>
    </row>
    <row r="317">
      <c r="G317" s="10" t="n"/>
      <c r="H317" s="10" t="n"/>
    </row>
    <row r="318">
      <c r="G318" s="10" t="n"/>
      <c r="H318" s="10" t="n"/>
    </row>
    <row r="319">
      <c r="G319" s="10" t="n"/>
      <c r="H319" s="10" t="n"/>
    </row>
    <row r="320">
      <c r="G320" s="10" t="n"/>
      <c r="H320" s="10" t="n"/>
    </row>
    <row r="321">
      <c r="G321" s="10" t="n"/>
      <c r="H321" s="10" t="n"/>
    </row>
    <row r="322">
      <c r="G322" s="10" t="n"/>
      <c r="H322" s="10" t="n"/>
    </row>
    <row r="323">
      <c r="G323" s="10" t="n"/>
      <c r="H323" s="10" t="n"/>
    </row>
    <row r="324">
      <c r="G324" s="10" t="n"/>
      <c r="H324" s="10" t="n"/>
    </row>
    <row r="325">
      <c r="G325" s="10" t="n"/>
      <c r="H325" s="10" t="n"/>
    </row>
    <row r="326">
      <c r="G326" s="10" t="n"/>
      <c r="H326" s="10" t="n"/>
    </row>
    <row r="327">
      <c r="G327" s="10" t="n"/>
      <c r="H327" s="10" t="n"/>
    </row>
    <row r="328">
      <c r="G328" s="10" t="n"/>
      <c r="H328" s="10" t="n"/>
    </row>
    <row r="329">
      <c r="G329" s="10" t="n"/>
      <c r="H329" s="10" t="n"/>
    </row>
    <row r="330">
      <c r="G330" s="10" t="n"/>
      <c r="H330" s="10" t="n"/>
    </row>
    <row r="331">
      <c r="G331" s="10" t="n"/>
      <c r="H331" s="10" t="n"/>
    </row>
    <row r="332">
      <c r="G332" s="10" t="n"/>
      <c r="H332" s="10" t="n"/>
    </row>
    <row r="333">
      <c r="G333" s="10" t="n"/>
      <c r="H333" s="10" t="n"/>
    </row>
    <row r="334">
      <c r="G334" s="10" t="n"/>
      <c r="H334" s="10" t="n"/>
    </row>
    <row r="335">
      <c r="G335" s="10" t="n"/>
      <c r="H335" s="10" t="n"/>
    </row>
    <row r="336">
      <c r="G336" s="10" t="n"/>
      <c r="H336" s="10" t="n"/>
    </row>
    <row r="337">
      <c r="G337" s="10" t="n"/>
      <c r="H337" s="10" t="n"/>
    </row>
    <row r="338">
      <c r="G338" s="10" t="n"/>
      <c r="H338" s="10" t="n"/>
    </row>
    <row r="339">
      <c r="G339" s="10" t="n"/>
      <c r="H339" s="10" t="n"/>
    </row>
    <row r="340">
      <c r="G340" s="10" t="n"/>
      <c r="H340" s="10" t="n"/>
    </row>
    <row r="341">
      <c r="G341" s="10" t="n"/>
      <c r="H341" s="10" t="n"/>
    </row>
    <row r="342">
      <c r="G342" s="10" t="n"/>
      <c r="H342" s="10" t="n"/>
    </row>
    <row r="343">
      <c r="G343" s="10" t="n"/>
      <c r="H343" s="10" t="n"/>
    </row>
    <row r="344">
      <c r="G344" s="10" t="n"/>
      <c r="H344" s="10" t="n"/>
    </row>
    <row r="345">
      <c r="G345" s="10" t="n"/>
      <c r="H345" s="10" t="n"/>
    </row>
    <row r="346">
      <c r="G346" s="10" t="n"/>
      <c r="H346" s="10" t="n"/>
    </row>
    <row r="347">
      <c r="G347" s="10" t="n"/>
      <c r="H347" s="10" t="n"/>
    </row>
    <row r="348">
      <c r="G348" s="10" t="n"/>
      <c r="H348" s="10" t="n"/>
    </row>
    <row r="349">
      <c r="G349" s="10" t="n"/>
      <c r="H349" s="10" t="n"/>
    </row>
    <row r="350">
      <c r="G350" s="10" t="n"/>
      <c r="H350" s="10" t="n"/>
    </row>
    <row r="351">
      <c r="G351" s="10" t="n"/>
      <c r="H351" s="10" t="n"/>
    </row>
    <row r="352">
      <c r="G352" s="10" t="n"/>
      <c r="H352" s="10" t="n"/>
    </row>
    <row r="353">
      <c r="G353" s="10" t="n"/>
      <c r="H353" s="10" t="n"/>
    </row>
    <row r="354">
      <c r="G354" s="10" t="n"/>
      <c r="H354" s="10" t="n"/>
    </row>
    <row r="355">
      <c r="G355" s="10" t="n"/>
      <c r="H355" s="10" t="n"/>
    </row>
    <row r="356">
      <c r="G356" s="10" t="n"/>
      <c r="H356" s="10" t="n"/>
    </row>
    <row r="357">
      <c r="G357" s="10" t="n"/>
      <c r="H357" s="10" t="n"/>
    </row>
    <row r="358">
      <c r="G358" s="10" t="n"/>
      <c r="H358" s="10" t="n"/>
    </row>
    <row r="359">
      <c r="G359" s="10" t="n"/>
      <c r="H359" s="10" t="n"/>
    </row>
    <row r="360">
      <c r="G360" s="10" t="n"/>
      <c r="H360" s="10" t="n"/>
    </row>
    <row r="361">
      <c r="G361" s="10" t="n"/>
      <c r="H361" s="10" t="n"/>
    </row>
    <row r="362">
      <c r="G362" s="10" t="n"/>
      <c r="H362" s="10" t="n"/>
    </row>
    <row r="363">
      <c r="G363" s="10" t="n"/>
      <c r="H363" s="10" t="n"/>
    </row>
    <row r="364">
      <c r="G364" s="10" t="n"/>
      <c r="H364" s="10" t="n"/>
    </row>
    <row r="365">
      <c r="G365" s="10" t="n"/>
      <c r="H365" s="10" t="n"/>
    </row>
    <row r="366">
      <c r="G366" s="10" t="n"/>
      <c r="H366" s="10" t="n"/>
    </row>
    <row r="367">
      <c r="G367" s="10" t="n"/>
      <c r="H367" s="10" t="n"/>
    </row>
    <row r="368">
      <c r="G368" s="10" t="n"/>
      <c r="H368" s="10" t="n"/>
    </row>
    <row r="369">
      <c r="G369" s="10" t="n"/>
      <c r="H369" s="10" t="n"/>
    </row>
    <row r="370">
      <c r="G370" s="10" t="n"/>
      <c r="H370" s="10" t="n"/>
    </row>
    <row r="371">
      <c r="G371" s="10" t="n"/>
      <c r="H371" s="10" t="n"/>
    </row>
    <row r="372">
      <c r="G372" s="10" t="n"/>
      <c r="H372" s="10" t="n"/>
    </row>
    <row r="373">
      <c r="G373" s="10" t="n"/>
      <c r="H373" s="10" t="n"/>
    </row>
    <row r="374">
      <c r="G374" s="10" t="n"/>
      <c r="H374" s="10" t="n"/>
    </row>
    <row r="375">
      <c r="G375" s="10" t="n"/>
      <c r="H375" s="10" t="n"/>
    </row>
    <row r="376">
      <c r="G376" s="10" t="n"/>
      <c r="H376" s="10" t="n"/>
    </row>
    <row r="377">
      <c r="G377" s="10" t="n"/>
      <c r="H377" s="10" t="n"/>
    </row>
    <row r="378">
      <c r="G378" s="10" t="n"/>
      <c r="H378" s="10" t="n"/>
    </row>
    <row r="379">
      <c r="G379" s="10" t="n"/>
      <c r="H379" s="10" t="n"/>
    </row>
    <row r="380">
      <c r="G380" s="10" t="n"/>
      <c r="H380" s="10" t="n"/>
    </row>
    <row r="381">
      <c r="G381" s="10" t="n"/>
      <c r="H381" s="10" t="n"/>
    </row>
    <row r="382">
      <c r="G382" s="10" t="n"/>
      <c r="H382" s="10" t="n"/>
    </row>
    <row r="383">
      <c r="G383" s="10" t="n"/>
      <c r="H383" s="10" t="n"/>
    </row>
    <row r="384">
      <c r="G384" s="10" t="n"/>
      <c r="H384" s="10" t="n"/>
    </row>
    <row r="385">
      <c r="G385" s="10" t="n"/>
      <c r="H385" s="10" t="n"/>
    </row>
    <row r="386">
      <c r="G386" s="10" t="n"/>
      <c r="H386" s="10" t="n"/>
    </row>
    <row r="387">
      <c r="G387" s="10" t="n"/>
      <c r="H387" s="10" t="n"/>
    </row>
    <row r="388">
      <c r="G388" s="10" t="n"/>
      <c r="H388" s="10" t="n"/>
    </row>
    <row r="389">
      <c r="G389" s="10" t="n"/>
      <c r="H389" s="10" t="n"/>
    </row>
    <row r="390">
      <c r="G390" s="10" t="n"/>
      <c r="H390" s="10" t="n"/>
    </row>
    <row r="391">
      <c r="G391" s="10" t="n"/>
      <c r="H391" s="10" t="n"/>
    </row>
    <row r="392">
      <c r="G392" s="10" t="n"/>
      <c r="H392" s="10" t="n"/>
    </row>
    <row r="393">
      <c r="G393" s="10" t="n"/>
      <c r="H393" s="10" t="n"/>
    </row>
    <row r="394">
      <c r="G394" s="10" t="n"/>
      <c r="H394" s="10" t="n"/>
    </row>
    <row r="395">
      <c r="G395" s="10" t="n"/>
      <c r="H395" s="10" t="n"/>
    </row>
    <row r="396">
      <c r="G396" s="10" t="n"/>
      <c r="H396" s="10" t="n"/>
    </row>
    <row r="397">
      <c r="G397" s="10" t="n"/>
      <c r="H397" s="10" t="n"/>
    </row>
    <row r="398">
      <c r="G398" s="10" t="n"/>
      <c r="H398" s="10" t="n"/>
    </row>
    <row r="399">
      <c r="G399" s="10" t="n"/>
      <c r="H399" s="10" t="n"/>
    </row>
    <row r="400">
      <c r="G400" s="10" t="n"/>
      <c r="H400" s="10" t="n"/>
    </row>
    <row r="401">
      <c r="G401" s="10" t="n"/>
      <c r="H401" s="10" t="n"/>
    </row>
    <row r="402">
      <c r="G402" s="10" t="n"/>
      <c r="H402" s="10" t="n"/>
    </row>
    <row r="403">
      <c r="G403" s="10" t="n"/>
      <c r="H403" s="10" t="n"/>
    </row>
    <row r="404">
      <c r="G404" s="10" t="n"/>
      <c r="H404" s="10" t="n"/>
    </row>
    <row r="405">
      <c r="G405" s="10" t="n"/>
      <c r="H405" s="10" t="n"/>
    </row>
    <row r="406">
      <c r="G406" s="10" t="n"/>
      <c r="H406" s="10" t="n"/>
    </row>
    <row r="407">
      <c r="G407" s="10" t="n"/>
      <c r="H407" s="10" t="n"/>
    </row>
    <row r="408">
      <c r="G408" s="10" t="n"/>
      <c r="H408" s="10" t="n"/>
    </row>
    <row r="409">
      <c r="G409" s="10" t="n"/>
      <c r="H409" s="10" t="n"/>
    </row>
    <row r="410">
      <c r="G410" s="10" t="n"/>
      <c r="H410" s="10" t="n"/>
    </row>
    <row r="411">
      <c r="G411" s="10" t="n"/>
      <c r="H411" s="10" t="n"/>
    </row>
    <row r="412">
      <c r="G412" s="10" t="n"/>
      <c r="H412" s="10" t="n"/>
    </row>
    <row r="413">
      <c r="G413" s="10" t="n"/>
      <c r="H413" s="10" t="n"/>
    </row>
    <row r="414">
      <c r="G414" s="10" t="n"/>
      <c r="H414" s="10" t="n"/>
    </row>
    <row r="415">
      <c r="G415" s="10" t="n"/>
      <c r="H415" s="10" t="n"/>
    </row>
    <row r="416">
      <c r="G416" s="10" t="n"/>
      <c r="H416" s="10" t="n"/>
    </row>
    <row r="417">
      <c r="G417" s="10" t="n"/>
      <c r="H417" s="10" t="n"/>
    </row>
    <row r="418">
      <c r="G418" s="10" t="n"/>
      <c r="H418" s="10" t="n"/>
    </row>
    <row r="419">
      <c r="G419" s="10" t="n"/>
      <c r="H419" s="10" t="n"/>
    </row>
    <row r="420">
      <c r="G420" s="10" t="n"/>
      <c r="H420" s="10" t="n"/>
    </row>
    <row r="421">
      <c r="G421" s="10" t="n"/>
      <c r="H421" s="10" t="n"/>
    </row>
    <row r="422">
      <c r="G422" s="10" t="n"/>
      <c r="H422" s="10" t="n"/>
    </row>
    <row r="423">
      <c r="G423" s="10" t="n"/>
      <c r="H423" s="10" t="n"/>
    </row>
    <row r="424">
      <c r="G424" s="10" t="n"/>
      <c r="H424" s="10" t="n"/>
    </row>
    <row r="425">
      <c r="G425" s="10" t="n"/>
      <c r="H425" s="10" t="n"/>
    </row>
    <row r="426">
      <c r="G426" s="10" t="n"/>
      <c r="H426" s="10" t="n"/>
    </row>
    <row r="427">
      <c r="G427" s="10" t="n"/>
      <c r="H427" s="10" t="n"/>
    </row>
    <row r="428">
      <c r="G428" s="10" t="n"/>
      <c r="H428" s="10" t="n"/>
    </row>
    <row r="429">
      <c r="G429" s="10" t="n"/>
      <c r="H429" s="10" t="n"/>
    </row>
    <row r="430">
      <c r="G430" s="10" t="n"/>
      <c r="H430" s="10" t="n"/>
    </row>
    <row r="431">
      <c r="G431" s="10" t="n"/>
      <c r="H431" s="10" t="n"/>
    </row>
    <row r="432">
      <c r="G432" s="10" t="n"/>
      <c r="H432" s="10" t="n"/>
    </row>
    <row r="433">
      <c r="G433" s="10" t="n"/>
      <c r="H433" s="10" t="n"/>
    </row>
    <row r="434">
      <c r="G434" s="10" t="n"/>
      <c r="H434" s="10" t="n"/>
    </row>
    <row r="435">
      <c r="G435" s="10" t="n"/>
      <c r="H435" s="10" t="n"/>
    </row>
    <row r="436">
      <c r="G436" s="10" t="n"/>
      <c r="H436" s="10" t="n"/>
    </row>
    <row r="437">
      <c r="G437" s="10" t="n"/>
      <c r="H437" s="10" t="n"/>
    </row>
    <row r="438">
      <c r="G438" s="10" t="n"/>
      <c r="H438" s="10" t="n"/>
    </row>
    <row r="439">
      <c r="G439" s="10" t="n"/>
      <c r="H439" s="10" t="n"/>
    </row>
    <row r="440">
      <c r="G440" s="10" t="n"/>
      <c r="H440" s="10" t="n"/>
    </row>
    <row r="441">
      <c r="G441" s="10" t="n"/>
      <c r="H441" s="10" t="n"/>
    </row>
    <row r="442">
      <c r="G442" s="10" t="n"/>
      <c r="H442" s="10" t="n"/>
    </row>
    <row r="443">
      <c r="G443" s="10" t="n"/>
      <c r="H443" s="10" t="n"/>
    </row>
    <row r="444">
      <c r="G444" s="10" t="n"/>
      <c r="H444" s="10" t="n"/>
    </row>
    <row r="445">
      <c r="G445" s="10" t="n"/>
      <c r="H445" s="10" t="n"/>
    </row>
    <row r="446">
      <c r="G446" s="10" t="n"/>
      <c r="H446" s="10" t="n"/>
    </row>
    <row r="447">
      <c r="G447" s="10" t="n"/>
      <c r="H447" s="10" t="n"/>
    </row>
    <row r="448">
      <c r="G448" s="10" t="n"/>
      <c r="H448" s="10" t="n"/>
    </row>
    <row r="449">
      <c r="G449" s="10" t="n"/>
      <c r="H449" s="10" t="n"/>
    </row>
    <row r="450">
      <c r="G450" s="10" t="n"/>
      <c r="H450" s="10" t="n"/>
    </row>
    <row r="451">
      <c r="G451" s="10" t="n"/>
      <c r="H451" s="10" t="n"/>
    </row>
    <row r="452">
      <c r="G452" s="10" t="n"/>
      <c r="H452" s="10" t="n"/>
    </row>
    <row r="453">
      <c r="G453" s="10" t="n"/>
      <c r="H453" s="10" t="n"/>
    </row>
    <row r="454">
      <c r="G454" s="10" t="n"/>
      <c r="H454" s="10" t="n"/>
    </row>
    <row r="455">
      <c r="G455" s="10" t="n"/>
      <c r="H455" s="10" t="n"/>
    </row>
    <row r="456">
      <c r="G456" s="10" t="n"/>
      <c r="H456" s="10" t="n"/>
    </row>
    <row r="457">
      <c r="G457" s="10" t="n"/>
      <c r="H457" s="10" t="n"/>
    </row>
    <row r="458">
      <c r="G458" s="10" t="n"/>
      <c r="H458" s="10" t="n"/>
    </row>
    <row r="459">
      <c r="G459" s="10" t="n"/>
      <c r="H459" s="10" t="n"/>
    </row>
    <row r="460">
      <c r="G460" s="10" t="n"/>
      <c r="H460" s="10" t="n"/>
    </row>
    <row r="461">
      <c r="G461" s="10" t="n"/>
      <c r="H461" s="10" t="n"/>
    </row>
    <row r="462">
      <c r="G462" s="10" t="n"/>
      <c r="H462" s="10" t="n"/>
    </row>
    <row r="463">
      <c r="G463" s="10" t="n"/>
      <c r="H463" s="10" t="n"/>
    </row>
    <row r="464">
      <c r="G464" s="10" t="n"/>
      <c r="H464" s="10" t="n"/>
    </row>
    <row r="465">
      <c r="G465" s="10" t="n"/>
      <c r="H465" s="10" t="n"/>
    </row>
    <row r="466">
      <c r="G466" s="10" t="n"/>
      <c r="H466" s="10" t="n"/>
    </row>
    <row r="467">
      <c r="G467" s="10" t="n"/>
      <c r="H467" s="10" t="n"/>
    </row>
    <row r="468">
      <c r="G468" s="10" t="n"/>
      <c r="H468" s="10" t="n"/>
    </row>
    <row r="469">
      <c r="G469" s="10" t="n"/>
      <c r="H469" s="10" t="n"/>
    </row>
    <row r="470">
      <c r="G470" s="10" t="n"/>
      <c r="H470" s="10" t="n"/>
    </row>
    <row r="471">
      <c r="G471" s="10" t="n"/>
      <c r="H471" s="10" t="n"/>
    </row>
    <row r="472">
      <c r="G472" s="10" t="n"/>
      <c r="H472" s="10" t="n"/>
    </row>
    <row r="473">
      <c r="G473" s="10" t="n"/>
      <c r="H473" s="10" t="n"/>
    </row>
    <row r="474">
      <c r="G474" s="10" t="n"/>
      <c r="H474" s="10" t="n"/>
    </row>
    <row r="475">
      <c r="G475" s="10" t="n"/>
      <c r="H475" s="10" t="n"/>
    </row>
    <row r="476">
      <c r="G476" s="10" t="n"/>
      <c r="H476" s="10" t="n"/>
    </row>
    <row r="477">
      <c r="G477" s="10" t="n"/>
      <c r="H477" s="10" t="n"/>
    </row>
    <row r="478">
      <c r="G478" s="10" t="n"/>
      <c r="H478" s="10" t="n"/>
    </row>
    <row r="479">
      <c r="G479" s="10" t="n"/>
      <c r="H479" s="10" t="n"/>
    </row>
    <row r="480">
      <c r="G480" s="10" t="n"/>
      <c r="H480" s="10" t="n"/>
    </row>
    <row r="481">
      <c r="G481" s="10" t="n"/>
      <c r="H481" s="10" t="n"/>
    </row>
    <row r="482">
      <c r="G482" s="10" t="n"/>
      <c r="H482" s="10" t="n"/>
    </row>
    <row r="483">
      <c r="G483" s="10" t="n"/>
      <c r="H483" s="10" t="n"/>
    </row>
    <row r="484">
      <c r="G484" s="10" t="n"/>
      <c r="H484" s="10" t="n"/>
    </row>
    <row r="485">
      <c r="G485" s="10" t="n"/>
      <c r="H485" s="10" t="n"/>
    </row>
    <row r="486">
      <c r="G486" s="10" t="n"/>
      <c r="H486" s="10" t="n"/>
    </row>
    <row r="487">
      <c r="G487" s="10" t="n"/>
      <c r="H487" s="10" t="n"/>
    </row>
    <row r="488">
      <c r="G488" s="10" t="n"/>
      <c r="H488" s="10" t="n"/>
    </row>
    <row r="489">
      <c r="G489" s="10" t="n"/>
      <c r="H489" s="10" t="n"/>
    </row>
    <row r="490">
      <c r="G490" s="10" t="n"/>
      <c r="H490" s="10" t="n"/>
    </row>
    <row r="491">
      <c r="G491" s="10" t="n"/>
      <c r="H491" s="10" t="n"/>
    </row>
    <row r="492">
      <c r="G492" s="10" t="n"/>
      <c r="H492" s="10" t="n"/>
    </row>
    <row r="493">
      <c r="G493" s="10" t="n"/>
      <c r="H493" s="10" t="n"/>
    </row>
    <row r="494">
      <c r="G494" s="10" t="n"/>
      <c r="H494" s="10" t="n"/>
    </row>
    <row r="495">
      <c r="G495" s="10" t="n"/>
      <c r="H495" s="10" t="n"/>
    </row>
    <row r="496">
      <c r="G496" s="10" t="n"/>
      <c r="H496" s="10" t="n"/>
    </row>
    <row r="497">
      <c r="G497" s="10" t="n"/>
      <c r="H497" s="10" t="n"/>
    </row>
    <row r="498">
      <c r="G498" s="10" t="n"/>
      <c r="H498" s="10" t="n"/>
    </row>
    <row r="499">
      <c r="G499" s="10" t="n"/>
      <c r="H499" s="10" t="n"/>
    </row>
    <row r="500">
      <c r="G500" s="10" t="n"/>
      <c r="H500" s="10" t="n"/>
    </row>
    <row r="501">
      <c r="G501" s="10" t="n"/>
      <c r="H501" s="10" t="n"/>
    </row>
    <row r="502">
      <c r="G502" s="10" t="n"/>
      <c r="H502" s="10" t="n"/>
    </row>
    <row r="503">
      <c r="G503" s="10" t="n"/>
      <c r="H503" s="10" t="n"/>
    </row>
    <row r="504">
      <c r="G504" s="10" t="n"/>
      <c r="H504" s="10" t="n"/>
    </row>
    <row r="505">
      <c r="G505" s="10" t="n"/>
      <c r="H505" s="10" t="n"/>
    </row>
    <row r="506">
      <c r="G506" s="10" t="n"/>
      <c r="H506" s="10" t="n"/>
    </row>
    <row r="507">
      <c r="G507" s="10" t="n"/>
      <c r="H507" s="10" t="n"/>
    </row>
    <row r="508">
      <c r="G508" s="10" t="n"/>
      <c r="H508" s="10" t="n"/>
    </row>
    <row r="509">
      <c r="G509" s="10" t="n"/>
      <c r="H509" s="10" t="n"/>
    </row>
    <row r="510">
      <c r="G510" s="10" t="n"/>
      <c r="H510" s="10" t="n"/>
    </row>
    <row r="511">
      <c r="G511" s="10" t="n"/>
      <c r="H511" s="10" t="n"/>
    </row>
    <row r="512">
      <c r="G512" s="10" t="n"/>
      <c r="H512" s="10" t="n"/>
    </row>
    <row r="513">
      <c r="G513" s="10" t="n"/>
      <c r="H513" s="10" t="n"/>
    </row>
    <row r="514">
      <c r="G514" s="10" t="n"/>
      <c r="H514" s="10" t="n"/>
    </row>
    <row r="515">
      <c r="G515" s="10" t="n"/>
      <c r="H515" s="10" t="n"/>
    </row>
    <row r="516">
      <c r="G516" s="10" t="n"/>
      <c r="H516" s="10" t="n"/>
    </row>
    <row r="517">
      <c r="G517" s="10" t="n"/>
      <c r="H517" s="10" t="n"/>
    </row>
    <row r="518">
      <c r="G518" s="10" t="n"/>
      <c r="H518" s="10" t="n"/>
    </row>
    <row r="519">
      <c r="G519" s="10" t="n"/>
      <c r="H519" s="10" t="n"/>
    </row>
    <row r="520">
      <c r="G520" s="10" t="n"/>
      <c r="H520" s="10" t="n"/>
    </row>
    <row r="521">
      <c r="G521" s="10" t="n"/>
      <c r="H521" s="10" t="n"/>
    </row>
    <row r="522">
      <c r="G522" s="10" t="n"/>
      <c r="H522" s="10" t="n"/>
    </row>
    <row r="523">
      <c r="G523" s="10" t="n"/>
      <c r="H523" s="10" t="n"/>
    </row>
    <row r="524">
      <c r="G524" s="10" t="n"/>
      <c r="H524" s="10" t="n"/>
    </row>
    <row r="525">
      <c r="G525" s="10" t="n"/>
      <c r="H525" s="10" t="n"/>
    </row>
    <row r="526">
      <c r="G526" s="10" t="n"/>
      <c r="H526" s="10" t="n"/>
    </row>
    <row r="527">
      <c r="G527" s="10" t="n"/>
      <c r="H527" s="10" t="n"/>
    </row>
    <row r="528">
      <c r="G528" s="10" t="n"/>
      <c r="H528" s="10" t="n"/>
    </row>
    <row r="529">
      <c r="G529" s="10" t="n"/>
      <c r="H529" s="10" t="n"/>
    </row>
    <row r="530">
      <c r="G530" s="10" t="n"/>
      <c r="H530" s="10" t="n"/>
    </row>
    <row r="531">
      <c r="G531" s="10" t="n"/>
      <c r="H531" s="10" t="n"/>
    </row>
    <row r="532">
      <c r="G532" s="10" t="n"/>
      <c r="H532" s="10" t="n"/>
    </row>
    <row r="533">
      <c r="G533" s="10" t="n"/>
      <c r="H533" s="10" t="n"/>
    </row>
    <row r="534">
      <c r="G534" s="10" t="n"/>
      <c r="H534" s="10" t="n"/>
    </row>
    <row r="535">
      <c r="G535" s="10" t="n"/>
      <c r="H535" s="10" t="n"/>
    </row>
    <row r="536">
      <c r="G536" s="10" t="n"/>
      <c r="H536" s="10" t="n"/>
    </row>
    <row r="537">
      <c r="G537" s="10" t="n"/>
      <c r="H537" s="10" t="n"/>
    </row>
    <row r="538">
      <c r="G538" s="10" t="n"/>
      <c r="H538" s="10" t="n"/>
    </row>
    <row r="539">
      <c r="G539" s="10" t="n"/>
      <c r="H539" s="10" t="n"/>
    </row>
    <row r="540">
      <c r="G540" s="10" t="n"/>
      <c r="H540" s="10" t="n"/>
    </row>
    <row r="541">
      <c r="G541" s="10" t="n"/>
      <c r="H541" s="10" t="n"/>
    </row>
    <row r="542">
      <c r="G542" s="10" t="n"/>
      <c r="H542" s="10" t="n"/>
    </row>
    <row r="543">
      <c r="G543" s="10" t="n"/>
      <c r="H543" s="10" t="n"/>
    </row>
    <row r="544">
      <c r="G544" s="10" t="n"/>
      <c r="H544" s="10" t="n"/>
    </row>
    <row r="545">
      <c r="G545" s="10" t="n"/>
      <c r="H545" s="10" t="n"/>
    </row>
    <row r="546">
      <c r="G546" s="10" t="n"/>
      <c r="H546" s="10" t="n"/>
    </row>
    <row r="547">
      <c r="G547" s="10" t="n"/>
      <c r="H547" s="10" t="n"/>
    </row>
    <row r="548">
      <c r="G548" s="10" t="n"/>
      <c r="H548" s="10" t="n"/>
    </row>
    <row r="549">
      <c r="G549" s="10" t="n"/>
      <c r="H549" s="10" t="n"/>
    </row>
    <row r="550">
      <c r="G550" s="10" t="n"/>
      <c r="H550" s="10" t="n"/>
    </row>
    <row r="551">
      <c r="G551" s="10" t="n"/>
      <c r="H551" s="10" t="n"/>
    </row>
    <row r="552">
      <c r="G552" s="10" t="n"/>
      <c r="H552" s="10" t="n"/>
    </row>
    <row r="553">
      <c r="G553" s="10" t="n"/>
      <c r="H553" s="10" t="n"/>
    </row>
    <row r="554">
      <c r="G554" s="10" t="n"/>
      <c r="H554" s="10" t="n"/>
    </row>
    <row r="555">
      <c r="G555" s="10" t="n"/>
      <c r="H555" s="10" t="n"/>
    </row>
    <row r="556">
      <c r="G556" s="10" t="n"/>
      <c r="H556" s="10" t="n"/>
    </row>
    <row r="557">
      <c r="G557" s="10" t="n"/>
      <c r="H557" s="10" t="n"/>
    </row>
    <row r="558">
      <c r="G558" s="10" t="n"/>
      <c r="H558" s="10" t="n"/>
    </row>
    <row r="559">
      <c r="G559" s="10" t="n"/>
      <c r="H559" s="10" t="n"/>
    </row>
    <row r="560">
      <c r="G560" s="10" t="n"/>
      <c r="H560" s="10" t="n"/>
    </row>
    <row r="561">
      <c r="G561" s="10" t="n"/>
      <c r="H561" s="10" t="n"/>
    </row>
    <row r="562">
      <c r="G562" s="10" t="n"/>
      <c r="H562" s="10" t="n"/>
    </row>
    <row r="563">
      <c r="G563" s="10" t="n"/>
      <c r="H563" s="10" t="n"/>
    </row>
    <row r="564">
      <c r="G564" s="10" t="n"/>
      <c r="H564" s="10" t="n"/>
    </row>
    <row r="565">
      <c r="G565" s="10" t="n"/>
      <c r="H565" s="10" t="n"/>
    </row>
    <row r="566">
      <c r="G566" s="10" t="n"/>
      <c r="H566" s="10" t="n"/>
    </row>
    <row r="567">
      <c r="G567" s="10" t="n"/>
      <c r="H567" s="10" t="n"/>
    </row>
    <row r="568">
      <c r="G568" s="10" t="n"/>
      <c r="H568" s="10" t="n"/>
    </row>
    <row r="569">
      <c r="G569" s="10" t="n"/>
      <c r="H569" s="10" t="n"/>
    </row>
    <row r="570">
      <c r="G570" s="10" t="n"/>
      <c r="H570" s="10" t="n"/>
    </row>
    <row r="571">
      <c r="G571" s="10" t="n"/>
      <c r="H571" s="10" t="n"/>
    </row>
    <row r="572">
      <c r="G572" s="10" t="n"/>
      <c r="H572" s="10" t="n"/>
    </row>
    <row r="573">
      <c r="G573" s="10" t="n"/>
      <c r="H573" s="10" t="n"/>
    </row>
    <row r="574">
      <c r="G574" s="10" t="n"/>
      <c r="H574" s="10" t="n"/>
    </row>
    <row r="575">
      <c r="G575" s="10" t="n"/>
      <c r="H575" s="10" t="n"/>
    </row>
    <row r="576">
      <c r="G576" s="10" t="n"/>
      <c r="H576" s="10" t="n"/>
    </row>
    <row r="577">
      <c r="G577" s="10" t="n"/>
      <c r="H577" s="10" t="n"/>
    </row>
    <row r="578">
      <c r="G578" s="10" t="n"/>
      <c r="H578" s="10" t="n"/>
    </row>
    <row r="579">
      <c r="G579" s="10" t="n"/>
      <c r="H579" s="10" t="n"/>
    </row>
    <row r="580">
      <c r="G580" s="10" t="n"/>
      <c r="H580" s="10" t="n"/>
    </row>
    <row r="581">
      <c r="G581" s="10" t="n"/>
      <c r="H581" s="10" t="n"/>
    </row>
    <row r="582">
      <c r="G582" s="10" t="n"/>
      <c r="H582" s="10" t="n"/>
    </row>
    <row r="583">
      <c r="G583" s="10" t="n"/>
      <c r="H583" s="10" t="n"/>
    </row>
    <row r="584">
      <c r="G584" s="10" t="n"/>
      <c r="H584" s="10" t="n"/>
    </row>
    <row r="585">
      <c r="G585" s="10" t="n"/>
      <c r="H585" s="10" t="n"/>
    </row>
    <row r="586">
      <c r="G586" s="10" t="n"/>
      <c r="H586" s="10" t="n"/>
    </row>
    <row r="587">
      <c r="G587" s="10" t="n"/>
      <c r="H587" s="10" t="n"/>
    </row>
    <row r="588">
      <c r="G588" s="10" t="n"/>
      <c r="H588" s="10" t="n"/>
    </row>
    <row r="589">
      <c r="G589" s="10" t="n"/>
      <c r="H589" s="10" t="n"/>
    </row>
    <row r="590">
      <c r="G590" s="10" t="n"/>
      <c r="H590" s="10" t="n"/>
    </row>
    <row r="591">
      <c r="G591" s="10" t="n"/>
      <c r="H591" s="10" t="n"/>
    </row>
    <row r="592">
      <c r="G592" s="10" t="n"/>
      <c r="H592" s="10" t="n"/>
    </row>
    <row r="593">
      <c r="G593" s="10" t="n"/>
      <c r="H593" s="10" t="n"/>
    </row>
    <row r="594">
      <c r="G594" s="10" t="n"/>
      <c r="H594" s="10" t="n"/>
    </row>
    <row r="595">
      <c r="G595" s="10" t="n"/>
      <c r="H595" s="10" t="n"/>
    </row>
    <row r="596">
      <c r="G596" s="10" t="n"/>
      <c r="H596" s="10" t="n"/>
    </row>
    <row r="597">
      <c r="G597" s="10" t="n"/>
      <c r="H597" s="10" t="n"/>
    </row>
    <row r="598">
      <c r="G598" s="10" t="n"/>
      <c r="H598" s="10" t="n"/>
    </row>
    <row r="599">
      <c r="G599" s="10" t="n"/>
      <c r="H599" s="10" t="n"/>
    </row>
    <row r="600">
      <c r="G600" s="10" t="n"/>
      <c r="H600" s="10" t="n"/>
    </row>
    <row r="601">
      <c r="G601" s="10" t="n"/>
      <c r="H601" s="10" t="n"/>
    </row>
    <row r="602">
      <c r="G602" s="10" t="n"/>
      <c r="H602" s="10" t="n"/>
    </row>
    <row r="603">
      <c r="G603" s="10" t="n"/>
      <c r="H603" s="10" t="n"/>
    </row>
    <row r="604">
      <c r="G604" s="10" t="n"/>
      <c r="H604" s="10" t="n"/>
    </row>
    <row r="605">
      <c r="G605" s="10" t="n"/>
      <c r="H605" s="10" t="n"/>
    </row>
    <row r="606">
      <c r="G606" s="10" t="n"/>
      <c r="H606" s="10" t="n"/>
    </row>
    <row r="607">
      <c r="G607" s="10" t="n"/>
      <c r="H607" s="10" t="n"/>
    </row>
    <row r="608">
      <c r="G608" s="10" t="n"/>
      <c r="H608" s="10" t="n"/>
    </row>
    <row r="609">
      <c r="G609" s="10" t="n"/>
      <c r="H609" s="10" t="n"/>
    </row>
    <row r="610">
      <c r="G610" s="10" t="n"/>
      <c r="H610" s="10" t="n"/>
    </row>
    <row r="611">
      <c r="G611" s="10" t="n"/>
      <c r="H611" s="10" t="n"/>
    </row>
    <row r="612">
      <c r="G612" s="10" t="n"/>
      <c r="H612" s="10" t="n"/>
    </row>
    <row r="613">
      <c r="G613" s="10" t="n"/>
      <c r="H613" s="10" t="n"/>
    </row>
    <row r="614">
      <c r="G614" s="10" t="n"/>
      <c r="H614" s="10" t="n"/>
    </row>
    <row r="615">
      <c r="G615" s="10" t="n"/>
      <c r="H615" s="10" t="n"/>
    </row>
    <row r="616">
      <c r="G616" s="10" t="n"/>
      <c r="H616" s="10" t="n"/>
    </row>
    <row r="617">
      <c r="G617" s="10" t="n"/>
      <c r="H617" s="10" t="n"/>
    </row>
    <row r="618">
      <c r="G618" s="10" t="n"/>
      <c r="H618" s="10" t="n"/>
    </row>
    <row r="619">
      <c r="G619" s="10" t="n"/>
      <c r="H619" s="10" t="n"/>
    </row>
    <row r="620">
      <c r="G620" s="10" t="n"/>
      <c r="H620" s="10" t="n"/>
    </row>
    <row r="621">
      <c r="G621" s="10" t="n"/>
      <c r="H621" s="10" t="n"/>
    </row>
    <row r="622">
      <c r="G622" s="10" t="n"/>
      <c r="H622" s="10" t="n"/>
    </row>
    <row r="623">
      <c r="G623" s="10" t="n"/>
      <c r="H623" s="10" t="n"/>
    </row>
    <row r="624">
      <c r="G624" s="10" t="n"/>
      <c r="H624" s="10" t="n"/>
    </row>
    <row r="625">
      <c r="G625" s="10" t="n"/>
      <c r="H625" s="10" t="n"/>
    </row>
    <row r="626">
      <c r="G626" s="10" t="n"/>
      <c r="H626" s="10" t="n"/>
    </row>
    <row r="627">
      <c r="G627" s="10" t="n"/>
      <c r="H627" s="10" t="n"/>
    </row>
    <row r="628">
      <c r="G628" s="10" t="n"/>
      <c r="H628" s="10" t="n"/>
    </row>
    <row r="629">
      <c r="G629" s="10" t="n"/>
      <c r="H629" s="10" t="n"/>
    </row>
    <row r="630">
      <c r="G630" s="10" t="n"/>
      <c r="H630" s="10" t="n"/>
    </row>
    <row r="631">
      <c r="G631" s="10" t="n"/>
      <c r="H631" s="10" t="n"/>
    </row>
    <row r="632">
      <c r="G632" s="10" t="n"/>
      <c r="H632" s="10" t="n"/>
    </row>
    <row r="633">
      <c r="G633" s="10" t="n"/>
      <c r="H633" s="10" t="n"/>
    </row>
    <row r="634">
      <c r="G634" s="10" t="n"/>
      <c r="H634" s="10" t="n"/>
    </row>
    <row r="635">
      <c r="G635" s="10" t="n"/>
      <c r="H635" s="10" t="n"/>
    </row>
    <row r="636">
      <c r="G636" s="10" t="n"/>
      <c r="H636" s="10" t="n"/>
    </row>
    <row r="637">
      <c r="G637" s="10" t="n"/>
      <c r="H637" s="10" t="n"/>
    </row>
    <row r="638">
      <c r="G638" s="10" t="n"/>
      <c r="H638" s="10" t="n"/>
    </row>
    <row r="639">
      <c r="G639" s="10" t="n"/>
      <c r="H639" s="10" t="n"/>
    </row>
    <row r="640">
      <c r="G640" s="10" t="n"/>
      <c r="H640" s="10" t="n"/>
    </row>
    <row r="641">
      <c r="G641" s="10" t="n"/>
      <c r="H641" s="10" t="n"/>
    </row>
    <row r="642">
      <c r="G642" s="10" t="n"/>
      <c r="H642" s="10" t="n"/>
    </row>
    <row r="643">
      <c r="G643" s="10" t="n"/>
      <c r="H643" s="10" t="n"/>
    </row>
    <row r="644">
      <c r="G644" s="10" t="n"/>
      <c r="H644" s="10" t="n"/>
    </row>
    <row r="645">
      <c r="G645" s="10" t="n"/>
      <c r="H645" s="10" t="n"/>
    </row>
    <row r="646">
      <c r="G646" s="10" t="n"/>
      <c r="H646" s="10" t="n"/>
    </row>
    <row r="647">
      <c r="G647" s="10" t="n"/>
      <c r="H647" s="10" t="n"/>
    </row>
    <row r="648">
      <c r="G648" s="10" t="n"/>
      <c r="H648" s="10" t="n"/>
    </row>
    <row r="649">
      <c r="G649" s="10" t="n"/>
      <c r="H649" s="10" t="n"/>
    </row>
    <row r="650">
      <c r="G650" s="10" t="n"/>
      <c r="H650" s="10" t="n"/>
    </row>
    <row r="651">
      <c r="G651" s="10" t="n"/>
      <c r="H651" s="10" t="n"/>
    </row>
    <row r="652">
      <c r="G652" s="10" t="n"/>
      <c r="H652" s="10" t="n"/>
    </row>
    <row r="653">
      <c r="G653" s="10" t="n"/>
      <c r="H653" s="10" t="n"/>
    </row>
    <row r="654">
      <c r="G654" s="10" t="n"/>
      <c r="H654" s="10" t="n"/>
    </row>
    <row r="655">
      <c r="G655" s="10" t="n"/>
      <c r="H655" s="10" t="n"/>
    </row>
    <row r="656">
      <c r="G656" s="10" t="n"/>
      <c r="H656" s="10" t="n"/>
    </row>
    <row r="657">
      <c r="G657" s="10" t="n"/>
      <c r="H657" s="10" t="n"/>
    </row>
    <row r="658">
      <c r="G658" s="10" t="n"/>
      <c r="H658" s="10" t="n"/>
    </row>
    <row r="659">
      <c r="G659" s="10" t="n"/>
      <c r="H659" s="10" t="n"/>
    </row>
    <row r="660">
      <c r="G660" s="10" t="n"/>
      <c r="H660" s="10" t="n"/>
    </row>
    <row r="661">
      <c r="G661" s="10" t="n"/>
      <c r="H661" s="10" t="n"/>
    </row>
    <row r="662">
      <c r="G662" s="10" t="n"/>
      <c r="H662" s="10" t="n"/>
    </row>
    <row r="663">
      <c r="G663" s="10" t="n"/>
      <c r="H663" s="10" t="n"/>
    </row>
    <row r="664">
      <c r="G664" s="10" t="n"/>
      <c r="H664" s="10" t="n"/>
    </row>
    <row r="665">
      <c r="G665" s="10" t="n"/>
      <c r="H665" s="10" t="n"/>
    </row>
    <row r="666">
      <c r="G666" s="10" t="n"/>
      <c r="H666" s="10" t="n"/>
    </row>
    <row r="667">
      <c r="G667" s="10" t="n"/>
      <c r="H667" s="10" t="n"/>
    </row>
    <row r="668">
      <c r="G668" s="10" t="n"/>
      <c r="H668" s="10" t="n"/>
    </row>
    <row r="669">
      <c r="G669" s="10" t="n"/>
      <c r="H669" s="10" t="n"/>
    </row>
    <row r="670">
      <c r="G670" s="10" t="n"/>
      <c r="H670" s="10" t="n"/>
    </row>
    <row r="671">
      <c r="G671" s="10" t="n"/>
      <c r="H671" s="10" t="n"/>
    </row>
    <row r="672">
      <c r="G672" s="10" t="n"/>
      <c r="H672" s="10" t="n"/>
    </row>
    <row r="673">
      <c r="G673" s="10" t="n"/>
      <c r="H673" s="10" t="n"/>
    </row>
    <row r="674">
      <c r="G674" s="10" t="n"/>
      <c r="H674" s="10" t="n"/>
    </row>
    <row r="675">
      <c r="G675" s="10" t="n"/>
      <c r="H675" s="10" t="n"/>
    </row>
    <row r="676">
      <c r="G676" s="10" t="n"/>
      <c r="H676" s="10" t="n"/>
    </row>
    <row r="677">
      <c r="G677" s="10" t="n"/>
      <c r="H677" s="10" t="n"/>
    </row>
    <row r="678">
      <c r="G678" s="10" t="n"/>
      <c r="H678" s="10" t="n"/>
    </row>
    <row r="679">
      <c r="G679" s="10" t="n"/>
      <c r="H679" s="10" t="n"/>
    </row>
    <row r="680">
      <c r="G680" s="10" t="n"/>
      <c r="H680" s="10" t="n"/>
    </row>
    <row r="681">
      <c r="G681" s="10" t="n"/>
      <c r="H681" s="10" t="n"/>
    </row>
    <row r="682">
      <c r="G682" s="10" t="n"/>
      <c r="H682" s="10" t="n"/>
    </row>
    <row r="683">
      <c r="G683" s="10" t="n"/>
      <c r="H683" s="10" t="n"/>
    </row>
    <row r="684">
      <c r="G684" s="10" t="n"/>
      <c r="H684" s="10" t="n"/>
    </row>
    <row r="685">
      <c r="G685" s="10" t="n"/>
      <c r="H685" s="10" t="n"/>
    </row>
    <row r="686">
      <c r="G686" s="10" t="n"/>
      <c r="H686" s="10" t="n"/>
    </row>
    <row r="687">
      <c r="G687" s="10" t="n"/>
      <c r="H687" s="10" t="n"/>
    </row>
    <row r="688">
      <c r="G688" s="10" t="n"/>
      <c r="H688" s="10" t="n"/>
    </row>
    <row r="689">
      <c r="G689" s="10" t="n"/>
      <c r="H689" s="10" t="n"/>
    </row>
    <row r="690">
      <c r="G690" s="10" t="n"/>
      <c r="H690" s="10" t="n"/>
    </row>
    <row r="691">
      <c r="G691" s="10" t="n"/>
      <c r="H691" s="10" t="n"/>
    </row>
    <row r="692">
      <c r="G692" s="10" t="n"/>
      <c r="H692" s="10" t="n"/>
    </row>
    <row r="693">
      <c r="G693" s="10" t="n"/>
      <c r="H693" s="10" t="n"/>
    </row>
    <row r="694">
      <c r="G694" s="10" t="n"/>
      <c r="H694" s="10" t="n"/>
    </row>
    <row r="695">
      <c r="G695" s="10" t="n"/>
      <c r="H695" s="10" t="n"/>
    </row>
    <row r="696">
      <c r="G696" s="10" t="n"/>
      <c r="H696" s="10" t="n"/>
    </row>
    <row r="697">
      <c r="G697" s="10" t="n"/>
      <c r="H697" s="10" t="n"/>
    </row>
    <row r="698">
      <c r="G698" s="10" t="n"/>
      <c r="H698" s="10" t="n"/>
    </row>
    <row r="699">
      <c r="G699" s="10" t="n"/>
      <c r="H699" s="10" t="n"/>
    </row>
    <row r="700">
      <c r="G700" s="10" t="n"/>
      <c r="H700" s="10" t="n"/>
    </row>
    <row r="701">
      <c r="G701" s="10" t="n"/>
      <c r="H701" s="10" t="n"/>
    </row>
    <row r="702">
      <c r="G702" s="10" t="n"/>
      <c r="H702" s="10" t="n"/>
    </row>
    <row r="703">
      <c r="G703" s="10" t="n"/>
      <c r="H703" s="10" t="n"/>
    </row>
    <row r="704">
      <c r="G704" s="10" t="n"/>
      <c r="H704" s="10" t="n"/>
    </row>
    <row r="705">
      <c r="G705" s="10" t="n"/>
      <c r="H705" s="10" t="n"/>
    </row>
    <row r="706">
      <c r="G706" s="10" t="n"/>
      <c r="H706" s="10" t="n"/>
    </row>
    <row r="707">
      <c r="G707" s="10" t="n"/>
      <c r="H707" s="10" t="n"/>
    </row>
    <row r="708">
      <c r="G708" s="10" t="n"/>
      <c r="H708" s="10" t="n"/>
    </row>
    <row r="709">
      <c r="G709" s="10" t="n"/>
      <c r="H709" s="10" t="n"/>
    </row>
    <row r="710">
      <c r="G710" s="10" t="n"/>
      <c r="H710" s="10" t="n"/>
    </row>
    <row r="711">
      <c r="G711" s="10" t="n"/>
      <c r="H711" s="10" t="n"/>
    </row>
    <row r="712">
      <c r="G712" s="10" t="n"/>
      <c r="H712" s="10" t="n"/>
    </row>
    <row r="713">
      <c r="G713" s="10" t="n"/>
      <c r="H713" s="10" t="n"/>
    </row>
    <row r="714">
      <c r="G714" s="10" t="n"/>
      <c r="H714" s="10" t="n"/>
    </row>
    <row r="715">
      <c r="G715" s="10" t="n"/>
      <c r="H715" s="10" t="n"/>
    </row>
    <row r="716">
      <c r="G716" s="10" t="n"/>
      <c r="H716" s="10" t="n"/>
    </row>
    <row r="717">
      <c r="G717" s="10" t="n"/>
      <c r="H717" s="10" t="n"/>
    </row>
    <row r="718">
      <c r="G718" s="10" t="n"/>
      <c r="H718" s="10" t="n"/>
    </row>
    <row r="719">
      <c r="G719" s="10" t="n"/>
      <c r="H719" s="10" t="n"/>
    </row>
    <row r="720">
      <c r="G720" s="10" t="n"/>
      <c r="H720" s="10" t="n"/>
    </row>
    <row r="721">
      <c r="G721" s="10" t="n"/>
      <c r="H721" s="10" t="n"/>
    </row>
    <row r="722">
      <c r="G722" s="10" t="n"/>
      <c r="H722" s="10" t="n"/>
    </row>
    <row r="723">
      <c r="G723" s="10" t="n"/>
      <c r="H723" s="10" t="n"/>
    </row>
    <row r="724">
      <c r="G724" s="10" t="n"/>
      <c r="H724" s="10" t="n"/>
    </row>
    <row r="725">
      <c r="G725" s="10" t="n"/>
      <c r="H725" s="10" t="n"/>
    </row>
    <row r="726">
      <c r="G726" s="10" t="n"/>
      <c r="H726" s="10" t="n"/>
    </row>
    <row r="727">
      <c r="G727" s="10" t="n"/>
      <c r="H727" s="10" t="n"/>
    </row>
    <row r="728">
      <c r="G728" s="10" t="n"/>
      <c r="H728" s="10" t="n"/>
    </row>
    <row r="729">
      <c r="G729" s="10" t="n"/>
      <c r="H729" s="10" t="n"/>
    </row>
    <row r="730">
      <c r="G730" s="10" t="n"/>
      <c r="H730" s="10" t="n"/>
    </row>
    <row r="731">
      <c r="G731" s="10" t="n"/>
      <c r="H731" s="10" t="n"/>
    </row>
    <row r="732">
      <c r="G732" s="10" t="n"/>
      <c r="H732" s="10" t="n"/>
    </row>
    <row r="733">
      <c r="G733" s="10" t="n"/>
      <c r="H733" s="10" t="n"/>
    </row>
    <row r="734">
      <c r="G734" s="10" t="n"/>
      <c r="H734" s="10" t="n"/>
    </row>
    <row r="735">
      <c r="G735" s="10" t="n"/>
      <c r="H735" s="10" t="n"/>
    </row>
    <row r="736">
      <c r="G736" s="10" t="n"/>
      <c r="H736" s="10" t="n"/>
    </row>
    <row r="737">
      <c r="G737" s="10" t="n"/>
      <c r="H737" s="10" t="n"/>
    </row>
    <row r="738">
      <c r="G738" s="10" t="n"/>
      <c r="H738" s="10" t="n"/>
    </row>
    <row r="739">
      <c r="G739" s="10" t="n"/>
      <c r="H739" s="10" t="n"/>
    </row>
    <row r="740">
      <c r="G740" s="10" t="n"/>
      <c r="H740" s="10" t="n"/>
    </row>
    <row r="741">
      <c r="G741" s="10" t="n"/>
      <c r="H741" s="10" t="n"/>
    </row>
    <row r="742">
      <c r="G742" s="10" t="n"/>
      <c r="H742" s="10" t="n"/>
    </row>
    <row r="743">
      <c r="G743" s="10" t="n"/>
      <c r="H743" s="10" t="n"/>
    </row>
    <row r="744">
      <c r="G744" s="10" t="n"/>
      <c r="H744" s="10" t="n"/>
    </row>
    <row r="745">
      <c r="G745" s="10" t="n"/>
      <c r="H745" s="10" t="n"/>
    </row>
    <row r="746">
      <c r="G746" s="10" t="n"/>
      <c r="H746" s="10" t="n"/>
    </row>
    <row r="747">
      <c r="G747" s="10" t="n"/>
      <c r="H747" s="10" t="n"/>
    </row>
    <row r="748">
      <c r="G748" s="10" t="n"/>
      <c r="H748" s="10" t="n"/>
    </row>
    <row r="749">
      <c r="G749" s="10" t="n"/>
      <c r="H749" s="10" t="n"/>
    </row>
    <row r="750">
      <c r="G750" s="10" t="n"/>
      <c r="H750" s="10" t="n"/>
    </row>
    <row r="751">
      <c r="G751" s="10" t="n"/>
      <c r="H751" s="10" t="n"/>
    </row>
    <row r="752">
      <c r="G752" s="10" t="n"/>
      <c r="H752" s="10" t="n"/>
    </row>
    <row r="753">
      <c r="G753" s="10" t="n"/>
      <c r="H753" s="10" t="n"/>
    </row>
    <row r="754">
      <c r="G754" s="10" t="n"/>
      <c r="H754" s="10" t="n"/>
    </row>
    <row r="755">
      <c r="G755" s="10" t="n"/>
      <c r="H755" s="10" t="n"/>
    </row>
    <row r="756">
      <c r="G756" s="10" t="n"/>
      <c r="H756" s="10" t="n"/>
    </row>
    <row r="757">
      <c r="G757" s="10" t="n"/>
      <c r="H757" s="10" t="n"/>
    </row>
    <row r="758">
      <c r="G758" s="10" t="n"/>
      <c r="H758" s="10" t="n"/>
    </row>
    <row r="759">
      <c r="G759" s="10" t="n"/>
      <c r="H759" s="10" t="n"/>
    </row>
    <row r="760">
      <c r="G760" s="10" t="n"/>
      <c r="H760" s="10" t="n"/>
    </row>
    <row r="761">
      <c r="G761" s="10" t="n"/>
      <c r="H761" s="10" t="n"/>
    </row>
    <row r="762">
      <c r="G762" s="10" t="n"/>
      <c r="H762" s="10" t="n"/>
    </row>
    <row r="763">
      <c r="G763" s="10" t="n"/>
      <c r="H763" s="10" t="n"/>
    </row>
    <row r="764">
      <c r="G764" s="10" t="n"/>
      <c r="H764" s="10" t="n"/>
    </row>
    <row r="765">
      <c r="G765" s="10" t="n"/>
      <c r="H765" s="10" t="n"/>
    </row>
    <row r="766">
      <c r="G766" s="10" t="n"/>
      <c r="H766" s="10" t="n"/>
    </row>
    <row r="767">
      <c r="G767" s="10" t="n"/>
      <c r="H767" s="10" t="n"/>
    </row>
    <row r="768">
      <c r="G768" s="10" t="n"/>
      <c r="H768" s="10" t="n"/>
    </row>
    <row r="769">
      <c r="G769" s="10" t="n"/>
      <c r="H769" s="10" t="n"/>
    </row>
    <row r="770">
      <c r="G770" s="10" t="n"/>
      <c r="H770" s="10" t="n"/>
    </row>
    <row r="771">
      <c r="G771" s="10" t="n"/>
      <c r="H771" s="10" t="n"/>
    </row>
    <row r="772">
      <c r="G772" s="10" t="n"/>
      <c r="H772" s="10" t="n"/>
    </row>
    <row r="773">
      <c r="G773" s="10" t="n"/>
      <c r="H773" s="10" t="n"/>
    </row>
    <row r="774">
      <c r="G774" s="10" t="n"/>
      <c r="H774" s="10" t="n"/>
    </row>
    <row r="775">
      <c r="G775" s="10" t="n"/>
      <c r="H775" s="10" t="n"/>
    </row>
    <row r="776">
      <c r="G776" s="10" t="n"/>
      <c r="H776" s="10" t="n"/>
    </row>
    <row r="777">
      <c r="G777" s="10" t="n"/>
      <c r="H777" s="10" t="n"/>
    </row>
    <row r="778">
      <c r="G778" s="10" t="n"/>
      <c r="H778" s="10" t="n"/>
    </row>
    <row r="779">
      <c r="G779" s="10" t="n"/>
      <c r="H779" s="10" t="n"/>
    </row>
    <row r="780">
      <c r="G780" s="10" t="n"/>
      <c r="H780" s="10" t="n"/>
    </row>
    <row r="781">
      <c r="G781" s="10" t="n"/>
      <c r="H781" s="10" t="n"/>
    </row>
    <row r="782">
      <c r="G782" s="10" t="n"/>
      <c r="H782" s="10" t="n"/>
    </row>
    <row r="783">
      <c r="G783" s="10" t="n"/>
      <c r="H783" s="10" t="n"/>
    </row>
    <row r="784">
      <c r="G784" s="10" t="n"/>
      <c r="H784" s="10" t="n"/>
    </row>
    <row r="785">
      <c r="G785" s="10" t="n"/>
      <c r="H785" s="10" t="n"/>
    </row>
    <row r="786">
      <c r="G786" s="10" t="n"/>
      <c r="H786" s="10" t="n"/>
    </row>
    <row r="787">
      <c r="G787" s="10" t="n"/>
      <c r="H787" s="10" t="n"/>
    </row>
    <row r="788">
      <c r="G788" s="10" t="n"/>
      <c r="H788" s="10" t="n"/>
    </row>
    <row r="789">
      <c r="G789" s="10" t="n"/>
      <c r="H789" s="10" t="n"/>
    </row>
    <row r="790">
      <c r="G790" s="10" t="n"/>
      <c r="H790" s="10" t="n"/>
    </row>
    <row r="791">
      <c r="G791" s="10" t="n"/>
      <c r="H791" s="10" t="n"/>
    </row>
    <row r="792">
      <c r="G792" s="10" t="n"/>
      <c r="H792" s="10" t="n"/>
    </row>
    <row r="793">
      <c r="G793" s="10" t="n"/>
      <c r="H793" s="10" t="n"/>
    </row>
    <row r="794">
      <c r="G794" s="10" t="n"/>
      <c r="H794" s="10" t="n"/>
    </row>
    <row r="795">
      <c r="G795" s="10" t="n"/>
      <c r="H795" s="10" t="n"/>
    </row>
    <row r="796">
      <c r="G796" s="10" t="n"/>
      <c r="H796" s="10" t="n"/>
    </row>
    <row r="797">
      <c r="G797" s="10" t="n"/>
      <c r="H797" s="10" t="n"/>
    </row>
    <row r="798">
      <c r="G798" s="10" t="n"/>
      <c r="H798" s="10" t="n"/>
    </row>
    <row r="799">
      <c r="G799" s="10" t="n"/>
      <c r="H799" s="10" t="n"/>
    </row>
    <row r="800">
      <c r="G800" s="10" t="n"/>
      <c r="H800" s="10" t="n"/>
    </row>
    <row r="801">
      <c r="G801" s="10" t="n"/>
      <c r="H801" s="10" t="n"/>
    </row>
    <row r="802">
      <c r="G802" s="10" t="n"/>
      <c r="H802" s="10" t="n"/>
    </row>
    <row r="803">
      <c r="G803" s="10" t="n"/>
      <c r="H803" s="10" t="n"/>
    </row>
    <row r="804">
      <c r="G804" s="10" t="n"/>
      <c r="H804" s="10" t="n"/>
    </row>
    <row r="805">
      <c r="G805" s="10" t="n"/>
      <c r="H805" s="10" t="n"/>
    </row>
    <row r="806">
      <c r="G806" s="10" t="n"/>
      <c r="H806" s="10" t="n"/>
    </row>
    <row r="807">
      <c r="G807" s="10" t="n"/>
      <c r="H807" s="10" t="n"/>
    </row>
    <row r="808">
      <c r="G808" s="10" t="n"/>
      <c r="H808" s="10" t="n"/>
    </row>
    <row r="809">
      <c r="G809" s="10" t="n"/>
      <c r="H809" s="10" t="n"/>
    </row>
    <row r="810">
      <c r="G810" s="10" t="n"/>
      <c r="H810" s="10" t="n"/>
    </row>
    <row r="811">
      <c r="G811" s="10" t="n"/>
      <c r="H811" s="10" t="n"/>
    </row>
    <row r="812">
      <c r="G812" s="10" t="n"/>
      <c r="H812" s="10" t="n"/>
    </row>
    <row r="813">
      <c r="G813" s="10" t="n"/>
      <c r="H813" s="10" t="n"/>
    </row>
    <row r="814">
      <c r="G814" s="10" t="n"/>
      <c r="H814" s="10" t="n"/>
    </row>
    <row r="815">
      <c r="G815" s="10" t="n"/>
      <c r="H815" s="10" t="n"/>
    </row>
    <row r="816">
      <c r="G816" s="10" t="n"/>
      <c r="H816" s="10" t="n"/>
    </row>
    <row r="817">
      <c r="G817" s="10" t="n"/>
      <c r="H817" s="10" t="n"/>
    </row>
    <row r="818">
      <c r="G818" s="10" t="n"/>
      <c r="H818" s="10" t="n"/>
    </row>
    <row r="819">
      <c r="G819" s="10" t="n"/>
      <c r="H819" s="10" t="n"/>
    </row>
    <row r="820">
      <c r="G820" s="10" t="n"/>
      <c r="H820" s="10" t="n"/>
    </row>
    <row r="821">
      <c r="G821" s="10" t="n"/>
      <c r="H821" s="10" t="n"/>
    </row>
    <row r="822">
      <c r="G822" s="10" t="n"/>
      <c r="H822" s="10" t="n"/>
    </row>
    <row r="823">
      <c r="G823" s="10" t="n"/>
      <c r="H823" s="10" t="n"/>
    </row>
    <row r="824">
      <c r="G824" s="10" t="n"/>
      <c r="H824" s="10" t="n"/>
    </row>
    <row r="825">
      <c r="G825" s="10" t="n"/>
      <c r="H825" s="10" t="n"/>
    </row>
    <row r="826">
      <c r="G826" s="10" t="n"/>
      <c r="H826" s="10" t="n"/>
    </row>
    <row r="827">
      <c r="G827" s="10" t="n"/>
      <c r="H827" s="10" t="n"/>
    </row>
    <row r="828">
      <c r="G828" s="10" t="n"/>
      <c r="H828" s="10" t="n"/>
    </row>
    <row r="829">
      <c r="G829" s="10" t="n"/>
      <c r="H829" s="10" t="n"/>
    </row>
    <row r="830">
      <c r="G830" s="10" t="n"/>
      <c r="H830" s="10" t="n"/>
    </row>
    <row r="831">
      <c r="G831" s="10" t="n"/>
      <c r="H831" s="10" t="n"/>
    </row>
    <row r="832">
      <c r="G832" s="10" t="n"/>
      <c r="H832" s="10" t="n"/>
    </row>
    <row r="833">
      <c r="G833" s="10" t="n"/>
      <c r="H833" s="10" t="n"/>
    </row>
    <row r="834">
      <c r="G834" s="10" t="n"/>
      <c r="H834" s="10" t="n"/>
    </row>
    <row r="835">
      <c r="G835" s="10" t="n"/>
      <c r="H835" s="10" t="n"/>
    </row>
    <row r="836">
      <c r="G836" s="10" t="n"/>
      <c r="H836" s="10" t="n"/>
    </row>
    <row r="837">
      <c r="G837" s="10" t="n"/>
      <c r="H837" s="10" t="n"/>
    </row>
    <row r="838">
      <c r="G838" s="10" t="n"/>
      <c r="H838" s="10" t="n"/>
    </row>
    <row r="839">
      <c r="G839" s="10" t="n"/>
      <c r="H839" s="10" t="n"/>
    </row>
    <row r="840">
      <c r="G840" s="10" t="n"/>
      <c r="H840" s="10" t="n"/>
    </row>
    <row r="841">
      <c r="G841" s="10" t="n"/>
      <c r="H841" s="10" t="n"/>
    </row>
    <row r="842">
      <c r="G842" s="10" t="n"/>
      <c r="H842" s="10" t="n"/>
    </row>
    <row r="843">
      <c r="G843" s="10" t="n"/>
      <c r="H843" s="10" t="n"/>
    </row>
    <row r="844">
      <c r="G844" s="10" t="n"/>
      <c r="H844" s="10" t="n"/>
    </row>
    <row r="845">
      <c r="G845" s="10" t="n"/>
      <c r="H845" s="10" t="n"/>
    </row>
    <row r="846">
      <c r="G846" s="10" t="n"/>
      <c r="H846" s="10" t="n"/>
    </row>
    <row r="847">
      <c r="G847" s="10" t="n"/>
      <c r="H847" s="10" t="n"/>
    </row>
    <row r="848">
      <c r="G848" s="10" t="n"/>
      <c r="H848" s="10" t="n"/>
    </row>
    <row r="849">
      <c r="G849" s="10" t="n"/>
      <c r="H849" s="10" t="n"/>
    </row>
    <row r="850">
      <c r="G850" s="10" t="n"/>
      <c r="H850" s="10" t="n"/>
    </row>
    <row r="851">
      <c r="G851" s="10" t="n"/>
      <c r="H851" s="10" t="n"/>
    </row>
    <row r="852">
      <c r="G852" s="10" t="n"/>
      <c r="H852" s="10" t="n"/>
    </row>
    <row r="853">
      <c r="G853" s="10" t="n"/>
      <c r="H853" s="10" t="n"/>
    </row>
    <row r="854">
      <c r="G854" s="10" t="n"/>
      <c r="H854" s="10" t="n"/>
    </row>
    <row r="855">
      <c r="G855" s="10" t="n"/>
      <c r="H855" s="10" t="n"/>
    </row>
    <row r="856">
      <c r="G856" s="10" t="n"/>
      <c r="H856" s="10" t="n"/>
    </row>
    <row r="857">
      <c r="G857" s="10" t="n"/>
      <c r="H857" s="10" t="n"/>
    </row>
    <row r="858">
      <c r="G858" s="10" t="n"/>
      <c r="H858" s="10" t="n"/>
    </row>
    <row r="859">
      <c r="G859" s="10" t="n"/>
      <c r="H859" s="10" t="n"/>
    </row>
    <row r="860">
      <c r="G860" s="10" t="n"/>
      <c r="H860" s="10" t="n"/>
    </row>
    <row r="861">
      <c r="G861" s="10" t="n"/>
      <c r="H861" s="10" t="n"/>
    </row>
    <row r="862">
      <c r="G862" s="10" t="n"/>
      <c r="H862" s="10" t="n"/>
    </row>
    <row r="863">
      <c r="G863" s="10" t="n"/>
      <c r="H863" s="10" t="n"/>
    </row>
    <row r="864">
      <c r="G864" s="10" t="n"/>
      <c r="H864" s="10" t="n"/>
    </row>
    <row r="865">
      <c r="G865" s="10" t="n"/>
      <c r="H865" s="10" t="n"/>
    </row>
    <row r="866">
      <c r="G866" s="10" t="n"/>
      <c r="H866" s="10" t="n"/>
    </row>
    <row r="867">
      <c r="G867" s="10" t="n"/>
      <c r="H867" s="10" t="n"/>
    </row>
    <row r="868">
      <c r="G868" s="10" t="n"/>
      <c r="H868" s="10" t="n"/>
    </row>
    <row r="869">
      <c r="G869" s="10" t="n"/>
      <c r="H869" s="10" t="n"/>
    </row>
    <row r="870">
      <c r="G870" s="10" t="n"/>
      <c r="H870" s="10" t="n"/>
    </row>
    <row r="871">
      <c r="G871" s="10" t="n"/>
      <c r="H871" s="10" t="n"/>
    </row>
    <row r="872">
      <c r="G872" s="10" t="n"/>
      <c r="H872" s="10" t="n"/>
    </row>
    <row r="873">
      <c r="G873" s="10" t="n"/>
      <c r="H873" s="10" t="n"/>
    </row>
    <row r="874">
      <c r="G874" s="10" t="n"/>
      <c r="H874" s="10" t="n"/>
    </row>
    <row r="875">
      <c r="G875" s="10" t="n"/>
      <c r="H875" s="10" t="n"/>
    </row>
    <row r="876">
      <c r="G876" s="10" t="n"/>
      <c r="H876" s="10" t="n"/>
    </row>
    <row r="877">
      <c r="G877" s="10" t="n"/>
      <c r="H877" s="10" t="n"/>
    </row>
    <row r="878">
      <c r="G878" s="10" t="n"/>
      <c r="H878" s="10" t="n"/>
    </row>
    <row r="879">
      <c r="G879" s="10" t="n"/>
      <c r="H879" s="10" t="n"/>
    </row>
    <row r="880">
      <c r="G880" s="10" t="n"/>
      <c r="H880" s="10" t="n"/>
    </row>
    <row r="881">
      <c r="G881" s="10" t="n"/>
      <c r="H881" s="10" t="n"/>
    </row>
    <row r="882">
      <c r="G882" s="10" t="n"/>
      <c r="H882" s="10" t="n"/>
    </row>
    <row r="883">
      <c r="G883" s="10" t="n"/>
      <c r="H883" s="10" t="n"/>
    </row>
    <row r="884">
      <c r="G884" s="10" t="n"/>
      <c r="H884" s="10" t="n"/>
    </row>
    <row r="885">
      <c r="G885" s="10" t="n"/>
      <c r="H885" s="10" t="n"/>
    </row>
    <row r="886">
      <c r="G886" s="10" t="n"/>
      <c r="H886" s="10" t="n"/>
    </row>
    <row r="887">
      <c r="G887" s="10" t="n"/>
      <c r="H887" s="10" t="n"/>
    </row>
    <row r="888">
      <c r="G888" s="10" t="n"/>
      <c r="H888" s="10" t="n"/>
    </row>
    <row r="889">
      <c r="G889" s="10" t="n"/>
      <c r="H889" s="10" t="n"/>
    </row>
    <row r="890">
      <c r="G890" s="10" t="n"/>
      <c r="H890" s="10" t="n"/>
    </row>
    <row r="891">
      <c r="G891" s="10" t="n"/>
      <c r="H891" s="10" t="n"/>
    </row>
    <row r="892">
      <c r="G892" s="10" t="n"/>
      <c r="H892" s="10" t="n"/>
    </row>
    <row r="893">
      <c r="G893" s="10" t="n"/>
      <c r="H893" s="10" t="n"/>
    </row>
    <row r="894">
      <c r="G894" s="10" t="n"/>
      <c r="H894" s="10" t="n"/>
    </row>
    <row r="895">
      <c r="G895" s="10" t="n"/>
      <c r="H895" s="10" t="n"/>
    </row>
    <row r="896">
      <c r="G896" s="10" t="n"/>
      <c r="H896" s="10" t="n"/>
    </row>
    <row r="897">
      <c r="G897" s="10" t="n"/>
      <c r="H897" s="10" t="n"/>
    </row>
    <row r="898">
      <c r="G898" s="10" t="n"/>
      <c r="H898" s="10" t="n"/>
    </row>
    <row r="899">
      <c r="G899" s="10" t="n"/>
      <c r="H899" s="10" t="n"/>
    </row>
    <row r="900">
      <c r="G900" s="10" t="n"/>
      <c r="H900" s="10" t="n"/>
    </row>
    <row r="901">
      <c r="G901" s="10" t="n"/>
      <c r="H901" s="10" t="n"/>
    </row>
    <row r="902">
      <c r="G902" s="10" t="n"/>
      <c r="H902" s="10" t="n"/>
    </row>
    <row r="903">
      <c r="G903" s="10" t="n"/>
      <c r="H903" s="10" t="n"/>
    </row>
    <row r="904">
      <c r="G904" s="10" t="n"/>
      <c r="H904" s="10" t="n"/>
    </row>
    <row r="905">
      <c r="G905" s="10" t="n"/>
      <c r="H905" s="10" t="n"/>
    </row>
    <row r="906">
      <c r="G906" s="10" t="n"/>
      <c r="H906" s="10" t="n"/>
    </row>
    <row r="907">
      <c r="G907" s="10" t="n"/>
      <c r="H907" s="10" t="n"/>
    </row>
    <row r="908">
      <c r="G908" s="10" t="n"/>
      <c r="H908" s="10" t="n"/>
    </row>
    <row r="909">
      <c r="G909" s="10" t="n"/>
      <c r="H909" s="10" t="n"/>
    </row>
    <row r="910">
      <c r="G910" s="10" t="n"/>
      <c r="H910" s="10" t="n"/>
    </row>
    <row r="911">
      <c r="G911" s="10" t="n"/>
      <c r="H911" s="10" t="n"/>
    </row>
    <row r="912">
      <c r="G912" s="10" t="n"/>
      <c r="H912" s="10" t="n"/>
    </row>
    <row r="913">
      <c r="G913" s="10" t="n"/>
      <c r="H913" s="10" t="n"/>
    </row>
    <row r="914">
      <c r="G914" s="10" t="n"/>
      <c r="H914" s="10" t="n"/>
    </row>
    <row r="915">
      <c r="G915" s="10" t="n"/>
      <c r="H915" s="10" t="n"/>
    </row>
    <row r="916">
      <c r="G916" s="10" t="n"/>
      <c r="H916" s="10" t="n"/>
    </row>
    <row r="917">
      <c r="G917" s="10" t="n"/>
      <c r="H917" s="10" t="n"/>
    </row>
    <row r="918">
      <c r="G918" s="10" t="n"/>
      <c r="H918" s="10" t="n"/>
    </row>
    <row r="919">
      <c r="G919" s="10" t="n"/>
      <c r="H919" s="10" t="n"/>
    </row>
    <row r="920">
      <c r="G920" s="10" t="n"/>
      <c r="H920" s="10" t="n"/>
    </row>
    <row r="921">
      <c r="G921" s="10" t="n"/>
      <c r="H921" s="10" t="n"/>
    </row>
    <row r="922">
      <c r="G922" s="10" t="n"/>
      <c r="H922" s="10" t="n"/>
    </row>
    <row r="923">
      <c r="G923" s="10" t="n"/>
      <c r="H923" s="10" t="n"/>
    </row>
    <row r="924">
      <c r="G924" s="10" t="n"/>
      <c r="H924" s="10" t="n"/>
    </row>
    <row r="925">
      <c r="G925" s="10" t="n"/>
      <c r="H925" s="10" t="n"/>
    </row>
    <row r="926">
      <c r="G926" s="10" t="n"/>
      <c r="H926" s="10" t="n"/>
    </row>
    <row r="927">
      <c r="G927" s="10" t="n"/>
      <c r="H927" s="10" t="n"/>
    </row>
    <row r="928">
      <c r="G928" s="10" t="n"/>
      <c r="H928" s="10" t="n"/>
    </row>
    <row r="929">
      <c r="G929" s="10" t="n"/>
      <c r="H929" s="10" t="n"/>
    </row>
    <row r="930">
      <c r="G930" s="10" t="n"/>
      <c r="H930" s="10" t="n"/>
    </row>
    <row r="931">
      <c r="G931" s="10" t="n"/>
      <c r="H931" s="10" t="n"/>
    </row>
    <row r="932">
      <c r="G932" s="10" t="n"/>
      <c r="H932" s="10" t="n"/>
    </row>
    <row r="933">
      <c r="G933" s="10" t="n"/>
      <c r="H933" s="10" t="n"/>
    </row>
    <row r="934">
      <c r="G934" s="10" t="n"/>
      <c r="H934" s="10" t="n"/>
    </row>
    <row r="935">
      <c r="G935" s="10" t="n"/>
      <c r="H935" s="10" t="n"/>
    </row>
    <row r="936">
      <c r="G936" s="10" t="n"/>
      <c r="H936" s="10" t="n"/>
    </row>
    <row r="937">
      <c r="G937" s="10" t="n"/>
      <c r="H937" s="10" t="n"/>
    </row>
    <row r="938">
      <c r="G938" s="10" t="n"/>
      <c r="H938" s="10" t="n"/>
    </row>
    <row r="939">
      <c r="G939" s="10" t="n"/>
      <c r="H939" s="10" t="n"/>
    </row>
    <row r="940">
      <c r="G940" s="10" t="n"/>
      <c r="H940" s="10" t="n"/>
    </row>
    <row r="941">
      <c r="G941" s="10" t="n"/>
      <c r="H941" s="10" t="n"/>
    </row>
    <row r="942">
      <c r="G942" s="10" t="n"/>
      <c r="H942" s="10" t="n"/>
    </row>
    <row r="943">
      <c r="G943" s="10" t="n"/>
      <c r="H943" s="10" t="n"/>
    </row>
    <row r="944">
      <c r="G944" s="10" t="n"/>
      <c r="H944" s="10" t="n"/>
    </row>
    <row r="945">
      <c r="G945" s="10" t="n"/>
      <c r="H945" s="10" t="n"/>
    </row>
    <row r="946">
      <c r="G946" s="10" t="n"/>
      <c r="H946" s="10" t="n"/>
    </row>
    <row r="947">
      <c r="G947" s="10" t="n"/>
      <c r="H947" s="10" t="n"/>
    </row>
    <row r="948">
      <c r="G948" s="10" t="n"/>
      <c r="H948" s="10" t="n"/>
    </row>
    <row r="949">
      <c r="G949" s="10" t="n"/>
      <c r="H949" s="10" t="n"/>
    </row>
    <row r="950">
      <c r="G950" s="10" t="n"/>
      <c r="H950" s="10" t="n"/>
    </row>
    <row r="951">
      <c r="G951" s="10" t="n"/>
      <c r="H951" s="10" t="n"/>
    </row>
    <row r="952">
      <c r="G952" s="10" t="n"/>
      <c r="H952" s="10" t="n"/>
    </row>
    <row r="953">
      <c r="G953" s="10" t="n"/>
      <c r="H953" s="10" t="n"/>
    </row>
    <row r="954">
      <c r="G954" s="10" t="n"/>
      <c r="H954" s="10" t="n"/>
    </row>
    <row r="955">
      <c r="G955" s="10" t="n"/>
      <c r="H955" s="10" t="n"/>
    </row>
    <row r="956">
      <c r="G956" s="10" t="n"/>
      <c r="H956" s="10" t="n"/>
    </row>
    <row r="957">
      <c r="G957" s="10" t="n"/>
      <c r="H957" s="10" t="n"/>
    </row>
    <row r="958">
      <c r="G958" s="10" t="n"/>
      <c r="H958" s="10" t="n"/>
    </row>
    <row r="959">
      <c r="G959" s="10" t="n"/>
      <c r="H959" s="10" t="n"/>
    </row>
    <row r="960">
      <c r="G960" s="10" t="n"/>
      <c r="H960" s="10" t="n"/>
    </row>
    <row r="961">
      <c r="G961" s="10" t="n"/>
      <c r="H961" s="10" t="n"/>
    </row>
    <row r="962">
      <c r="G962" s="10" t="n"/>
      <c r="H962" s="10" t="n"/>
    </row>
    <row r="963">
      <c r="G963" s="10" t="n"/>
      <c r="H963" s="10" t="n"/>
    </row>
    <row r="964">
      <c r="G964" s="10" t="n"/>
      <c r="H964" s="10" t="n"/>
    </row>
    <row r="965">
      <c r="G965" s="10" t="n"/>
      <c r="H965" s="10" t="n"/>
    </row>
    <row r="966">
      <c r="G966" s="10" t="n"/>
      <c r="H966" s="10" t="n"/>
    </row>
    <row r="967">
      <c r="G967" s="10" t="n"/>
      <c r="H967" s="10" t="n"/>
    </row>
    <row r="968">
      <c r="G968" s="10" t="n"/>
      <c r="H968" s="10" t="n"/>
    </row>
    <row r="969">
      <c r="G969" s="10" t="n"/>
      <c r="H969" s="10" t="n"/>
    </row>
    <row r="970">
      <c r="G970" s="10" t="n"/>
      <c r="H970" s="10" t="n"/>
    </row>
    <row r="971">
      <c r="G971" s="10" t="n"/>
      <c r="H971" s="10" t="n"/>
    </row>
    <row r="972">
      <c r="G972" s="10" t="n"/>
      <c r="H972" s="10" t="n"/>
    </row>
    <row r="973">
      <c r="G973" s="10" t="n"/>
      <c r="H973" s="10" t="n"/>
    </row>
    <row r="974">
      <c r="G974" s="10" t="n"/>
      <c r="H974" s="10" t="n"/>
    </row>
    <row r="975">
      <c r="G975" s="10" t="n"/>
      <c r="H975" s="10" t="n"/>
    </row>
    <row r="976">
      <c r="G976" s="10" t="n"/>
      <c r="H976" s="10" t="n"/>
    </row>
    <row r="977">
      <c r="G977" s="10" t="n"/>
      <c r="H977" s="10" t="n"/>
    </row>
    <row r="978">
      <c r="G978" s="10" t="n"/>
      <c r="H978" s="10" t="n"/>
    </row>
    <row r="979">
      <c r="G979" s="10" t="n"/>
      <c r="H979" s="10" t="n"/>
    </row>
    <row r="980">
      <c r="G980" s="10" t="n"/>
      <c r="H980" s="10" t="n"/>
    </row>
    <row r="981">
      <c r="G981" s="10" t="n"/>
      <c r="H981" s="10" t="n"/>
    </row>
    <row r="982">
      <c r="G982" s="10" t="n"/>
      <c r="H982" s="10" t="n"/>
    </row>
    <row r="983">
      <c r="G983" s="10" t="n"/>
      <c r="H983" s="10" t="n"/>
    </row>
    <row r="984">
      <c r="G984" s="10" t="n"/>
      <c r="H984" s="10" t="n"/>
    </row>
    <row r="985">
      <c r="G985" s="10" t="n"/>
      <c r="H985" s="10" t="n"/>
    </row>
    <row r="986">
      <c r="G986" s="10" t="n"/>
      <c r="H986" s="10" t="n"/>
    </row>
    <row r="987">
      <c r="G987" s="10" t="n"/>
      <c r="H987" s="10" t="n"/>
    </row>
    <row r="988">
      <c r="G988" s="10" t="n"/>
      <c r="H988" s="10" t="n"/>
    </row>
    <row r="989">
      <c r="G989" s="10" t="n"/>
      <c r="H989" s="10" t="n"/>
    </row>
    <row r="990">
      <c r="G990" s="10" t="n"/>
      <c r="H990" s="10" t="n"/>
    </row>
    <row r="991">
      <c r="G991" s="10" t="n"/>
      <c r="H991" s="10" t="n"/>
    </row>
    <row r="992">
      <c r="G992" s="10" t="n"/>
      <c r="H992" s="10" t="n"/>
    </row>
    <row r="993">
      <c r="G993" s="10" t="n"/>
      <c r="H993" s="10" t="n"/>
    </row>
    <row r="994">
      <c r="G994" s="10" t="n"/>
      <c r="H994" s="10" t="n"/>
    </row>
    <row r="995">
      <c r="G995" s="10" t="n"/>
      <c r="H995" s="10" t="n"/>
    </row>
    <row r="996">
      <c r="G996" s="10" t="n"/>
      <c r="H996" s="10" t="n"/>
    </row>
    <row r="997">
      <c r="G997" s="10" t="n"/>
      <c r="H997" s="10" t="n"/>
    </row>
    <row r="998">
      <c r="G998" s="10" t="n"/>
      <c r="H998" s="10" t="n"/>
    </row>
    <row r="999">
      <c r="G999" s="10" t="n"/>
      <c r="H999" s="10" t="n"/>
    </row>
    <row r="1000">
      <c r="G1000" s="10" t="n"/>
      <c r="H1000" s="10" t="n"/>
    </row>
  </sheetData>
  <dataValidations count="1">
    <dataValidation sqref="I2:I1000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1" t="inlineStr">
        <is>
          <t>EmployeeID</t>
        </is>
      </c>
      <c r="B1" s="11" t="inlineStr">
        <is>
          <t>EmployeeName</t>
        </is>
      </c>
      <c r="C1" s="11" t="inlineStr">
        <is>
          <t>Department</t>
        </is>
      </c>
      <c r="D1" s="11" t="inlineStr">
        <is>
          <t>Mobile</t>
        </is>
      </c>
      <c r="E1" s="11" t="inlineStr">
        <is>
          <t>Email</t>
        </is>
      </c>
      <c r="F1" s="11" t="inlineStr">
        <is>
          <t>JoiningDate</t>
        </is>
      </c>
      <c r="G1" s="11" t="inlineStr">
        <is>
          <t>Salary</t>
        </is>
      </c>
      <c r="H1" s="11" t="inlineStr">
        <is>
          <t>Status</t>
        </is>
      </c>
    </row>
    <row r="2">
      <c r="A2" t="inlineStr">
        <is>
          <t>E001</t>
        </is>
      </c>
      <c r="B2" t="inlineStr">
        <is>
          <t>Sample Employee</t>
        </is>
      </c>
      <c r="C2" t="inlineStr">
        <is>
          <t>Administration</t>
        </is>
      </c>
      <c r="F2" s="12" t="inlineStr">
        <is>
          <t>15-08-2026</t>
        </is>
      </c>
      <c r="G2" s="10" t="n">
        <v>0</v>
      </c>
      <c r="H2" t="inlineStr">
        <is>
          <t>Active</t>
        </is>
      </c>
    </row>
    <row r="3">
      <c r="G3" s="10" t="n"/>
    </row>
    <row r="4">
      <c r="G4" s="10" t="n"/>
    </row>
    <row r="5">
      <c r="G5" s="10" t="n"/>
    </row>
    <row r="6">
      <c r="G6" s="10" t="n"/>
    </row>
    <row r="7">
      <c r="G7" s="10" t="n"/>
    </row>
    <row r="8">
      <c r="G8" s="10" t="n"/>
    </row>
    <row r="9">
      <c r="G9" s="10" t="n"/>
    </row>
    <row r="10">
      <c r="G10" s="10" t="n"/>
    </row>
    <row r="11">
      <c r="G11" s="10" t="n"/>
    </row>
    <row r="12">
      <c r="G12" s="10" t="n"/>
    </row>
    <row r="13">
      <c r="G13" s="10" t="n"/>
    </row>
    <row r="14">
      <c r="G14" s="10" t="n"/>
    </row>
    <row r="15">
      <c r="G15" s="10" t="n"/>
    </row>
    <row r="16">
      <c r="G16" s="10" t="n"/>
    </row>
    <row r="17">
      <c r="G17" s="10" t="n"/>
    </row>
    <row r="18">
      <c r="G18" s="10" t="n"/>
    </row>
    <row r="19">
      <c r="G19" s="10" t="n"/>
    </row>
    <row r="20">
      <c r="G20" s="10" t="n"/>
    </row>
    <row r="21">
      <c r="G21" s="10" t="n"/>
    </row>
    <row r="22">
      <c r="G22" s="10" t="n"/>
    </row>
    <row r="23">
      <c r="G23" s="10" t="n"/>
    </row>
    <row r="24">
      <c r="G24" s="10" t="n"/>
    </row>
    <row r="25">
      <c r="G25" s="10" t="n"/>
    </row>
    <row r="26">
      <c r="G26" s="10" t="n"/>
    </row>
    <row r="27">
      <c r="G27" s="10" t="n"/>
    </row>
    <row r="28">
      <c r="G28" s="10" t="n"/>
    </row>
    <row r="29">
      <c r="G29" s="10" t="n"/>
    </row>
    <row r="30">
      <c r="G30" s="10" t="n"/>
    </row>
    <row r="31">
      <c r="G31" s="10" t="n"/>
    </row>
    <row r="32">
      <c r="G32" s="10" t="n"/>
    </row>
    <row r="33">
      <c r="G33" s="10" t="n"/>
    </row>
    <row r="34">
      <c r="G34" s="10" t="n"/>
    </row>
    <row r="35">
      <c r="G35" s="10" t="n"/>
    </row>
    <row r="36">
      <c r="G36" s="10" t="n"/>
    </row>
    <row r="37">
      <c r="G37" s="10" t="n"/>
    </row>
    <row r="38">
      <c r="G38" s="10" t="n"/>
    </row>
    <row r="39">
      <c r="G39" s="10" t="n"/>
    </row>
    <row r="40">
      <c r="G40" s="10" t="n"/>
    </row>
    <row r="41">
      <c r="G41" s="10" t="n"/>
    </row>
    <row r="42">
      <c r="G42" s="10" t="n"/>
    </row>
    <row r="43">
      <c r="G43" s="10" t="n"/>
    </row>
    <row r="44">
      <c r="G44" s="10" t="n"/>
    </row>
    <row r="45">
      <c r="G45" s="10" t="n"/>
    </row>
    <row r="46">
      <c r="G46" s="10" t="n"/>
    </row>
    <row r="47">
      <c r="G47" s="10" t="n"/>
    </row>
    <row r="48">
      <c r="G48" s="10" t="n"/>
    </row>
    <row r="49">
      <c r="G49" s="10" t="n"/>
    </row>
    <row r="50">
      <c r="G50" s="10" t="n"/>
    </row>
    <row r="51">
      <c r="G51" s="10" t="n"/>
    </row>
    <row r="52">
      <c r="G52" s="10" t="n"/>
    </row>
    <row r="53">
      <c r="G53" s="10" t="n"/>
    </row>
    <row r="54">
      <c r="G54" s="10" t="n"/>
    </row>
    <row r="55">
      <c r="G55" s="10" t="n"/>
    </row>
    <row r="56">
      <c r="G56" s="10" t="n"/>
    </row>
    <row r="57">
      <c r="G57" s="10" t="n"/>
    </row>
    <row r="58">
      <c r="G58" s="10" t="n"/>
    </row>
    <row r="59">
      <c r="G59" s="10" t="n"/>
    </row>
    <row r="60">
      <c r="G60" s="10" t="n"/>
    </row>
    <row r="61">
      <c r="G61" s="10" t="n"/>
    </row>
    <row r="62">
      <c r="G62" s="10" t="n"/>
    </row>
    <row r="63">
      <c r="G63" s="10" t="n"/>
    </row>
    <row r="64">
      <c r="G64" s="10" t="n"/>
    </row>
    <row r="65">
      <c r="G65" s="10" t="n"/>
    </row>
    <row r="66">
      <c r="G66" s="10" t="n"/>
    </row>
    <row r="67">
      <c r="G67" s="10" t="n"/>
    </row>
    <row r="68">
      <c r="G68" s="10" t="n"/>
    </row>
    <row r="69">
      <c r="G69" s="10" t="n"/>
    </row>
    <row r="70">
      <c r="G70" s="10" t="n"/>
    </row>
    <row r="71">
      <c r="G71" s="10" t="n"/>
    </row>
    <row r="72">
      <c r="G72" s="10" t="n"/>
    </row>
    <row r="73">
      <c r="G73" s="10" t="n"/>
    </row>
    <row r="74">
      <c r="G74" s="10" t="n"/>
    </row>
    <row r="75">
      <c r="G75" s="10" t="n"/>
    </row>
    <row r="76">
      <c r="G76" s="10" t="n"/>
    </row>
    <row r="77">
      <c r="G77" s="10" t="n"/>
    </row>
    <row r="78">
      <c r="G78" s="10" t="n"/>
    </row>
    <row r="79">
      <c r="G79" s="10" t="n"/>
    </row>
    <row r="80">
      <c r="G80" s="10" t="n"/>
    </row>
    <row r="81">
      <c r="G81" s="10" t="n"/>
    </row>
    <row r="82">
      <c r="G82" s="10" t="n"/>
    </row>
    <row r="83">
      <c r="G83" s="10" t="n"/>
    </row>
    <row r="84">
      <c r="G84" s="10" t="n"/>
    </row>
    <row r="85">
      <c r="G85" s="10" t="n"/>
    </row>
    <row r="86">
      <c r="G86" s="10" t="n"/>
    </row>
    <row r="87">
      <c r="G87" s="10" t="n"/>
    </row>
    <row r="88">
      <c r="G88" s="10" t="n"/>
    </row>
    <row r="89">
      <c r="G89" s="10" t="n"/>
    </row>
    <row r="90">
      <c r="G90" s="10" t="n"/>
    </row>
    <row r="91">
      <c r="G91" s="10" t="n"/>
    </row>
    <row r="92">
      <c r="G92" s="10" t="n"/>
    </row>
    <row r="93">
      <c r="G93" s="10" t="n"/>
    </row>
    <row r="94">
      <c r="G94" s="10" t="n"/>
    </row>
    <row r="95">
      <c r="G95" s="10" t="n"/>
    </row>
    <row r="96">
      <c r="G96" s="10" t="n"/>
    </row>
    <row r="97">
      <c r="G97" s="10" t="n"/>
    </row>
    <row r="98">
      <c r="G98" s="10" t="n"/>
    </row>
    <row r="99">
      <c r="G99" s="10" t="n"/>
    </row>
    <row r="100">
      <c r="G100" s="10" t="n"/>
    </row>
    <row r="101">
      <c r="G101" s="10" t="n"/>
    </row>
    <row r="102">
      <c r="G102" s="10" t="n"/>
    </row>
    <row r="103">
      <c r="G103" s="10" t="n"/>
    </row>
    <row r="104">
      <c r="G104" s="10" t="n"/>
    </row>
    <row r="105">
      <c r="G105" s="10" t="n"/>
    </row>
    <row r="106">
      <c r="G106" s="10" t="n"/>
    </row>
    <row r="107">
      <c r="G107" s="10" t="n"/>
    </row>
    <row r="108">
      <c r="G108" s="10" t="n"/>
    </row>
    <row r="109">
      <c r="G109" s="10" t="n"/>
    </row>
    <row r="110">
      <c r="G110" s="10" t="n"/>
    </row>
    <row r="111">
      <c r="G111" s="10" t="n"/>
    </row>
    <row r="112">
      <c r="G112" s="10" t="n"/>
    </row>
    <row r="113">
      <c r="G113" s="10" t="n"/>
    </row>
    <row r="114">
      <c r="G114" s="10" t="n"/>
    </row>
    <row r="115">
      <c r="G115" s="10" t="n"/>
    </row>
    <row r="116">
      <c r="G116" s="10" t="n"/>
    </row>
    <row r="117">
      <c r="G117" s="10" t="n"/>
    </row>
    <row r="118">
      <c r="G118" s="10" t="n"/>
    </row>
    <row r="119">
      <c r="G119" s="10" t="n"/>
    </row>
    <row r="120">
      <c r="G120" s="10" t="n"/>
    </row>
    <row r="121">
      <c r="G121" s="10" t="n"/>
    </row>
    <row r="122">
      <c r="G122" s="10" t="n"/>
    </row>
    <row r="123">
      <c r="G123" s="10" t="n"/>
    </row>
    <row r="124">
      <c r="G124" s="10" t="n"/>
    </row>
    <row r="125">
      <c r="G125" s="10" t="n"/>
    </row>
    <row r="126">
      <c r="G126" s="10" t="n"/>
    </row>
    <row r="127">
      <c r="G127" s="10" t="n"/>
    </row>
    <row r="128">
      <c r="G128" s="10" t="n"/>
    </row>
    <row r="129">
      <c r="G129" s="10" t="n"/>
    </row>
    <row r="130">
      <c r="G130" s="10" t="n"/>
    </row>
    <row r="131">
      <c r="G131" s="10" t="n"/>
    </row>
    <row r="132">
      <c r="G132" s="10" t="n"/>
    </row>
    <row r="133">
      <c r="G133" s="10" t="n"/>
    </row>
    <row r="134">
      <c r="G134" s="10" t="n"/>
    </row>
    <row r="135">
      <c r="G135" s="10" t="n"/>
    </row>
    <row r="136">
      <c r="G136" s="10" t="n"/>
    </row>
    <row r="137">
      <c r="G137" s="10" t="n"/>
    </row>
    <row r="138">
      <c r="G138" s="10" t="n"/>
    </row>
    <row r="139">
      <c r="G139" s="10" t="n"/>
    </row>
    <row r="140">
      <c r="G140" s="10" t="n"/>
    </row>
    <row r="141">
      <c r="G141" s="10" t="n"/>
    </row>
    <row r="142">
      <c r="G142" s="10" t="n"/>
    </row>
    <row r="143">
      <c r="G143" s="10" t="n"/>
    </row>
    <row r="144">
      <c r="G144" s="10" t="n"/>
    </row>
    <row r="145">
      <c r="G145" s="10" t="n"/>
    </row>
    <row r="146">
      <c r="G146" s="10" t="n"/>
    </row>
    <row r="147">
      <c r="G147" s="10" t="n"/>
    </row>
    <row r="148">
      <c r="G148" s="10" t="n"/>
    </row>
    <row r="149">
      <c r="G149" s="10" t="n"/>
    </row>
    <row r="150">
      <c r="G150" s="10" t="n"/>
    </row>
    <row r="151">
      <c r="G151" s="10" t="n"/>
    </row>
    <row r="152">
      <c r="G152" s="10" t="n"/>
    </row>
    <row r="153">
      <c r="G153" s="10" t="n"/>
    </row>
    <row r="154">
      <c r="G154" s="10" t="n"/>
    </row>
    <row r="155">
      <c r="G155" s="10" t="n"/>
    </row>
    <row r="156">
      <c r="G156" s="10" t="n"/>
    </row>
    <row r="157">
      <c r="G157" s="10" t="n"/>
    </row>
    <row r="158">
      <c r="G158" s="10" t="n"/>
    </row>
    <row r="159">
      <c r="G159" s="10" t="n"/>
    </row>
    <row r="160">
      <c r="G160" s="10" t="n"/>
    </row>
    <row r="161">
      <c r="G161" s="10" t="n"/>
    </row>
    <row r="162">
      <c r="G162" s="10" t="n"/>
    </row>
    <row r="163">
      <c r="G163" s="10" t="n"/>
    </row>
    <row r="164">
      <c r="G164" s="10" t="n"/>
    </row>
    <row r="165">
      <c r="G165" s="10" t="n"/>
    </row>
    <row r="166">
      <c r="G166" s="10" t="n"/>
    </row>
    <row r="167">
      <c r="G167" s="10" t="n"/>
    </row>
    <row r="168">
      <c r="G168" s="10" t="n"/>
    </row>
    <row r="169">
      <c r="G169" s="10" t="n"/>
    </row>
    <row r="170">
      <c r="G170" s="10" t="n"/>
    </row>
    <row r="171">
      <c r="G171" s="10" t="n"/>
    </row>
    <row r="172">
      <c r="G172" s="10" t="n"/>
    </row>
    <row r="173">
      <c r="G173" s="10" t="n"/>
    </row>
    <row r="174">
      <c r="G174" s="10" t="n"/>
    </row>
    <row r="175">
      <c r="G175" s="10" t="n"/>
    </row>
    <row r="176">
      <c r="G176" s="10" t="n"/>
    </row>
    <row r="177">
      <c r="G177" s="10" t="n"/>
    </row>
    <row r="178">
      <c r="G178" s="10" t="n"/>
    </row>
    <row r="179">
      <c r="G179" s="10" t="n"/>
    </row>
    <row r="180">
      <c r="G180" s="10" t="n"/>
    </row>
    <row r="181">
      <c r="G181" s="10" t="n"/>
    </row>
    <row r="182">
      <c r="G182" s="10" t="n"/>
    </row>
    <row r="183">
      <c r="G183" s="10" t="n"/>
    </row>
    <row r="184">
      <c r="G184" s="10" t="n"/>
    </row>
    <row r="185">
      <c r="G185" s="10" t="n"/>
    </row>
    <row r="186">
      <c r="G186" s="10" t="n"/>
    </row>
    <row r="187">
      <c r="G187" s="10" t="n"/>
    </row>
    <row r="188">
      <c r="G188" s="10" t="n"/>
    </row>
    <row r="189">
      <c r="G189" s="10" t="n"/>
    </row>
    <row r="190">
      <c r="G190" s="10" t="n"/>
    </row>
    <row r="191">
      <c r="G191" s="10" t="n"/>
    </row>
    <row r="192">
      <c r="G192" s="10" t="n"/>
    </row>
    <row r="193">
      <c r="G193" s="10" t="n"/>
    </row>
    <row r="194">
      <c r="G194" s="10" t="n"/>
    </row>
    <row r="195">
      <c r="G195" s="10" t="n"/>
    </row>
    <row r="196">
      <c r="G196" s="10" t="n"/>
    </row>
    <row r="197">
      <c r="G197" s="10" t="n"/>
    </row>
    <row r="198">
      <c r="G198" s="10" t="n"/>
    </row>
    <row r="199">
      <c r="G199" s="10" t="n"/>
    </row>
    <row r="200">
      <c r="G200" s="10" t="n"/>
    </row>
    <row r="201">
      <c r="G201" s="10" t="n"/>
    </row>
    <row r="202">
      <c r="G202" s="10" t="n"/>
    </row>
    <row r="203">
      <c r="G203" s="10" t="n"/>
    </row>
    <row r="204">
      <c r="G204" s="10" t="n"/>
    </row>
    <row r="205">
      <c r="G205" s="10" t="n"/>
    </row>
    <row r="206">
      <c r="G206" s="10" t="n"/>
    </row>
    <row r="207">
      <c r="G207" s="10" t="n"/>
    </row>
    <row r="208">
      <c r="G208" s="10" t="n"/>
    </row>
    <row r="209">
      <c r="G209" s="10" t="n"/>
    </row>
    <row r="210">
      <c r="G210" s="10" t="n"/>
    </row>
    <row r="211">
      <c r="G211" s="10" t="n"/>
    </row>
    <row r="212">
      <c r="G212" s="10" t="n"/>
    </row>
    <row r="213">
      <c r="G213" s="10" t="n"/>
    </row>
    <row r="214">
      <c r="G214" s="10" t="n"/>
    </row>
    <row r="215">
      <c r="G215" s="10" t="n"/>
    </row>
    <row r="216">
      <c r="G216" s="10" t="n"/>
    </row>
    <row r="217">
      <c r="G217" s="10" t="n"/>
    </row>
    <row r="218">
      <c r="G218" s="10" t="n"/>
    </row>
    <row r="219">
      <c r="G219" s="10" t="n"/>
    </row>
    <row r="220">
      <c r="G220" s="10" t="n"/>
    </row>
    <row r="221">
      <c r="G221" s="10" t="n"/>
    </row>
    <row r="222">
      <c r="G222" s="10" t="n"/>
    </row>
    <row r="223">
      <c r="G223" s="10" t="n"/>
    </row>
    <row r="224">
      <c r="G224" s="10" t="n"/>
    </row>
    <row r="225">
      <c r="G225" s="10" t="n"/>
    </row>
    <row r="226">
      <c r="G226" s="10" t="n"/>
    </row>
    <row r="227">
      <c r="G227" s="10" t="n"/>
    </row>
    <row r="228">
      <c r="G228" s="10" t="n"/>
    </row>
    <row r="229">
      <c r="G229" s="10" t="n"/>
    </row>
    <row r="230">
      <c r="G230" s="10" t="n"/>
    </row>
    <row r="231">
      <c r="G231" s="10" t="n"/>
    </row>
    <row r="232">
      <c r="G232" s="10" t="n"/>
    </row>
    <row r="233">
      <c r="G233" s="10" t="n"/>
    </row>
    <row r="234">
      <c r="G234" s="10" t="n"/>
    </row>
    <row r="235">
      <c r="G235" s="10" t="n"/>
    </row>
    <row r="236">
      <c r="G236" s="10" t="n"/>
    </row>
    <row r="237">
      <c r="G237" s="10" t="n"/>
    </row>
    <row r="238">
      <c r="G238" s="10" t="n"/>
    </row>
    <row r="239">
      <c r="G239" s="10" t="n"/>
    </row>
    <row r="240">
      <c r="G240" s="10" t="n"/>
    </row>
    <row r="241">
      <c r="G241" s="10" t="n"/>
    </row>
    <row r="242">
      <c r="G242" s="10" t="n"/>
    </row>
    <row r="243">
      <c r="G243" s="10" t="n"/>
    </row>
    <row r="244">
      <c r="G244" s="10" t="n"/>
    </row>
    <row r="245">
      <c r="G245" s="10" t="n"/>
    </row>
    <row r="246">
      <c r="G246" s="10" t="n"/>
    </row>
    <row r="247">
      <c r="G247" s="10" t="n"/>
    </row>
    <row r="248">
      <c r="G248" s="10" t="n"/>
    </row>
    <row r="249">
      <c r="G249" s="10" t="n"/>
    </row>
    <row r="250">
      <c r="G250" s="10" t="n"/>
    </row>
    <row r="251">
      <c r="G251" s="10" t="n"/>
    </row>
    <row r="252">
      <c r="G252" s="10" t="n"/>
    </row>
    <row r="253">
      <c r="G253" s="10" t="n"/>
    </row>
    <row r="254">
      <c r="G254" s="10" t="n"/>
    </row>
    <row r="255">
      <c r="G255" s="10" t="n"/>
    </row>
    <row r="256">
      <c r="G256" s="10" t="n"/>
    </row>
    <row r="257">
      <c r="G257" s="10" t="n"/>
    </row>
    <row r="258">
      <c r="G258" s="10" t="n"/>
    </row>
    <row r="259">
      <c r="G259" s="10" t="n"/>
    </row>
    <row r="260">
      <c r="G260" s="10" t="n"/>
    </row>
    <row r="261">
      <c r="G261" s="10" t="n"/>
    </row>
    <row r="262">
      <c r="G262" s="10" t="n"/>
    </row>
    <row r="263">
      <c r="G263" s="10" t="n"/>
    </row>
    <row r="264">
      <c r="G264" s="10" t="n"/>
    </row>
    <row r="265">
      <c r="G265" s="10" t="n"/>
    </row>
    <row r="266">
      <c r="G266" s="10" t="n"/>
    </row>
    <row r="267">
      <c r="G267" s="10" t="n"/>
    </row>
    <row r="268">
      <c r="G268" s="10" t="n"/>
    </row>
    <row r="269">
      <c r="G269" s="10" t="n"/>
    </row>
    <row r="270">
      <c r="G270" s="10" t="n"/>
    </row>
    <row r="271">
      <c r="G271" s="10" t="n"/>
    </row>
    <row r="272">
      <c r="G272" s="10" t="n"/>
    </row>
    <row r="273">
      <c r="G273" s="10" t="n"/>
    </row>
    <row r="274">
      <c r="G274" s="10" t="n"/>
    </row>
    <row r="275">
      <c r="G275" s="10" t="n"/>
    </row>
    <row r="276">
      <c r="G276" s="10" t="n"/>
    </row>
    <row r="277">
      <c r="G277" s="10" t="n"/>
    </row>
    <row r="278">
      <c r="G278" s="10" t="n"/>
    </row>
    <row r="279">
      <c r="G279" s="10" t="n"/>
    </row>
    <row r="280">
      <c r="G280" s="10" t="n"/>
    </row>
    <row r="281">
      <c r="G281" s="10" t="n"/>
    </row>
    <row r="282">
      <c r="G282" s="10" t="n"/>
    </row>
    <row r="283">
      <c r="G283" s="10" t="n"/>
    </row>
    <row r="284">
      <c r="G284" s="10" t="n"/>
    </row>
    <row r="285">
      <c r="G285" s="10" t="n"/>
    </row>
    <row r="286">
      <c r="G286" s="10" t="n"/>
    </row>
    <row r="287">
      <c r="G287" s="10" t="n"/>
    </row>
    <row r="288">
      <c r="G288" s="10" t="n"/>
    </row>
    <row r="289">
      <c r="G289" s="10" t="n"/>
    </row>
    <row r="290">
      <c r="G290" s="10" t="n"/>
    </row>
    <row r="291">
      <c r="G291" s="10" t="n"/>
    </row>
    <row r="292">
      <c r="G292" s="10" t="n"/>
    </row>
    <row r="293">
      <c r="G293" s="10" t="n"/>
    </row>
    <row r="294">
      <c r="G294" s="10" t="n"/>
    </row>
    <row r="295">
      <c r="G295" s="10" t="n"/>
    </row>
    <row r="296">
      <c r="G296" s="10" t="n"/>
    </row>
    <row r="297">
      <c r="G297" s="10" t="n"/>
    </row>
    <row r="298">
      <c r="G298" s="10" t="n"/>
    </row>
    <row r="299">
      <c r="G299" s="10" t="n"/>
    </row>
    <row r="300">
      <c r="G300" s="10" t="n"/>
    </row>
    <row r="301">
      <c r="G301" s="10" t="n"/>
    </row>
    <row r="302">
      <c r="G302" s="10" t="n"/>
    </row>
    <row r="303">
      <c r="G303" s="10" t="n"/>
    </row>
    <row r="304">
      <c r="G304" s="10" t="n"/>
    </row>
    <row r="305">
      <c r="G305" s="10" t="n"/>
    </row>
    <row r="306">
      <c r="G306" s="10" t="n"/>
    </row>
    <row r="307">
      <c r="G307" s="10" t="n"/>
    </row>
    <row r="308">
      <c r="G308" s="10" t="n"/>
    </row>
    <row r="309">
      <c r="G309" s="10" t="n"/>
    </row>
    <row r="310">
      <c r="G310" s="10" t="n"/>
    </row>
    <row r="311">
      <c r="G311" s="10" t="n"/>
    </row>
    <row r="312">
      <c r="G312" s="10" t="n"/>
    </row>
    <row r="313">
      <c r="G313" s="10" t="n"/>
    </row>
    <row r="314">
      <c r="G314" s="10" t="n"/>
    </row>
    <row r="315">
      <c r="G315" s="10" t="n"/>
    </row>
    <row r="316">
      <c r="G316" s="10" t="n"/>
    </row>
    <row r="317">
      <c r="G317" s="10" t="n"/>
    </row>
    <row r="318">
      <c r="G318" s="10" t="n"/>
    </row>
    <row r="319">
      <c r="G319" s="10" t="n"/>
    </row>
    <row r="320">
      <c r="G320" s="10" t="n"/>
    </row>
    <row r="321">
      <c r="G321" s="10" t="n"/>
    </row>
    <row r="322">
      <c r="G322" s="10" t="n"/>
    </row>
    <row r="323">
      <c r="G323" s="10" t="n"/>
    </row>
    <row r="324">
      <c r="G324" s="10" t="n"/>
    </row>
    <row r="325">
      <c r="G325" s="10" t="n"/>
    </row>
    <row r="326">
      <c r="G326" s="10" t="n"/>
    </row>
    <row r="327">
      <c r="G327" s="10" t="n"/>
    </row>
    <row r="328">
      <c r="G328" s="10" t="n"/>
    </row>
    <row r="329">
      <c r="G329" s="10" t="n"/>
    </row>
    <row r="330">
      <c r="G330" s="10" t="n"/>
    </row>
    <row r="331">
      <c r="G331" s="10" t="n"/>
    </row>
    <row r="332">
      <c r="G332" s="10" t="n"/>
    </row>
    <row r="333">
      <c r="G333" s="10" t="n"/>
    </row>
    <row r="334">
      <c r="G334" s="10" t="n"/>
    </row>
    <row r="335">
      <c r="G335" s="10" t="n"/>
    </row>
    <row r="336">
      <c r="G336" s="10" t="n"/>
    </row>
    <row r="337">
      <c r="G337" s="10" t="n"/>
    </row>
    <row r="338">
      <c r="G338" s="10" t="n"/>
    </row>
    <row r="339">
      <c r="G339" s="10" t="n"/>
    </row>
    <row r="340">
      <c r="G340" s="10" t="n"/>
    </row>
    <row r="341">
      <c r="G341" s="10" t="n"/>
    </row>
    <row r="342">
      <c r="G342" s="10" t="n"/>
    </row>
    <row r="343">
      <c r="G343" s="10" t="n"/>
    </row>
    <row r="344">
      <c r="G344" s="10" t="n"/>
    </row>
    <row r="345">
      <c r="G345" s="10" t="n"/>
    </row>
    <row r="346">
      <c r="G346" s="10" t="n"/>
    </row>
    <row r="347">
      <c r="G347" s="10" t="n"/>
    </row>
    <row r="348">
      <c r="G348" s="10" t="n"/>
    </row>
    <row r="349">
      <c r="G349" s="10" t="n"/>
    </row>
    <row r="350">
      <c r="G350" s="10" t="n"/>
    </row>
    <row r="351">
      <c r="G351" s="10" t="n"/>
    </row>
    <row r="352">
      <c r="G352" s="10" t="n"/>
    </row>
    <row r="353">
      <c r="G353" s="10" t="n"/>
    </row>
    <row r="354">
      <c r="G354" s="10" t="n"/>
    </row>
    <row r="355">
      <c r="G355" s="10" t="n"/>
    </row>
    <row r="356">
      <c r="G356" s="10" t="n"/>
    </row>
    <row r="357">
      <c r="G357" s="10" t="n"/>
    </row>
    <row r="358">
      <c r="G358" s="10" t="n"/>
    </row>
    <row r="359">
      <c r="G359" s="10" t="n"/>
    </row>
    <row r="360">
      <c r="G360" s="10" t="n"/>
    </row>
    <row r="361">
      <c r="G361" s="10" t="n"/>
    </row>
    <row r="362">
      <c r="G362" s="10" t="n"/>
    </row>
    <row r="363">
      <c r="G363" s="10" t="n"/>
    </row>
    <row r="364">
      <c r="G364" s="10" t="n"/>
    </row>
    <row r="365">
      <c r="G365" s="10" t="n"/>
    </row>
    <row r="366">
      <c r="G366" s="10" t="n"/>
    </row>
    <row r="367">
      <c r="G367" s="10" t="n"/>
    </row>
    <row r="368">
      <c r="G368" s="10" t="n"/>
    </row>
    <row r="369">
      <c r="G369" s="10" t="n"/>
    </row>
    <row r="370">
      <c r="G370" s="10" t="n"/>
    </row>
    <row r="371">
      <c r="G371" s="10" t="n"/>
    </row>
    <row r="372">
      <c r="G372" s="10" t="n"/>
    </row>
    <row r="373">
      <c r="G373" s="10" t="n"/>
    </row>
    <row r="374">
      <c r="G374" s="10" t="n"/>
    </row>
    <row r="375">
      <c r="G375" s="10" t="n"/>
    </row>
    <row r="376">
      <c r="G376" s="10" t="n"/>
    </row>
    <row r="377">
      <c r="G377" s="10" t="n"/>
    </row>
    <row r="378">
      <c r="G378" s="10" t="n"/>
    </row>
    <row r="379">
      <c r="G379" s="10" t="n"/>
    </row>
    <row r="380">
      <c r="G380" s="10" t="n"/>
    </row>
    <row r="381">
      <c r="G381" s="10" t="n"/>
    </row>
    <row r="382">
      <c r="G382" s="10" t="n"/>
    </row>
    <row r="383">
      <c r="G383" s="10" t="n"/>
    </row>
    <row r="384">
      <c r="G384" s="10" t="n"/>
    </row>
    <row r="385">
      <c r="G385" s="10" t="n"/>
    </row>
    <row r="386">
      <c r="G386" s="10" t="n"/>
    </row>
    <row r="387">
      <c r="G387" s="10" t="n"/>
    </row>
    <row r="388">
      <c r="G388" s="10" t="n"/>
    </row>
    <row r="389">
      <c r="G389" s="10" t="n"/>
    </row>
    <row r="390">
      <c r="G390" s="10" t="n"/>
    </row>
    <row r="391">
      <c r="G391" s="10" t="n"/>
    </row>
    <row r="392">
      <c r="G392" s="10" t="n"/>
    </row>
    <row r="393">
      <c r="G393" s="10" t="n"/>
    </row>
    <row r="394">
      <c r="G394" s="10" t="n"/>
    </row>
    <row r="395">
      <c r="G395" s="10" t="n"/>
    </row>
    <row r="396">
      <c r="G396" s="10" t="n"/>
    </row>
    <row r="397">
      <c r="G397" s="10" t="n"/>
    </row>
    <row r="398">
      <c r="G398" s="10" t="n"/>
    </row>
    <row r="399">
      <c r="G399" s="10" t="n"/>
    </row>
    <row r="400">
      <c r="G400" s="10" t="n"/>
    </row>
    <row r="401">
      <c r="G401" s="10" t="n"/>
    </row>
    <row r="402">
      <c r="G402" s="10" t="n"/>
    </row>
    <row r="403">
      <c r="G403" s="10" t="n"/>
    </row>
    <row r="404">
      <c r="G404" s="10" t="n"/>
    </row>
    <row r="405">
      <c r="G405" s="10" t="n"/>
    </row>
    <row r="406">
      <c r="G406" s="10" t="n"/>
    </row>
    <row r="407">
      <c r="G407" s="10" t="n"/>
    </row>
    <row r="408">
      <c r="G408" s="10" t="n"/>
    </row>
    <row r="409">
      <c r="G409" s="10" t="n"/>
    </row>
    <row r="410">
      <c r="G410" s="10" t="n"/>
    </row>
    <row r="411">
      <c r="G411" s="10" t="n"/>
    </row>
    <row r="412">
      <c r="G412" s="10" t="n"/>
    </row>
    <row r="413">
      <c r="G413" s="10" t="n"/>
    </row>
    <row r="414">
      <c r="G414" s="10" t="n"/>
    </row>
    <row r="415">
      <c r="G415" s="10" t="n"/>
    </row>
    <row r="416">
      <c r="G416" s="10" t="n"/>
    </row>
    <row r="417">
      <c r="G417" s="10" t="n"/>
    </row>
    <row r="418">
      <c r="G418" s="10" t="n"/>
    </row>
    <row r="419">
      <c r="G419" s="10" t="n"/>
    </row>
    <row r="420">
      <c r="G420" s="10" t="n"/>
    </row>
    <row r="421">
      <c r="G421" s="10" t="n"/>
    </row>
    <row r="422">
      <c r="G422" s="10" t="n"/>
    </row>
    <row r="423">
      <c r="G423" s="10" t="n"/>
    </row>
    <row r="424">
      <c r="G424" s="10" t="n"/>
    </row>
    <row r="425">
      <c r="G425" s="10" t="n"/>
    </row>
    <row r="426">
      <c r="G426" s="10" t="n"/>
    </row>
    <row r="427">
      <c r="G427" s="10" t="n"/>
    </row>
    <row r="428">
      <c r="G428" s="10" t="n"/>
    </row>
    <row r="429">
      <c r="G429" s="10" t="n"/>
    </row>
    <row r="430">
      <c r="G430" s="10" t="n"/>
    </row>
    <row r="431">
      <c r="G431" s="10" t="n"/>
    </row>
    <row r="432">
      <c r="G432" s="10" t="n"/>
    </row>
    <row r="433">
      <c r="G433" s="10" t="n"/>
    </row>
    <row r="434">
      <c r="G434" s="10" t="n"/>
    </row>
    <row r="435">
      <c r="G435" s="10" t="n"/>
    </row>
    <row r="436">
      <c r="G436" s="10" t="n"/>
    </row>
    <row r="437">
      <c r="G437" s="10" t="n"/>
    </row>
    <row r="438">
      <c r="G438" s="10" t="n"/>
    </row>
    <row r="439">
      <c r="G439" s="10" t="n"/>
    </row>
    <row r="440">
      <c r="G440" s="10" t="n"/>
    </row>
    <row r="441">
      <c r="G441" s="10" t="n"/>
    </row>
    <row r="442">
      <c r="G442" s="10" t="n"/>
    </row>
    <row r="443">
      <c r="G443" s="10" t="n"/>
    </row>
    <row r="444">
      <c r="G444" s="10" t="n"/>
    </row>
    <row r="445">
      <c r="G445" s="10" t="n"/>
    </row>
    <row r="446">
      <c r="G446" s="10" t="n"/>
    </row>
    <row r="447">
      <c r="G447" s="10" t="n"/>
    </row>
    <row r="448">
      <c r="G448" s="10" t="n"/>
    </row>
    <row r="449">
      <c r="G449" s="10" t="n"/>
    </row>
    <row r="450">
      <c r="G450" s="10" t="n"/>
    </row>
    <row r="451">
      <c r="G451" s="10" t="n"/>
    </row>
    <row r="452">
      <c r="G452" s="10" t="n"/>
    </row>
    <row r="453">
      <c r="G453" s="10" t="n"/>
    </row>
    <row r="454">
      <c r="G454" s="10" t="n"/>
    </row>
    <row r="455">
      <c r="G455" s="10" t="n"/>
    </row>
    <row r="456">
      <c r="G456" s="10" t="n"/>
    </row>
    <row r="457">
      <c r="G457" s="10" t="n"/>
    </row>
    <row r="458">
      <c r="G458" s="10" t="n"/>
    </row>
    <row r="459">
      <c r="G459" s="10" t="n"/>
    </row>
    <row r="460">
      <c r="G460" s="10" t="n"/>
    </row>
    <row r="461">
      <c r="G461" s="10" t="n"/>
    </row>
    <row r="462">
      <c r="G462" s="10" t="n"/>
    </row>
    <row r="463">
      <c r="G463" s="10" t="n"/>
    </row>
    <row r="464">
      <c r="G464" s="10" t="n"/>
    </row>
    <row r="465">
      <c r="G465" s="10" t="n"/>
    </row>
    <row r="466">
      <c r="G466" s="10" t="n"/>
    </row>
    <row r="467">
      <c r="G467" s="10" t="n"/>
    </row>
    <row r="468">
      <c r="G468" s="10" t="n"/>
    </row>
    <row r="469">
      <c r="G469" s="10" t="n"/>
    </row>
    <row r="470">
      <c r="G470" s="10" t="n"/>
    </row>
    <row r="471">
      <c r="G471" s="10" t="n"/>
    </row>
    <row r="472">
      <c r="G472" s="10" t="n"/>
    </row>
    <row r="473">
      <c r="G473" s="10" t="n"/>
    </row>
    <row r="474">
      <c r="G474" s="10" t="n"/>
    </row>
    <row r="475">
      <c r="G475" s="10" t="n"/>
    </row>
    <row r="476">
      <c r="G476" s="10" t="n"/>
    </row>
    <row r="477">
      <c r="G477" s="10" t="n"/>
    </row>
    <row r="478">
      <c r="G478" s="10" t="n"/>
    </row>
    <row r="479">
      <c r="G479" s="10" t="n"/>
    </row>
    <row r="480">
      <c r="G480" s="10" t="n"/>
    </row>
    <row r="481">
      <c r="G481" s="10" t="n"/>
    </row>
    <row r="482">
      <c r="G482" s="10" t="n"/>
    </row>
    <row r="483">
      <c r="G483" s="10" t="n"/>
    </row>
    <row r="484">
      <c r="G484" s="10" t="n"/>
    </row>
    <row r="485">
      <c r="G485" s="10" t="n"/>
    </row>
    <row r="486">
      <c r="G486" s="10" t="n"/>
    </row>
    <row r="487">
      <c r="G487" s="10" t="n"/>
    </row>
    <row r="488">
      <c r="G488" s="10" t="n"/>
    </row>
    <row r="489">
      <c r="G489" s="10" t="n"/>
    </row>
    <row r="490">
      <c r="G490" s="10" t="n"/>
    </row>
    <row r="491">
      <c r="G491" s="10" t="n"/>
    </row>
    <row r="492">
      <c r="G492" s="10" t="n"/>
    </row>
    <row r="493">
      <c r="G493" s="10" t="n"/>
    </row>
    <row r="494">
      <c r="G494" s="10" t="n"/>
    </row>
    <row r="495">
      <c r="G495" s="10" t="n"/>
    </row>
    <row r="496">
      <c r="G496" s="10" t="n"/>
    </row>
    <row r="497">
      <c r="G497" s="10" t="n"/>
    </row>
    <row r="498">
      <c r="G498" s="10" t="n"/>
    </row>
    <row r="499">
      <c r="G499" s="10" t="n"/>
    </row>
    <row r="500">
      <c r="G500" s="10" t="n"/>
    </row>
    <row r="501">
      <c r="G501" s="10" t="n"/>
    </row>
    <row r="502">
      <c r="G502" s="10" t="n"/>
    </row>
    <row r="503">
      <c r="G503" s="10" t="n"/>
    </row>
    <row r="504">
      <c r="G504" s="10" t="n"/>
    </row>
    <row r="505">
      <c r="G505" s="10" t="n"/>
    </row>
    <row r="506">
      <c r="G506" s="10" t="n"/>
    </row>
    <row r="507">
      <c r="G507" s="10" t="n"/>
    </row>
    <row r="508">
      <c r="G508" s="10" t="n"/>
    </row>
    <row r="509">
      <c r="G509" s="10" t="n"/>
    </row>
    <row r="510">
      <c r="G510" s="10" t="n"/>
    </row>
    <row r="511">
      <c r="G511" s="10" t="n"/>
    </row>
    <row r="512">
      <c r="G512" s="10" t="n"/>
    </row>
    <row r="513">
      <c r="G513" s="10" t="n"/>
    </row>
    <row r="514">
      <c r="G514" s="10" t="n"/>
    </row>
    <row r="515">
      <c r="G515" s="10" t="n"/>
    </row>
    <row r="516">
      <c r="G516" s="10" t="n"/>
    </row>
    <row r="517">
      <c r="G517" s="10" t="n"/>
    </row>
    <row r="518">
      <c r="G518" s="10" t="n"/>
    </row>
    <row r="519">
      <c r="G519" s="10" t="n"/>
    </row>
    <row r="520">
      <c r="G520" s="10" t="n"/>
    </row>
    <row r="521">
      <c r="G521" s="10" t="n"/>
    </row>
    <row r="522">
      <c r="G522" s="10" t="n"/>
    </row>
    <row r="523">
      <c r="G523" s="10" t="n"/>
    </row>
    <row r="524">
      <c r="G524" s="10" t="n"/>
    </row>
    <row r="525">
      <c r="G525" s="10" t="n"/>
    </row>
    <row r="526">
      <c r="G526" s="10" t="n"/>
    </row>
    <row r="527">
      <c r="G527" s="10" t="n"/>
    </row>
    <row r="528">
      <c r="G528" s="10" t="n"/>
    </row>
    <row r="529">
      <c r="G529" s="10" t="n"/>
    </row>
    <row r="530">
      <c r="G530" s="10" t="n"/>
    </row>
    <row r="531">
      <c r="G531" s="10" t="n"/>
    </row>
    <row r="532">
      <c r="G532" s="10" t="n"/>
    </row>
    <row r="533">
      <c r="G533" s="10" t="n"/>
    </row>
    <row r="534">
      <c r="G534" s="10" t="n"/>
    </row>
    <row r="535">
      <c r="G535" s="10" t="n"/>
    </row>
    <row r="536">
      <c r="G536" s="10" t="n"/>
    </row>
    <row r="537">
      <c r="G537" s="10" t="n"/>
    </row>
    <row r="538">
      <c r="G538" s="10" t="n"/>
    </row>
    <row r="539">
      <c r="G539" s="10" t="n"/>
    </row>
    <row r="540">
      <c r="G540" s="10" t="n"/>
    </row>
    <row r="541">
      <c r="G541" s="10" t="n"/>
    </row>
    <row r="542">
      <c r="G542" s="10" t="n"/>
    </row>
    <row r="543">
      <c r="G543" s="10" t="n"/>
    </row>
    <row r="544">
      <c r="G544" s="10" t="n"/>
    </row>
    <row r="545">
      <c r="G545" s="10" t="n"/>
    </row>
    <row r="546">
      <c r="G546" s="10" t="n"/>
    </row>
    <row r="547">
      <c r="G547" s="10" t="n"/>
    </row>
    <row r="548">
      <c r="G548" s="10" t="n"/>
    </row>
    <row r="549">
      <c r="G549" s="10" t="n"/>
    </row>
    <row r="550">
      <c r="G550" s="10" t="n"/>
    </row>
    <row r="551">
      <c r="G551" s="10" t="n"/>
    </row>
    <row r="552">
      <c r="G552" s="10" t="n"/>
    </row>
    <row r="553">
      <c r="G553" s="10" t="n"/>
    </row>
    <row r="554">
      <c r="G554" s="10" t="n"/>
    </row>
    <row r="555">
      <c r="G555" s="10" t="n"/>
    </row>
    <row r="556">
      <c r="G556" s="10" t="n"/>
    </row>
    <row r="557">
      <c r="G557" s="10" t="n"/>
    </row>
    <row r="558">
      <c r="G558" s="10" t="n"/>
    </row>
    <row r="559">
      <c r="G559" s="10" t="n"/>
    </row>
    <row r="560">
      <c r="G560" s="10" t="n"/>
    </row>
    <row r="561">
      <c r="G561" s="10" t="n"/>
    </row>
    <row r="562">
      <c r="G562" s="10" t="n"/>
    </row>
    <row r="563">
      <c r="G563" s="10" t="n"/>
    </row>
    <row r="564">
      <c r="G564" s="10" t="n"/>
    </row>
    <row r="565">
      <c r="G565" s="10" t="n"/>
    </row>
    <row r="566">
      <c r="G566" s="10" t="n"/>
    </row>
    <row r="567">
      <c r="G567" s="10" t="n"/>
    </row>
    <row r="568">
      <c r="G568" s="10" t="n"/>
    </row>
    <row r="569">
      <c r="G569" s="10" t="n"/>
    </row>
    <row r="570">
      <c r="G570" s="10" t="n"/>
    </row>
    <row r="571">
      <c r="G571" s="10" t="n"/>
    </row>
    <row r="572">
      <c r="G572" s="10" t="n"/>
    </row>
    <row r="573">
      <c r="G573" s="10" t="n"/>
    </row>
    <row r="574">
      <c r="G574" s="10" t="n"/>
    </row>
    <row r="575">
      <c r="G575" s="10" t="n"/>
    </row>
    <row r="576">
      <c r="G576" s="10" t="n"/>
    </row>
    <row r="577">
      <c r="G577" s="10" t="n"/>
    </row>
    <row r="578">
      <c r="G578" s="10" t="n"/>
    </row>
    <row r="579">
      <c r="G579" s="10" t="n"/>
    </row>
    <row r="580">
      <c r="G580" s="10" t="n"/>
    </row>
    <row r="581">
      <c r="G581" s="10" t="n"/>
    </row>
    <row r="582">
      <c r="G582" s="10" t="n"/>
    </row>
    <row r="583">
      <c r="G583" s="10" t="n"/>
    </row>
    <row r="584">
      <c r="G584" s="10" t="n"/>
    </row>
    <row r="585">
      <c r="G585" s="10" t="n"/>
    </row>
    <row r="586">
      <c r="G586" s="10" t="n"/>
    </row>
    <row r="587">
      <c r="G587" s="10" t="n"/>
    </row>
    <row r="588">
      <c r="G588" s="10" t="n"/>
    </row>
    <row r="589">
      <c r="G589" s="10" t="n"/>
    </row>
    <row r="590">
      <c r="G590" s="10" t="n"/>
    </row>
    <row r="591">
      <c r="G591" s="10" t="n"/>
    </row>
    <row r="592">
      <c r="G592" s="10" t="n"/>
    </row>
    <row r="593">
      <c r="G593" s="10" t="n"/>
    </row>
    <row r="594">
      <c r="G594" s="10" t="n"/>
    </row>
    <row r="595">
      <c r="G595" s="10" t="n"/>
    </row>
    <row r="596">
      <c r="G596" s="10" t="n"/>
    </row>
    <row r="597">
      <c r="G597" s="10" t="n"/>
    </row>
    <row r="598">
      <c r="G598" s="10" t="n"/>
    </row>
    <row r="599">
      <c r="G599" s="10" t="n"/>
    </row>
    <row r="600">
      <c r="G600" s="10" t="n"/>
    </row>
    <row r="601">
      <c r="G601" s="10" t="n"/>
    </row>
    <row r="602">
      <c r="G602" s="10" t="n"/>
    </row>
    <row r="603">
      <c r="G603" s="10" t="n"/>
    </row>
    <row r="604">
      <c r="G604" s="10" t="n"/>
    </row>
    <row r="605">
      <c r="G605" s="10" t="n"/>
    </row>
    <row r="606">
      <c r="G606" s="10" t="n"/>
    </row>
    <row r="607">
      <c r="G607" s="10" t="n"/>
    </row>
    <row r="608">
      <c r="G608" s="10" t="n"/>
    </row>
    <row r="609">
      <c r="G609" s="10" t="n"/>
    </row>
    <row r="610">
      <c r="G610" s="10" t="n"/>
    </row>
    <row r="611">
      <c r="G611" s="10" t="n"/>
    </row>
    <row r="612">
      <c r="G612" s="10" t="n"/>
    </row>
    <row r="613">
      <c r="G613" s="10" t="n"/>
    </row>
    <row r="614">
      <c r="G614" s="10" t="n"/>
    </row>
    <row r="615">
      <c r="G615" s="10" t="n"/>
    </row>
    <row r="616">
      <c r="G616" s="10" t="n"/>
    </row>
    <row r="617">
      <c r="G617" s="10" t="n"/>
    </row>
    <row r="618">
      <c r="G618" s="10" t="n"/>
    </row>
    <row r="619">
      <c r="G619" s="10" t="n"/>
    </row>
    <row r="620">
      <c r="G620" s="10" t="n"/>
    </row>
    <row r="621">
      <c r="G621" s="10" t="n"/>
    </row>
    <row r="622">
      <c r="G622" s="10" t="n"/>
    </row>
    <row r="623">
      <c r="G623" s="10" t="n"/>
    </row>
    <row r="624">
      <c r="G624" s="10" t="n"/>
    </row>
    <row r="625">
      <c r="G625" s="10" t="n"/>
    </row>
    <row r="626">
      <c r="G626" s="10" t="n"/>
    </row>
    <row r="627">
      <c r="G627" s="10" t="n"/>
    </row>
    <row r="628">
      <c r="G628" s="10" t="n"/>
    </row>
    <row r="629">
      <c r="G629" s="10" t="n"/>
    </row>
    <row r="630">
      <c r="G630" s="10" t="n"/>
    </row>
    <row r="631">
      <c r="G631" s="10" t="n"/>
    </row>
    <row r="632">
      <c r="G632" s="10" t="n"/>
    </row>
    <row r="633">
      <c r="G633" s="10" t="n"/>
    </row>
    <row r="634">
      <c r="G634" s="10" t="n"/>
    </row>
    <row r="635">
      <c r="G635" s="10" t="n"/>
    </row>
    <row r="636">
      <c r="G636" s="10" t="n"/>
    </row>
    <row r="637">
      <c r="G637" s="10" t="n"/>
    </row>
    <row r="638">
      <c r="G638" s="10" t="n"/>
    </row>
    <row r="639">
      <c r="G639" s="10" t="n"/>
    </row>
    <row r="640">
      <c r="G640" s="10" t="n"/>
    </row>
    <row r="641">
      <c r="G641" s="10" t="n"/>
    </row>
    <row r="642">
      <c r="G642" s="10" t="n"/>
    </row>
    <row r="643">
      <c r="G643" s="10" t="n"/>
    </row>
    <row r="644">
      <c r="G644" s="10" t="n"/>
    </row>
    <row r="645">
      <c r="G645" s="10" t="n"/>
    </row>
    <row r="646">
      <c r="G646" s="10" t="n"/>
    </row>
    <row r="647">
      <c r="G647" s="10" t="n"/>
    </row>
    <row r="648">
      <c r="G648" s="10" t="n"/>
    </row>
    <row r="649">
      <c r="G649" s="10" t="n"/>
    </row>
    <row r="650">
      <c r="G650" s="10" t="n"/>
    </row>
    <row r="651">
      <c r="G651" s="10" t="n"/>
    </row>
    <row r="652">
      <c r="G652" s="10" t="n"/>
    </row>
    <row r="653">
      <c r="G653" s="10" t="n"/>
    </row>
    <row r="654">
      <c r="G654" s="10" t="n"/>
    </row>
    <row r="655">
      <c r="G655" s="10" t="n"/>
    </row>
    <row r="656">
      <c r="G656" s="10" t="n"/>
    </row>
    <row r="657">
      <c r="G657" s="10" t="n"/>
    </row>
    <row r="658">
      <c r="G658" s="10" t="n"/>
    </row>
    <row r="659">
      <c r="G659" s="10" t="n"/>
    </row>
    <row r="660">
      <c r="G660" s="10" t="n"/>
    </row>
    <row r="661">
      <c r="G661" s="10" t="n"/>
    </row>
    <row r="662">
      <c r="G662" s="10" t="n"/>
    </row>
    <row r="663">
      <c r="G663" s="10" t="n"/>
    </row>
    <row r="664">
      <c r="G664" s="10" t="n"/>
    </row>
    <row r="665">
      <c r="G665" s="10" t="n"/>
    </row>
    <row r="666">
      <c r="G666" s="10" t="n"/>
    </row>
    <row r="667">
      <c r="G667" s="10" t="n"/>
    </row>
    <row r="668">
      <c r="G668" s="10" t="n"/>
    </row>
    <row r="669">
      <c r="G669" s="10" t="n"/>
    </row>
    <row r="670">
      <c r="G670" s="10" t="n"/>
    </row>
    <row r="671">
      <c r="G671" s="10" t="n"/>
    </row>
    <row r="672">
      <c r="G672" s="10" t="n"/>
    </row>
    <row r="673">
      <c r="G673" s="10" t="n"/>
    </row>
    <row r="674">
      <c r="G674" s="10" t="n"/>
    </row>
    <row r="675">
      <c r="G675" s="10" t="n"/>
    </row>
    <row r="676">
      <c r="G676" s="10" t="n"/>
    </row>
    <row r="677">
      <c r="G677" s="10" t="n"/>
    </row>
    <row r="678">
      <c r="G678" s="10" t="n"/>
    </row>
    <row r="679">
      <c r="G679" s="10" t="n"/>
    </row>
    <row r="680">
      <c r="G680" s="10" t="n"/>
    </row>
    <row r="681">
      <c r="G681" s="10" t="n"/>
    </row>
    <row r="682">
      <c r="G682" s="10" t="n"/>
    </row>
    <row r="683">
      <c r="G683" s="10" t="n"/>
    </row>
    <row r="684">
      <c r="G684" s="10" t="n"/>
    </row>
    <row r="685">
      <c r="G685" s="10" t="n"/>
    </row>
    <row r="686">
      <c r="G686" s="10" t="n"/>
    </row>
    <row r="687">
      <c r="G687" s="10" t="n"/>
    </row>
    <row r="688">
      <c r="G688" s="10" t="n"/>
    </row>
    <row r="689">
      <c r="G689" s="10" t="n"/>
    </row>
    <row r="690">
      <c r="G690" s="10" t="n"/>
    </row>
    <row r="691">
      <c r="G691" s="10" t="n"/>
    </row>
    <row r="692">
      <c r="G692" s="10" t="n"/>
    </row>
    <row r="693">
      <c r="G693" s="10" t="n"/>
    </row>
    <row r="694">
      <c r="G694" s="10" t="n"/>
    </row>
    <row r="695">
      <c r="G695" s="10" t="n"/>
    </row>
    <row r="696">
      <c r="G696" s="10" t="n"/>
    </row>
    <row r="697">
      <c r="G697" s="10" t="n"/>
    </row>
    <row r="698">
      <c r="G698" s="10" t="n"/>
    </row>
    <row r="699">
      <c r="G699" s="10" t="n"/>
    </row>
    <row r="700">
      <c r="G700" s="10" t="n"/>
    </row>
    <row r="701">
      <c r="G701" s="10" t="n"/>
    </row>
    <row r="702">
      <c r="G702" s="10" t="n"/>
    </row>
    <row r="703">
      <c r="G703" s="10" t="n"/>
    </row>
    <row r="704">
      <c r="G704" s="10" t="n"/>
    </row>
    <row r="705">
      <c r="G705" s="10" t="n"/>
    </row>
    <row r="706">
      <c r="G706" s="10" t="n"/>
    </row>
    <row r="707">
      <c r="G707" s="10" t="n"/>
    </row>
    <row r="708">
      <c r="G708" s="10" t="n"/>
    </row>
    <row r="709">
      <c r="G709" s="10" t="n"/>
    </row>
    <row r="710">
      <c r="G710" s="10" t="n"/>
    </row>
    <row r="711">
      <c r="G711" s="10" t="n"/>
    </row>
    <row r="712">
      <c r="G712" s="10" t="n"/>
    </row>
    <row r="713">
      <c r="G713" s="10" t="n"/>
    </row>
    <row r="714">
      <c r="G714" s="10" t="n"/>
    </row>
    <row r="715">
      <c r="G715" s="10" t="n"/>
    </row>
    <row r="716">
      <c r="G716" s="10" t="n"/>
    </row>
    <row r="717">
      <c r="G717" s="10" t="n"/>
    </row>
    <row r="718">
      <c r="G718" s="10" t="n"/>
    </row>
    <row r="719">
      <c r="G719" s="10" t="n"/>
    </row>
    <row r="720">
      <c r="G720" s="10" t="n"/>
    </row>
    <row r="721">
      <c r="G721" s="10" t="n"/>
    </row>
    <row r="722">
      <c r="G722" s="10" t="n"/>
    </row>
    <row r="723">
      <c r="G723" s="10" t="n"/>
    </row>
    <row r="724">
      <c r="G724" s="10" t="n"/>
    </row>
    <row r="725">
      <c r="G725" s="10" t="n"/>
    </row>
    <row r="726">
      <c r="G726" s="10" t="n"/>
    </row>
    <row r="727">
      <c r="G727" s="10" t="n"/>
    </row>
    <row r="728">
      <c r="G728" s="10" t="n"/>
    </row>
    <row r="729">
      <c r="G729" s="10" t="n"/>
    </row>
    <row r="730">
      <c r="G730" s="10" t="n"/>
    </row>
    <row r="731">
      <c r="G731" s="10" t="n"/>
    </row>
    <row r="732">
      <c r="G732" s="10" t="n"/>
    </row>
    <row r="733">
      <c r="G733" s="10" t="n"/>
    </row>
    <row r="734">
      <c r="G734" s="10" t="n"/>
    </row>
    <row r="735">
      <c r="G735" s="10" t="n"/>
    </row>
    <row r="736">
      <c r="G736" s="10" t="n"/>
    </row>
    <row r="737">
      <c r="G737" s="10" t="n"/>
    </row>
    <row r="738">
      <c r="G738" s="10" t="n"/>
    </row>
    <row r="739">
      <c r="G739" s="10" t="n"/>
    </row>
    <row r="740">
      <c r="G740" s="10" t="n"/>
    </row>
    <row r="741">
      <c r="G741" s="10" t="n"/>
    </row>
    <row r="742">
      <c r="G742" s="10" t="n"/>
    </row>
    <row r="743">
      <c r="G743" s="10" t="n"/>
    </row>
    <row r="744">
      <c r="G744" s="10" t="n"/>
    </row>
    <row r="745">
      <c r="G745" s="10" t="n"/>
    </row>
    <row r="746">
      <c r="G746" s="10" t="n"/>
    </row>
    <row r="747">
      <c r="G747" s="10" t="n"/>
    </row>
    <row r="748">
      <c r="G748" s="10" t="n"/>
    </row>
    <row r="749">
      <c r="G749" s="10" t="n"/>
    </row>
    <row r="750">
      <c r="G750" s="10" t="n"/>
    </row>
    <row r="751">
      <c r="G751" s="10" t="n"/>
    </row>
    <row r="752">
      <c r="G752" s="10" t="n"/>
    </row>
    <row r="753">
      <c r="G753" s="10" t="n"/>
    </row>
    <row r="754">
      <c r="G754" s="10" t="n"/>
    </row>
    <row r="755">
      <c r="G755" s="10" t="n"/>
    </row>
    <row r="756">
      <c r="G756" s="10" t="n"/>
    </row>
    <row r="757">
      <c r="G757" s="10" t="n"/>
    </row>
    <row r="758">
      <c r="G758" s="10" t="n"/>
    </row>
    <row r="759">
      <c r="G759" s="10" t="n"/>
    </row>
    <row r="760">
      <c r="G760" s="10" t="n"/>
    </row>
    <row r="761">
      <c r="G761" s="10" t="n"/>
    </row>
    <row r="762">
      <c r="G762" s="10" t="n"/>
    </row>
    <row r="763">
      <c r="G763" s="10" t="n"/>
    </row>
    <row r="764">
      <c r="G764" s="10" t="n"/>
    </row>
    <row r="765">
      <c r="G765" s="10" t="n"/>
    </row>
    <row r="766">
      <c r="G766" s="10" t="n"/>
    </row>
    <row r="767">
      <c r="G767" s="10" t="n"/>
    </row>
    <row r="768">
      <c r="G768" s="10" t="n"/>
    </row>
    <row r="769">
      <c r="G769" s="10" t="n"/>
    </row>
    <row r="770">
      <c r="G770" s="10" t="n"/>
    </row>
    <row r="771">
      <c r="G771" s="10" t="n"/>
    </row>
    <row r="772">
      <c r="G772" s="10" t="n"/>
    </row>
    <row r="773">
      <c r="G773" s="10" t="n"/>
    </row>
    <row r="774">
      <c r="G774" s="10" t="n"/>
    </row>
    <row r="775">
      <c r="G775" s="10" t="n"/>
    </row>
    <row r="776">
      <c r="G776" s="10" t="n"/>
    </row>
    <row r="777">
      <c r="G777" s="10" t="n"/>
    </row>
    <row r="778">
      <c r="G778" s="10" t="n"/>
    </row>
    <row r="779">
      <c r="G779" s="10" t="n"/>
    </row>
    <row r="780">
      <c r="G780" s="10" t="n"/>
    </row>
    <row r="781">
      <c r="G781" s="10" t="n"/>
    </row>
    <row r="782">
      <c r="G782" s="10" t="n"/>
    </row>
    <row r="783">
      <c r="G783" s="10" t="n"/>
    </row>
    <row r="784">
      <c r="G784" s="10" t="n"/>
    </row>
    <row r="785">
      <c r="G785" s="10" t="n"/>
    </row>
    <row r="786">
      <c r="G786" s="10" t="n"/>
    </row>
    <row r="787">
      <c r="G787" s="10" t="n"/>
    </row>
    <row r="788">
      <c r="G788" s="10" t="n"/>
    </row>
    <row r="789">
      <c r="G789" s="10" t="n"/>
    </row>
    <row r="790">
      <c r="G790" s="10" t="n"/>
    </row>
    <row r="791">
      <c r="G791" s="10" t="n"/>
    </row>
    <row r="792">
      <c r="G792" s="10" t="n"/>
    </row>
    <row r="793">
      <c r="G793" s="10" t="n"/>
    </row>
    <row r="794">
      <c r="G794" s="10" t="n"/>
    </row>
    <row r="795">
      <c r="G795" s="10" t="n"/>
    </row>
    <row r="796">
      <c r="G796" s="10" t="n"/>
    </row>
    <row r="797">
      <c r="G797" s="10" t="n"/>
    </row>
    <row r="798">
      <c r="G798" s="10" t="n"/>
    </row>
    <row r="799">
      <c r="G799" s="10" t="n"/>
    </row>
    <row r="800">
      <c r="G800" s="10" t="n"/>
    </row>
    <row r="801">
      <c r="G801" s="10" t="n"/>
    </row>
    <row r="802">
      <c r="G802" s="10" t="n"/>
    </row>
    <row r="803">
      <c r="G803" s="10" t="n"/>
    </row>
    <row r="804">
      <c r="G804" s="10" t="n"/>
    </row>
    <row r="805">
      <c r="G805" s="10" t="n"/>
    </row>
    <row r="806">
      <c r="G806" s="10" t="n"/>
    </row>
    <row r="807">
      <c r="G807" s="10" t="n"/>
    </row>
    <row r="808">
      <c r="G808" s="10" t="n"/>
    </row>
    <row r="809">
      <c r="G809" s="10" t="n"/>
    </row>
    <row r="810">
      <c r="G810" s="10" t="n"/>
    </row>
    <row r="811">
      <c r="G811" s="10" t="n"/>
    </row>
    <row r="812">
      <c r="G812" s="10" t="n"/>
    </row>
    <row r="813">
      <c r="G813" s="10" t="n"/>
    </row>
    <row r="814">
      <c r="G814" s="10" t="n"/>
    </row>
    <row r="815">
      <c r="G815" s="10" t="n"/>
    </row>
    <row r="816">
      <c r="G816" s="10" t="n"/>
    </row>
    <row r="817">
      <c r="G817" s="10" t="n"/>
    </row>
    <row r="818">
      <c r="G818" s="10" t="n"/>
    </row>
    <row r="819">
      <c r="G819" s="10" t="n"/>
    </row>
    <row r="820">
      <c r="G820" s="10" t="n"/>
    </row>
    <row r="821">
      <c r="G821" s="10" t="n"/>
    </row>
    <row r="822">
      <c r="G822" s="10" t="n"/>
    </row>
    <row r="823">
      <c r="G823" s="10" t="n"/>
    </row>
    <row r="824">
      <c r="G824" s="10" t="n"/>
    </row>
    <row r="825">
      <c r="G825" s="10" t="n"/>
    </row>
    <row r="826">
      <c r="G826" s="10" t="n"/>
    </row>
    <row r="827">
      <c r="G827" s="10" t="n"/>
    </row>
    <row r="828">
      <c r="G828" s="10" t="n"/>
    </row>
    <row r="829">
      <c r="G829" s="10" t="n"/>
    </row>
    <row r="830">
      <c r="G830" s="10" t="n"/>
    </row>
    <row r="831">
      <c r="G831" s="10" t="n"/>
    </row>
    <row r="832">
      <c r="G832" s="10" t="n"/>
    </row>
    <row r="833">
      <c r="G833" s="10" t="n"/>
    </row>
    <row r="834">
      <c r="G834" s="10" t="n"/>
    </row>
    <row r="835">
      <c r="G835" s="10" t="n"/>
    </row>
    <row r="836">
      <c r="G836" s="10" t="n"/>
    </row>
    <row r="837">
      <c r="G837" s="10" t="n"/>
    </row>
    <row r="838">
      <c r="G838" s="10" t="n"/>
    </row>
    <row r="839">
      <c r="G839" s="10" t="n"/>
    </row>
    <row r="840">
      <c r="G840" s="10" t="n"/>
    </row>
    <row r="841">
      <c r="G841" s="10" t="n"/>
    </row>
    <row r="842">
      <c r="G842" s="10" t="n"/>
    </row>
    <row r="843">
      <c r="G843" s="10" t="n"/>
    </row>
    <row r="844">
      <c r="G844" s="10" t="n"/>
    </row>
    <row r="845">
      <c r="G845" s="10" t="n"/>
    </row>
    <row r="846">
      <c r="G846" s="10" t="n"/>
    </row>
    <row r="847">
      <c r="G847" s="10" t="n"/>
    </row>
    <row r="848">
      <c r="G848" s="10" t="n"/>
    </row>
    <row r="849">
      <c r="G849" s="10" t="n"/>
    </row>
    <row r="850">
      <c r="G850" s="10" t="n"/>
    </row>
    <row r="851">
      <c r="G851" s="10" t="n"/>
    </row>
    <row r="852">
      <c r="G852" s="10" t="n"/>
    </row>
    <row r="853">
      <c r="G853" s="10" t="n"/>
    </row>
    <row r="854">
      <c r="G854" s="10" t="n"/>
    </row>
    <row r="855">
      <c r="G855" s="10" t="n"/>
    </row>
    <row r="856">
      <c r="G856" s="10" t="n"/>
    </row>
    <row r="857">
      <c r="G857" s="10" t="n"/>
    </row>
    <row r="858">
      <c r="G858" s="10" t="n"/>
    </row>
    <row r="859">
      <c r="G859" s="10" t="n"/>
    </row>
    <row r="860">
      <c r="G860" s="10" t="n"/>
    </row>
    <row r="861">
      <c r="G861" s="10" t="n"/>
    </row>
    <row r="862">
      <c r="G862" s="10" t="n"/>
    </row>
    <row r="863">
      <c r="G863" s="10" t="n"/>
    </row>
    <row r="864">
      <c r="G864" s="10" t="n"/>
    </row>
    <row r="865">
      <c r="G865" s="10" t="n"/>
    </row>
    <row r="866">
      <c r="G866" s="10" t="n"/>
    </row>
    <row r="867">
      <c r="G867" s="10" t="n"/>
    </row>
    <row r="868">
      <c r="G868" s="10" t="n"/>
    </row>
    <row r="869">
      <c r="G869" s="10" t="n"/>
    </row>
    <row r="870">
      <c r="G870" s="10" t="n"/>
    </row>
    <row r="871">
      <c r="G871" s="10" t="n"/>
    </row>
    <row r="872">
      <c r="G872" s="10" t="n"/>
    </row>
    <row r="873">
      <c r="G873" s="10" t="n"/>
    </row>
    <row r="874">
      <c r="G874" s="10" t="n"/>
    </row>
    <row r="875">
      <c r="G875" s="10" t="n"/>
    </row>
    <row r="876">
      <c r="G876" s="10" t="n"/>
    </row>
    <row r="877">
      <c r="G877" s="10" t="n"/>
    </row>
    <row r="878">
      <c r="G878" s="10" t="n"/>
    </row>
    <row r="879">
      <c r="G879" s="10" t="n"/>
    </row>
    <row r="880">
      <c r="G880" s="10" t="n"/>
    </row>
    <row r="881">
      <c r="G881" s="10" t="n"/>
    </row>
    <row r="882">
      <c r="G882" s="10" t="n"/>
    </row>
    <row r="883">
      <c r="G883" s="10" t="n"/>
    </row>
    <row r="884">
      <c r="G884" s="10" t="n"/>
    </row>
    <row r="885">
      <c r="G885" s="10" t="n"/>
    </row>
    <row r="886">
      <c r="G886" s="10" t="n"/>
    </row>
    <row r="887">
      <c r="G887" s="10" t="n"/>
    </row>
    <row r="888">
      <c r="G888" s="10" t="n"/>
    </row>
    <row r="889">
      <c r="G889" s="10" t="n"/>
    </row>
    <row r="890">
      <c r="G890" s="10" t="n"/>
    </row>
    <row r="891">
      <c r="G891" s="10" t="n"/>
    </row>
    <row r="892">
      <c r="G892" s="10" t="n"/>
    </row>
    <row r="893">
      <c r="G893" s="10" t="n"/>
    </row>
    <row r="894">
      <c r="G894" s="10" t="n"/>
    </row>
    <row r="895">
      <c r="G895" s="10" t="n"/>
    </row>
    <row r="896">
      <c r="G896" s="10" t="n"/>
    </row>
    <row r="897">
      <c r="G897" s="10" t="n"/>
    </row>
    <row r="898">
      <c r="G898" s="10" t="n"/>
    </row>
    <row r="899">
      <c r="G899" s="10" t="n"/>
    </row>
    <row r="900">
      <c r="G900" s="10" t="n"/>
    </row>
    <row r="901">
      <c r="G901" s="10" t="n"/>
    </row>
    <row r="902">
      <c r="G902" s="10" t="n"/>
    </row>
    <row r="903">
      <c r="G903" s="10" t="n"/>
    </row>
    <row r="904">
      <c r="G904" s="10" t="n"/>
    </row>
    <row r="905">
      <c r="G905" s="10" t="n"/>
    </row>
    <row r="906">
      <c r="G906" s="10" t="n"/>
    </row>
    <row r="907">
      <c r="G907" s="10" t="n"/>
    </row>
    <row r="908">
      <c r="G908" s="10" t="n"/>
    </row>
    <row r="909">
      <c r="G909" s="10" t="n"/>
    </row>
    <row r="910">
      <c r="G910" s="10" t="n"/>
    </row>
    <row r="911">
      <c r="G911" s="10" t="n"/>
    </row>
    <row r="912">
      <c r="G912" s="10" t="n"/>
    </row>
    <row r="913">
      <c r="G913" s="10" t="n"/>
    </row>
    <row r="914">
      <c r="G914" s="10" t="n"/>
    </row>
    <row r="915">
      <c r="G915" s="10" t="n"/>
    </row>
    <row r="916">
      <c r="G916" s="10" t="n"/>
    </row>
    <row r="917">
      <c r="G917" s="10" t="n"/>
    </row>
    <row r="918">
      <c r="G918" s="10" t="n"/>
    </row>
    <row r="919">
      <c r="G919" s="10" t="n"/>
    </row>
    <row r="920">
      <c r="G920" s="10" t="n"/>
    </row>
    <row r="921">
      <c r="G921" s="10" t="n"/>
    </row>
    <row r="922">
      <c r="G922" s="10" t="n"/>
    </row>
    <row r="923">
      <c r="G923" s="10" t="n"/>
    </row>
    <row r="924">
      <c r="G924" s="10" t="n"/>
    </row>
    <row r="925">
      <c r="G925" s="10" t="n"/>
    </row>
    <row r="926">
      <c r="G926" s="10" t="n"/>
    </row>
    <row r="927">
      <c r="G927" s="10" t="n"/>
    </row>
    <row r="928">
      <c r="G928" s="10" t="n"/>
    </row>
    <row r="929">
      <c r="G929" s="10" t="n"/>
    </row>
    <row r="930">
      <c r="G930" s="10" t="n"/>
    </row>
    <row r="931">
      <c r="G931" s="10" t="n"/>
    </row>
    <row r="932">
      <c r="G932" s="10" t="n"/>
    </row>
    <row r="933">
      <c r="G933" s="10" t="n"/>
    </row>
    <row r="934">
      <c r="G934" s="10" t="n"/>
    </row>
    <row r="935">
      <c r="G935" s="10" t="n"/>
    </row>
    <row r="936">
      <c r="G936" s="10" t="n"/>
    </row>
    <row r="937">
      <c r="G937" s="10" t="n"/>
    </row>
    <row r="938">
      <c r="G938" s="10" t="n"/>
    </row>
    <row r="939">
      <c r="G939" s="10" t="n"/>
    </row>
    <row r="940">
      <c r="G940" s="10" t="n"/>
    </row>
    <row r="941">
      <c r="G941" s="10" t="n"/>
    </row>
    <row r="942">
      <c r="G942" s="10" t="n"/>
    </row>
    <row r="943">
      <c r="G943" s="10" t="n"/>
    </row>
    <row r="944">
      <c r="G944" s="10" t="n"/>
    </row>
    <row r="945">
      <c r="G945" s="10" t="n"/>
    </row>
    <row r="946">
      <c r="G946" s="10" t="n"/>
    </row>
    <row r="947">
      <c r="G947" s="10" t="n"/>
    </row>
    <row r="948">
      <c r="G948" s="10" t="n"/>
    </row>
    <row r="949">
      <c r="G949" s="10" t="n"/>
    </row>
    <row r="950">
      <c r="G950" s="10" t="n"/>
    </row>
    <row r="951">
      <c r="G951" s="10" t="n"/>
    </row>
    <row r="952">
      <c r="G952" s="10" t="n"/>
    </row>
    <row r="953">
      <c r="G953" s="10" t="n"/>
    </row>
    <row r="954">
      <c r="G954" s="10" t="n"/>
    </row>
    <row r="955">
      <c r="G955" s="10" t="n"/>
    </row>
    <row r="956">
      <c r="G956" s="10" t="n"/>
    </row>
    <row r="957">
      <c r="G957" s="10" t="n"/>
    </row>
    <row r="958">
      <c r="G958" s="10" t="n"/>
    </row>
    <row r="959">
      <c r="G959" s="10" t="n"/>
    </row>
    <row r="960">
      <c r="G960" s="10" t="n"/>
    </row>
    <row r="961">
      <c r="G961" s="10" t="n"/>
    </row>
    <row r="962">
      <c r="G962" s="10" t="n"/>
    </row>
    <row r="963">
      <c r="G963" s="10" t="n"/>
    </row>
    <row r="964">
      <c r="G964" s="10" t="n"/>
    </row>
    <row r="965">
      <c r="G965" s="10" t="n"/>
    </row>
    <row r="966">
      <c r="G966" s="10" t="n"/>
    </row>
    <row r="967">
      <c r="G967" s="10" t="n"/>
    </row>
    <row r="968">
      <c r="G968" s="10" t="n"/>
    </row>
    <row r="969">
      <c r="G969" s="10" t="n"/>
    </row>
    <row r="970">
      <c r="G970" s="10" t="n"/>
    </row>
    <row r="971">
      <c r="G971" s="10" t="n"/>
    </row>
    <row r="972">
      <c r="G972" s="10" t="n"/>
    </row>
    <row r="973">
      <c r="G973" s="10" t="n"/>
    </row>
    <row r="974">
      <c r="G974" s="10" t="n"/>
    </row>
    <row r="975">
      <c r="G975" s="10" t="n"/>
    </row>
    <row r="976">
      <c r="G976" s="10" t="n"/>
    </row>
    <row r="977">
      <c r="G977" s="10" t="n"/>
    </row>
    <row r="978">
      <c r="G978" s="10" t="n"/>
    </row>
    <row r="979">
      <c r="G979" s="10" t="n"/>
    </row>
    <row r="980">
      <c r="G980" s="10" t="n"/>
    </row>
    <row r="981">
      <c r="G981" s="10" t="n"/>
    </row>
    <row r="982">
      <c r="G982" s="10" t="n"/>
    </row>
    <row r="983">
      <c r="G983" s="10" t="n"/>
    </row>
    <row r="984">
      <c r="G984" s="10" t="n"/>
    </row>
    <row r="985">
      <c r="G985" s="10" t="n"/>
    </row>
    <row r="986">
      <c r="G986" s="10" t="n"/>
    </row>
    <row r="987">
      <c r="G987" s="10" t="n"/>
    </row>
    <row r="988">
      <c r="G988" s="10" t="n"/>
    </row>
    <row r="989">
      <c r="G989" s="10" t="n"/>
    </row>
    <row r="990">
      <c r="G990" s="10" t="n"/>
    </row>
    <row r="991">
      <c r="G991" s="10" t="n"/>
    </row>
    <row r="992">
      <c r="G992" s="10" t="n"/>
    </row>
    <row r="993">
      <c r="G993" s="10" t="n"/>
    </row>
    <row r="994">
      <c r="G994" s="10" t="n"/>
    </row>
    <row r="995">
      <c r="G995" s="10" t="n"/>
    </row>
    <row r="996">
      <c r="G996" s="10" t="n"/>
    </row>
    <row r="997">
      <c r="G997" s="10" t="n"/>
    </row>
    <row r="998">
      <c r="G998" s="10" t="n"/>
    </row>
    <row r="999">
      <c r="G999" s="10" t="n"/>
    </row>
    <row r="1000">
      <c r="G1000" s="10" t="n"/>
    </row>
  </sheetData>
  <dataValidations count="1">
    <dataValidation sqref="H2:H1000" showDropDown="0" showInputMessage="0" showErrorMessage="0" allowBlank="1" type="list">
      <formula1>"Active,Inactive"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14" customWidth="1" min="11" max="11"/>
    <col width="18" customWidth="1" min="12" max="12"/>
  </cols>
  <sheetData>
    <row r="1">
      <c r="A1" s="11" t="inlineStr">
        <is>
          <t>SaleID</t>
        </is>
      </c>
      <c r="B1" s="11" t="inlineStr">
        <is>
          <t>Date</t>
        </is>
      </c>
      <c r="C1" s="11" t="inlineStr">
        <is>
          <t>CustomerID</t>
        </is>
      </c>
      <c r="D1" s="11" t="inlineStr">
        <is>
          <t>ProductID</t>
        </is>
      </c>
      <c r="E1" s="11" t="inlineStr">
        <is>
          <t>Quantity</t>
        </is>
      </c>
      <c r="F1" s="11" t="inlineStr">
        <is>
          <t>Rate</t>
        </is>
      </c>
      <c r="G1" s="11" t="inlineStr">
        <is>
          <t>Discount</t>
        </is>
      </c>
      <c r="H1" s="11" t="inlineStr">
        <is>
          <t>Tax</t>
        </is>
      </c>
      <c r="I1" s="11" t="inlineStr">
        <is>
          <t>NetAmount</t>
        </is>
      </c>
      <c r="J1" s="11" t="inlineStr">
        <is>
          <t>PaymentReceived</t>
        </is>
      </c>
      <c r="K1" s="11" t="inlineStr">
        <is>
          <t>Balance</t>
        </is>
      </c>
      <c r="L1" s="11" t="inlineStr">
        <is>
          <t>PaymentStatus</t>
        </is>
      </c>
    </row>
    <row r="2">
      <c r="A2" t="inlineStr">
        <is>
          <t>S001</t>
        </is>
      </c>
      <c r="B2" s="12" t="inlineStr">
        <is>
          <t>15-08-2026</t>
        </is>
      </c>
      <c r="C2" t="inlineStr">
        <is>
          <t>C001</t>
        </is>
      </c>
      <c r="D2" t="inlineStr">
        <is>
          <t>P001</t>
        </is>
      </c>
      <c r="E2" t="n">
        <v>2</v>
      </c>
      <c r="F2" s="10" t="n">
        <v>150</v>
      </c>
      <c r="G2" s="10" t="n">
        <v>0</v>
      </c>
      <c r="H2" s="10" t="n">
        <v>0</v>
      </c>
      <c r="I2" s="10">
        <f>IF(OR(E2="",F2=""),"",E2*F2-N(G2)+N(H2))</f>
        <v/>
      </c>
      <c r="J2" s="10" t="n">
        <v>300</v>
      </c>
      <c r="K2" s="10">
        <f>IF(I2="","",I2-N(J2))</f>
        <v/>
      </c>
      <c r="L2">
        <f>IF(I2="","",IF(K2&lt;=0,"Paid",IF(J2&gt;0,"Partial","Pending")))</f>
        <v/>
      </c>
    </row>
    <row r="3">
      <c r="B3" s="12" t="n"/>
      <c r="F3" s="10" t="n"/>
      <c r="G3" s="10" t="n"/>
      <c r="H3" s="10" t="n"/>
      <c r="I3" s="10">
        <f>IF(OR(E3="",F3=""),"",E3*F3-N(G3)+N(H3))</f>
        <v/>
      </c>
      <c r="J3" s="10" t="n"/>
      <c r="K3" s="10">
        <f>IF(I3="","",I3-N(J3))</f>
        <v/>
      </c>
      <c r="L3">
        <f>IF(I3="","",IF(K3&lt;=0,"Paid",IF(J3&gt;0,"Partial","Pending")))</f>
        <v/>
      </c>
    </row>
    <row r="4">
      <c r="B4" s="12" t="n"/>
      <c r="F4" s="10" t="n"/>
      <c r="G4" s="10" t="n"/>
      <c r="H4" s="10" t="n"/>
      <c r="I4" s="10">
        <f>IF(OR(E4="",F4=""),"",E4*F4-N(G4)+N(H4))</f>
        <v/>
      </c>
      <c r="J4" s="10" t="n"/>
      <c r="K4" s="10">
        <f>IF(I4="","",I4-N(J4))</f>
        <v/>
      </c>
      <c r="L4">
        <f>IF(I4="","",IF(K4&lt;=0,"Paid",IF(J4&gt;0,"Partial","Pending")))</f>
        <v/>
      </c>
    </row>
    <row r="5">
      <c r="B5" s="12" t="n"/>
      <c r="F5" s="10" t="n"/>
      <c r="G5" s="10" t="n"/>
      <c r="H5" s="10" t="n"/>
      <c r="I5" s="10">
        <f>IF(OR(E5="",F5=""),"",E5*F5-N(G5)+N(H5))</f>
        <v/>
      </c>
      <c r="J5" s="10" t="n"/>
      <c r="K5" s="10">
        <f>IF(I5="","",I5-N(J5))</f>
        <v/>
      </c>
      <c r="L5">
        <f>IF(I5="","",IF(K5&lt;=0,"Paid",IF(J5&gt;0,"Partial","Pending")))</f>
        <v/>
      </c>
    </row>
    <row r="6">
      <c r="B6" s="12" t="n"/>
      <c r="F6" s="10" t="n"/>
      <c r="G6" s="10" t="n"/>
      <c r="H6" s="10" t="n"/>
      <c r="I6" s="10">
        <f>IF(OR(E6="",F6=""),"",E6*F6-N(G6)+N(H6))</f>
        <v/>
      </c>
      <c r="J6" s="10" t="n"/>
      <c r="K6" s="10">
        <f>IF(I6="","",I6-N(J6))</f>
        <v/>
      </c>
      <c r="L6">
        <f>IF(I6="","",IF(K6&lt;=0,"Paid",IF(J6&gt;0,"Partial","Pending")))</f>
        <v/>
      </c>
    </row>
    <row r="7">
      <c r="B7" s="12" t="n"/>
      <c r="F7" s="10" t="n"/>
      <c r="G7" s="10" t="n"/>
      <c r="H7" s="10" t="n"/>
      <c r="I7" s="10">
        <f>IF(OR(E7="",F7=""),"",E7*F7-N(G7)+N(H7))</f>
        <v/>
      </c>
      <c r="J7" s="10" t="n"/>
      <c r="K7" s="10">
        <f>IF(I7="","",I7-N(J7))</f>
        <v/>
      </c>
      <c r="L7">
        <f>IF(I7="","",IF(K7&lt;=0,"Paid",IF(J7&gt;0,"Partial","Pending")))</f>
        <v/>
      </c>
    </row>
    <row r="8">
      <c r="B8" s="12" t="n"/>
      <c r="F8" s="10" t="n"/>
      <c r="G8" s="10" t="n"/>
      <c r="H8" s="10" t="n"/>
      <c r="I8" s="10">
        <f>IF(OR(E8="",F8=""),"",E8*F8-N(G8)+N(H8))</f>
        <v/>
      </c>
      <c r="J8" s="10" t="n"/>
      <c r="K8" s="10">
        <f>IF(I8="","",I8-N(J8))</f>
        <v/>
      </c>
      <c r="L8">
        <f>IF(I8="","",IF(K8&lt;=0,"Paid",IF(J8&gt;0,"Partial","Pending")))</f>
        <v/>
      </c>
    </row>
    <row r="9">
      <c r="B9" s="12" t="n"/>
      <c r="F9" s="10" t="n"/>
      <c r="G9" s="10" t="n"/>
      <c r="H9" s="10" t="n"/>
      <c r="I9" s="10">
        <f>IF(OR(E9="",F9=""),"",E9*F9-N(G9)+N(H9))</f>
        <v/>
      </c>
      <c r="J9" s="10" t="n"/>
      <c r="K9" s="10">
        <f>IF(I9="","",I9-N(J9))</f>
        <v/>
      </c>
      <c r="L9">
        <f>IF(I9="","",IF(K9&lt;=0,"Paid",IF(J9&gt;0,"Partial","Pending")))</f>
        <v/>
      </c>
    </row>
    <row r="10">
      <c r="B10" s="12" t="n"/>
      <c r="F10" s="10" t="n"/>
      <c r="G10" s="10" t="n"/>
      <c r="H10" s="10" t="n"/>
      <c r="I10" s="10">
        <f>IF(OR(E10="",F10=""),"",E10*F10-N(G10)+N(H10))</f>
        <v/>
      </c>
      <c r="J10" s="10" t="n"/>
      <c r="K10" s="10">
        <f>IF(I10="","",I10-N(J10))</f>
        <v/>
      </c>
      <c r="L10">
        <f>IF(I10="","",IF(K10&lt;=0,"Paid",IF(J10&gt;0,"Partial","Pending")))</f>
        <v/>
      </c>
    </row>
    <row r="11">
      <c r="B11" s="12" t="n"/>
      <c r="F11" s="10" t="n"/>
      <c r="G11" s="10" t="n"/>
      <c r="H11" s="10" t="n"/>
      <c r="I11" s="10">
        <f>IF(OR(E11="",F11=""),"",E11*F11-N(G11)+N(H11))</f>
        <v/>
      </c>
      <c r="J11" s="10" t="n"/>
      <c r="K11" s="10">
        <f>IF(I11="","",I11-N(J11))</f>
        <v/>
      </c>
      <c r="L11">
        <f>IF(I11="","",IF(K11&lt;=0,"Paid",IF(J11&gt;0,"Partial","Pending")))</f>
        <v/>
      </c>
    </row>
    <row r="12">
      <c r="B12" s="12" t="n"/>
      <c r="F12" s="10" t="n"/>
      <c r="G12" s="10" t="n"/>
      <c r="H12" s="10" t="n"/>
      <c r="I12" s="10">
        <f>IF(OR(E12="",F12=""),"",E12*F12-N(G12)+N(H12))</f>
        <v/>
      </c>
      <c r="J12" s="10" t="n"/>
      <c r="K12" s="10">
        <f>IF(I12="","",I12-N(J12))</f>
        <v/>
      </c>
      <c r="L12">
        <f>IF(I12="","",IF(K12&lt;=0,"Paid",IF(J12&gt;0,"Partial","Pending")))</f>
        <v/>
      </c>
    </row>
    <row r="13">
      <c r="B13" s="12" t="n"/>
      <c r="F13" s="10" t="n"/>
      <c r="G13" s="10" t="n"/>
      <c r="H13" s="10" t="n"/>
      <c r="I13" s="10">
        <f>IF(OR(E13="",F13=""),"",E13*F13-N(G13)+N(H13))</f>
        <v/>
      </c>
      <c r="J13" s="10" t="n"/>
      <c r="K13" s="10">
        <f>IF(I13="","",I13-N(J13))</f>
        <v/>
      </c>
      <c r="L13">
        <f>IF(I13="","",IF(K13&lt;=0,"Paid",IF(J13&gt;0,"Partial","Pending")))</f>
        <v/>
      </c>
    </row>
    <row r="14">
      <c r="B14" s="12" t="n"/>
      <c r="F14" s="10" t="n"/>
      <c r="G14" s="10" t="n"/>
      <c r="H14" s="10" t="n"/>
      <c r="I14" s="10">
        <f>IF(OR(E14="",F14=""),"",E14*F14-N(G14)+N(H14))</f>
        <v/>
      </c>
      <c r="J14" s="10" t="n"/>
      <c r="K14" s="10">
        <f>IF(I14="","",I14-N(J14))</f>
        <v/>
      </c>
      <c r="L14">
        <f>IF(I14="","",IF(K14&lt;=0,"Paid",IF(J14&gt;0,"Partial","Pending")))</f>
        <v/>
      </c>
    </row>
    <row r="15">
      <c r="B15" s="12" t="n"/>
      <c r="F15" s="10" t="n"/>
      <c r="G15" s="10" t="n"/>
      <c r="H15" s="10" t="n"/>
      <c r="I15" s="10">
        <f>IF(OR(E15="",F15=""),"",E15*F15-N(G15)+N(H15))</f>
        <v/>
      </c>
      <c r="J15" s="10" t="n"/>
      <c r="K15" s="10">
        <f>IF(I15="","",I15-N(J15))</f>
        <v/>
      </c>
      <c r="L15">
        <f>IF(I15="","",IF(K15&lt;=0,"Paid",IF(J15&gt;0,"Partial","Pending")))</f>
        <v/>
      </c>
    </row>
    <row r="16">
      <c r="B16" s="12" t="n"/>
      <c r="F16" s="10" t="n"/>
      <c r="G16" s="10" t="n"/>
      <c r="H16" s="10" t="n"/>
      <c r="I16" s="10">
        <f>IF(OR(E16="",F16=""),"",E16*F16-N(G16)+N(H16))</f>
        <v/>
      </c>
      <c r="J16" s="10" t="n"/>
      <c r="K16" s="10">
        <f>IF(I16="","",I16-N(J16))</f>
        <v/>
      </c>
      <c r="L16">
        <f>IF(I16="","",IF(K16&lt;=0,"Paid",IF(J16&gt;0,"Partial","Pending")))</f>
        <v/>
      </c>
    </row>
    <row r="17">
      <c r="B17" s="12" t="n"/>
      <c r="F17" s="10" t="n"/>
      <c r="G17" s="10" t="n"/>
      <c r="H17" s="10" t="n"/>
      <c r="I17" s="10">
        <f>IF(OR(E17="",F17=""),"",E17*F17-N(G17)+N(H17))</f>
        <v/>
      </c>
      <c r="J17" s="10" t="n"/>
      <c r="K17" s="10">
        <f>IF(I17="","",I17-N(J17))</f>
        <v/>
      </c>
      <c r="L17">
        <f>IF(I17="","",IF(K17&lt;=0,"Paid",IF(J17&gt;0,"Partial","Pending")))</f>
        <v/>
      </c>
    </row>
    <row r="18">
      <c r="B18" s="12" t="n"/>
      <c r="F18" s="10" t="n"/>
      <c r="G18" s="10" t="n"/>
      <c r="H18" s="10" t="n"/>
      <c r="I18" s="10">
        <f>IF(OR(E18="",F18=""),"",E18*F18-N(G18)+N(H18))</f>
        <v/>
      </c>
      <c r="J18" s="10" t="n"/>
      <c r="K18" s="10">
        <f>IF(I18="","",I18-N(J18))</f>
        <v/>
      </c>
      <c r="L18">
        <f>IF(I18="","",IF(K18&lt;=0,"Paid",IF(J18&gt;0,"Partial","Pending")))</f>
        <v/>
      </c>
    </row>
    <row r="19">
      <c r="B19" s="12" t="n"/>
      <c r="F19" s="10" t="n"/>
      <c r="G19" s="10" t="n"/>
      <c r="H19" s="10" t="n"/>
      <c r="I19" s="10">
        <f>IF(OR(E19="",F19=""),"",E19*F19-N(G19)+N(H19))</f>
        <v/>
      </c>
      <c r="J19" s="10" t="n"/>
      <c r="K19" s="10">
        <f>IF(I19="","",I19-N(J19))</f>
        <v/>
      </c>
      <c r="L19">
        <f>IF(I19="","",IF(K19&lt;=0,"Paid",IF(J19&gt;0,"Partial","Pending")))</f>
        <v/>
      </c>
    </row>
    <row r="20">
      <c r="B20" s="12" t="n"/>
      <c r="F20" s="10" t="n"/>
      <c r="G20" s="10" t="n"/>
      <c r="H20" s="10" t="n"/>
      <c r="I20" s="10">
        <f>IF(OR(E20="",F20=""),"",E20*F20-N(G20)+N(H20))</f>
        <v/>
      </c>
      <c r="J20" s="10" t="n"/>
      <c r="K20" s="10">
        <f>IF(I20="","",I20-N(J20))</f>
        <v/>
      </c>
      <c r="L20">
        <f>IF(I20="","",IF(K20&lt;=0,"Paid",IF(J20&gt;0,"Partial","Pending")))</f>
        <v/>
      </c>
    </row>
    <row r="21">
      <c r="B21" s="12" t="n"/>
      <c r="F21" s="10" t="n"/>
      <c r="G21" s="10" t="n"/>
      <c r="H21" s="10" t="n"/>
      <c r="I21" s="10">
        <f>IF(OR(E21="",F21=""),"",E21*F21-N(G21)+N(H21))</f>
        <v/>
      </c>
      <c r="J21" s="10" t="n"/>
      <c r="K21" s="10">
        <f>IF(I21="","",I21-N(J21))</f>
        <v/>
      </c>
      <c r="L21">
        <f>IF(I21="","",IF(K21&lt;=0,"Paid",IF(J21&gt;0,"Partial","Pending")))</f>
        <v/>
      </c>
    </row>
    <row r="22">
      <c r="B22" s="12" t="n"/>
      <c r="F22" s="10" t="n"/>
      <c r="G22" s="10" t="n"/>
      <c r="H22" s="10" t="n"/>
      <c r="I22" s="10">
        <f>IF(OR(E22="",F22=""),"",E22*F22-N(G22)+N(H22))</f>
        <v/>
      </c>
      <c r="J22" s="10" t="n"/>
      <c r="K22" s="10">
        <f>IF(I22="","",I22-N(J22))</f>
        <v/>
      </c>
      <c r="L22">
        <f>IF(I22="","",IF(K22&lt;=0,"Paid",IF(J22&gt;0,"Partial","Pending")))</f>
        <v/>
      </c>
    </row>
    <row r="23">
      <c r="B23" s="12" t="n"/>
      <c r="F23" s="10" t="n"/>
      <c r="G23" s="10" t="n"/>
      <c r="H23" s="10" t="n"/>
      <c r="I23" s="10">
        <f>IF(OR(E23="",F23=""),"",E23*F23-N(G23)+N(H23))</f>
        <v/>
      </c>
      <c r="J23" s="10" t="n"/>
      <c r="K23" s="10">
        <f>IF(I23="","",I23-N(J23))</f>
        <v/>
      </c>
      <c r="L23">
        <f>IF(I23="","",IF(K23&lt;=0,"Paid",IF(J23&gt;0,"Partial","Pending")))</f>
        <v/>
      </c>
    </row>
    <row r="24">
      <c r="B24" s="12" t="n"/>
      <c r="F24" s="10" t="n"/>
      <c r="G24" s="10" t="n"/>
      <c r="H24" s="10" t="n"/>
      <c r="I24" s="10">
        <f>IF(OR(E24="",F24=""),"",E24*F24-N(G24)+N(H24))</f>
        <v/>
      </c>
      <c r="J24" s="10" t="n"/>
      <c r="K24" s="10">
        <f>IF(I24="","",I24-N(J24))</f>
        <v/>
      </c>
      <c r="L24">
        <f>IF(I24="","",IF(K24&lt;=0,"Paid",IF(J24&gt;0,"Partial","Pending")))</f>
        <v/>
      </c>
    </row>
    <row r="25">
      <c r="B25" s="12" t="n"/>
      <c r="F25" s="10" t="n"/>
      <c r="G25" s="10" t="n"/>
      <c r="H25" s="10" t="n"/>
      <c r="I25" s="10">
        <f>IF(OR(E25="",F25=""),"",E25*F25-N(G25)+N(H25))</f>
        <v/>
      </c>
      <c r="J25" s="10" t="n"/>
      <c r="K25" s="10">
        <f>IF(I25="","",I25-N(J25))</f>
        <v/>
      </c>
      <c r="L25">
        <f>IF(I25="","",IF(K25&lt;=0,"Paid",IF(J25&gt;0,"Partial","Pending")))</f>
        <v/>
      </c>
    </row>
    <row r="26">
      <c r="B26" s="12" t="n"/>
      <c r="F26" s="10" t="n"/>
      <c r="G26" s="10" t="n"/>
      <c r="H26" s="10" t="n"/>
      <c r="I26" s="10">
        <f>IF(OR(E26="",F26=""),"",E26*F26-N(G26)+N(H26))</f>
        <v/>
      </c>
      <c r="J26" s="10" t="n"/>
      <c r="K26" s="10">
        <f>IF(I26="","",I26-N(J26))</f>
        <v/>
      </c>
      <c r="L26">
        <f>IF(I26="","",IF(K26&lt;=0,"Paid",IF(J26&gt;0,"Partial","Pending")))</f>
        <v/>
      </c>
    </row>
    <row r="27">
      <c r="B27" s="12" t="n"/>
      <c r="F27" s="10" t="n"/>
      <c r="G27" s="10" t="n"/>
      <c r="H27" s="10" t="n"/>
      <c r="I27" s="10">
        <f>IF(OR(E27="",F27=""),"",E27*F27-N(G27)+N(H27))</f>
        <v/>
      </c>
      <c r="J27" s="10" t="n"/>
      <c r="K27" s="10">
        <f>IF(I27="","",I27-N(J27))</f>
        <v/>
      </c>
      <c r="L27">
        <f>IF(I27="","",IF(K27&lt;=0,"Paid",IF(J27&gt;0,"Partial","Pending")))</f>
        <v/>
      </c>
    </row>
    <row r="28">
      <c r="B28" s="12" t="n"/>
      <c r="F28" s="10" t="n"/>
      <c r="G28" s="10" t="n"/>
      <c r="H28" s="10" t="n"/>
      <c r="I28" s="10">
        <f>IF(OR(E28="",F28=""),"",E28*F28-N(G28)+N(H28))</f>
        <v/>
      </c>
      <c r="J28" s="10" t="n"/>
      <c r="K28" s="10">
        <f>IF(I28="","",I28-N(J28))</f>
        <v/>
      </c>
      <c r="L28">
        <f>IF(I28="","",IF(K28&lt;=0,"Paid",IF(J28&gt;0,"Partial","Pending")))</f>
        <v/>
      </c>
    </row>
    <row r="29">
      <c r="B29" s="12" t="n"/>
      <c r="F29" s="10" t="n"/>
      <c r="G29" s="10" t="n"/>
      <c r="H29" s="10" t="n"/>
      <c r="I29" s="10">
        <f>IF(OR(E29="",F29=""),"",E29*F29-N(G29)+N(H29))</f>
        <v/>
      </c>
      <c r="J29" s="10" t="n"/>
      <c r="K29" s="10">
        <f>IF(I29="","",I29-N(J29))</f>
        <v/>
      </c>
      <c r="L29">
        <f>IF(I29="","",IF(K29&lt;=0,"Paid",IF(J29&gt;0,"Partial","Pending")))</f>
        <v/>
      </c>
    </row>
    <row r="30">
      <c r="B30" s="12" t="n"/>
      <c r="F30" s="10" t="n"/>
      <c r="G30" s="10" t="n"/>
      <c r="H30" s="10" t="n"/>
      <c r="I30" s="10">
        <f>IF(OR(E30="",F30=""),"",E30*F30-N(G30)+N(H30))</f>
        <v/>
      </c>
      <c r="J30" s="10" t="n"/>
      <c r="K30" s="10">
        <f>IF(I30="","",I30-N(J30))</f>
        <v/>
      </c>
      <c r="L30">
        <f>IF(I30="","",IF(K30&lt;=0,"Paid",IF(J30&gt;0,"Partial","Pending")))</f>
        <v/>
      </c>
    </row>
    <row r="31">
      <c r="B31" s="12" t="n"/>
      <c r="F31" s="10" t="n"/>
      <c r="G31" s="10" t="n"/>
      <c r="H31" s="10" t="n"/>
      <c r="I31" s="10">
        <f>IF(OR(E31="",F31=""),"",E31*F31-N(G31)+N(H31))</f>
        <v/>
      </c>
      <c r="J31" s="10" t="n"/>
      <c r="K31" s="10">
        <f>IF(I31="","",I31-N(J31))</f>
        <v/>
      </c>
      <c r="L31">
        <f>IF(I31="","",IF(K31&lt;=0,"Paid",IF(J31&gt;0,"Partial","Pending")))</f>
        <v/>
      </c>
    </row>
    <row r="32">
      <c r="B32" s="12" t="n"/>
      <c r="F32" s="10" t="n"/>
      <c r="G32" s="10" t="n"/>
      <c r="H32" s="10" t="n"/>
      <c r="I32" s="10">
        <f>IF(OR(E32="",F32=""),"",E32*F32-N(G32)+N(H32))</f>
        <v/>
      </c>
      <c r="J32" s="10" t="n"/>
      <c r="K32" s="10">
        <f>IF(I32="","",I32-N(J32))</f>
        <v/>
      </c>
      <c r="L32">
        <f>IF(I32="","",IF(K32&lt;=0,"Paid",IF(J32&gt;0,"Partial","Pending")))</f>
        <v/>
      </c>
    </row>
    <row r="33">
      <c r="B33" s="12" t="n"/>
      <c r="F33" s="10" t="n"/>
      <c r="G33" s="10" t="n"/>
      <c r="H33" s="10" t="n"/>
      <c r="I33" s="10">
        <f>IF(OR(E33="",F33=""),"",E33*F33-N(G33)+N(H33))</f>
        <v/>
      </c>
      <c r="J33" s="10" t="n"/>
      <c r="K33" s="10">
        <f>IF(I33="","",I33-N(J33))</f>
        <v/>
      </c>
      <c r="L33">
        <f>IF(I33="","",IF(K33&lt;=0,"Paid",IF(J33&gt;0,"Partial","Pending")))</f>
        <v/>
      </c>
    </row>
    <row r="34">
      <c r="B34" s="12" t="n"/>
      <c r="F34" s="10" t="n"/>
      <c r="G34" s="10" t="n"/>
      <c r="H34" s="10" t="n"/>
      <c r="I34" s="10">
        <f>IF(OR(E34="",F34=""),"",E34*F34-N(G34)+N(H34))</f>
        <v/>
      </c>
      <c r="J34" s="10" t="n"/>
      <c r="K34" s="10">
        <f>IF(I34="","",I34-N(J34))</f>
        <v/>
      </c>
      <c r="L34">
        <f>IF(I34="","",IF(K34&lt;=0,"Paid",IF(J34&gt;0,"Partial","Pending")))</f>
        <v/>
      </c>
    </row>
    <row r="35">
      <c r="B35" s="12" t="n"/>
      <c r="F35" s="10" t="n"/>
      <c r="G35" s="10" t="n"/>
      <c r="H35" s="10" t="n"/>
      <c r="I35" s="10">
        <f>IF(OR(E35="",F35=""),"",E35*F35-N(G35)+N(H35))</f>
        <v/>
      </c>
      <c r="J35" s="10" t="n"/>
      <c r="K35" s="10">
        <f>IF(I35="","",I35-N(J35))</f>
        <v/>
      </c>
      <c r="L35">
        <f>IF(I35="","",IF(K35&lt;=0,"Paid",IF(J35&gt;0,"Partial","Pending")))</f>
        <v/>
      </c>
    </row>
    <row r="36">
      <c r="B36" s="12" t="n"/>
      <c r="F36" s="10" t="n"/>
      <c r="G36" s="10" t="n"/>
      <c r="H36" s="10" t="n"/>
      <c r="I36" s="10">
        <f>IF(OR(E36="",F36=""),"",E36*F36-N(G36)+N(H36))</f>
        <v/>
      </c>
      <c r="J36" s="10" t="n"/>
      <c r="K36" s="10">
        <f>IF(I36="","",I36-N(J36))</f>
        <v/>
      </c>
      <c r="L36">
        <f>IF(I36="","",IF(K36&lt;=0,"Paid",IF(J36&gt;0,"Partial","Pending")))</f>
        <v/>
      </c>
    </row>
    <row r="37">
      <c r="B37" s="12" t="n"/>
      <c r="F37" s="10" t="n"/>
      <c r="G37" s="10" t="n"/>
      <c r="H37" s="10" t="n"/>
      <c r="I37" s="10">
        <f>IF(OR(E37="",F37=""),"",E37*F37-N(G37)+N(H37))</f>
        <v/>
      </c>
      <c r="J37" s="10" t="n"/>
      <c r="K37" s="10">
        <f>IF(I37="","",I37-N(J37))</f>
        <v/>
      </c>
      <c r="L37">
        <f>IF(I37="","",IF(K37&lt;=0,"Paid",IF(J37&gt;0,"Partial","Pending")))</f>
        <v/>
      </c>
    </row>
    <row r="38">
      <c r="B38" s="12" t="n"/>
      <c r="F38" s="10" t="n"/>
      <c r="G38" s="10" t="n"/>
      <c r="H38" s="10" t="n"/>
      <c r="I38" s="10">
        <f>IF(OR(E38="",F38=""),"",E38*F38-N(G38)+N(H38))</f>
        <v/>
      </c>
      <c r="J38" s="10" t="n"/>
      <c r="K38" s="10">
        <f>IF(I38="","",I38-N(J38))</f>
        <v/>
      </c>
      <c r="L38">
        <f>IF(I38="","",IF(K38&lt;=0,"Paid",IF(J38&gt;0,"Partial","Pending")))</f>
        <v/>
      </c>
    </row>
    <row r="39">
      <c r="B39" s="12" t="n"/>
      <c r="F39" s="10" t="n"/>
      <c r="G39" s="10" t="n"/>
      <c r="H39" s="10" t="n"/>
      <c r="I39" s="10">
        <f>IF(OR(E39="",F39=""),"",E39*F39-N(G39)+N(H39))</f>
        <v/>
      </c>
      <c r="J39" s="10" t="n"/>
      <c r="K39" s="10">
        <f>IF(I39="","",I39-N(J39))</f>
        <v/>
      </c>
      <c r="L39">
        <f>IF(I39="","",IF(K39&lt;=0,"Paid",IF(J39&gt;0,"Partial","Pending")))</f>
        <v/>
      </c>
    </row>
    <row r="40">
      <c r="B40" s="12" t="n"/>
      <c r="F40" s="10" t="n"/>
      <c r="G40" s="10" t="n"/>
      <c r="H40" s="10" t="n"/>
      <c r="I40" s="10">
        <f>IF(OR(E40="",F40=""),"",E40*F40-N(G40)+N(H40))</f>
        <v/>
      </c>
      <c r="J40" s="10" t="n"/>
      <c r="K40" s="10">
        <f>IF(I40="","",I40-N(J40))</f>
        <v/>
      </c>
      <c r="L40">
        <f>IF(I40="","",IF(K40&lt;=0,"Paid",IF(J40&gt;0,"Partial","Pending")))</f>
        <v/>
      </c>
    </row>
    <row r="41">
      <c r="B41" s="12" t="n"/>
      <c r="F41" s="10" t="n"/>
      <c r="G41" s="10" t="n"/>
      <c r="H41" s="10" t="n"/>
      <c r="I41" s="10">
        <f>IF(OR(E41="",F41=""),"",E41*F41-N(G41)+N(H41))</f>
        <v/>
      </c>
      <c r="J41" s="10" t="n"/>
      <c r="K41" s="10">
        <f>IF(I41="","",I41-N(J41))</f>
        <v/>
      </c>
      <c r="L41">
        <f>IF(I41="","",IF(K41&lt;=0,"Paid",IF(J41&gt;0,"Partial","Pending")))</f>
        <v/>
      </c>
    </row>
    <row r="42">
      <c r="B42" s="12" t="n"/>
      <c r="F42" s="10" t="n"/>
      <c r="G42" s="10" t="n"/>
      <c r="H42" s="10" t="n"/>
      <c r="I42" s="10">
        <f>IF(OR(E42="",F42=""),"",E42*F42-N(G42)+N(H42))</f>
        <v/>
      </c>
      <c r="J42" s="10" t="n"/>
      <c r="K42" s="10">
        <f>IF(I42="","",I42-N(J42))</f>
        <v/>
      </c>
      <c r="L42">
        <f>IF(I42="","",IF(K42&lt;=0,"Paid",IF(J42&gt;0,"Partial","Pending")))</f>
        <v/>
      </c>
    </row>
    <row r="43">
      <c r="B43" s="12" t="n"/>
      <c r="F43" s="10" t="n"/>
      <c r="G43" s="10" t="n"/>
      <c r="H43" s="10" t="n"/>
      <c r="I43" s="10">
        <f>IF(OR(E43="",F43=""),"",E43*F43-N(G43)+N(H43))</f>
        <v/>
      </c>
      <c r="J43" s="10" t="n"/>
      <c r="K43" s="10">
        <f>IF(I43="","",I43-N(J43))</f>
        <v/>
      </c>
      <c r="L43">
        <f>IF(I43="","",IF(K43&lt;=0,"Paid",IF(J43&gt;0,"Partial","Pending")))</f>
        <v/>
      </c>
    </row>
    <row r="44">
      <c r="B44" s="12" t="n"/>
      <c r="F44" s="10" t="n"/>
      <c r="G44" s="10" t="n"/>
      <c r="H44" s="10" t="n"/>
      <c r="I44" s="10">
        <f>IF(OR(E44="",F44=""),"",E44*F44-N(G44)+N(H44))</f>
        <v/>
      </c>
      <c r="J44" s="10" t="n"/>
      <c r="K44" s="10">
        <f>IF(I44="","",I44-N(J44))</f>
        <v/>
      </c>
      <c r="L44">
        <f>IF(I44="","",IF(K44&lt;=0,"Paid",IF(J44&gt;0,"Partial","Pending")))</f>
        <v/>
      </c>
    </row>
    <row r="45">
      <c r="B45" s="12" t="n"/>
      <c r="F45" s="10" t="n"/>
      <c r="G45" s="10" t="n"/>
      <c r="H45" s="10" t="n"/>
      <c r="I45" s="10">
        <f>IF(OR(E45="",F45=""),"",E45*F45-N(G45)+N(H45))</f>
        <v/>
      </c>
      <c r="J45" s="10" t="n"/>
      <c r="K45" s="10">
        <f>IF(I45="","",I45-N(J45))</f>
        <v/>
      </c>
      <c r="L45">
        <f>IF(I45="","",IF(K45&lt;=0,"Paid",IF(J45&gt;0,"Partial","Pending")))</f>
        <v/>
      </c>
    </row>
    <row r="46">
      <c r="B46" s="12" t="n"/>
      <c r="F46" s="10" t="n"/>
      <c r="G46" s="10" t="n"/>
      <c r="H46" s="10" t="n"/>
      <c r="I46" s="10">
        <f>IF(OR(E46="",F46=""),"",E46*F46-N(G46)+N(H46))</f>
        <v/>
      </c>
      <c r="J46" s="10" t="n"/>
      <c r="K46" s="10">
        <f>IF(I46="","",I46-N(J46))</f>
        <v/>
      </c>
      <c r="L46">
        <f>IF(I46="","",IF(K46&lt;=0,"Paid",IF(J46&gt;0,"Partial","Pending")))</f>
        <v/>
      </c>
    </row>
    <row r="47">
      <c r="B47" s="12" t="n"/>
      <c r="F47" s="10" t="n"/>
      <c r="G47" s="10" t="n"/>
      <c r="H47" s="10" t="n"/>
      <c r="I47" s="10">
        <f>IF(OR(E47="",F47=""),"",E47*F47-N(G47)+N(H47))</f>
        <v/>
      </c>
      <c r="J47" s="10" t="n"/>
      <c r="K47" s="10">
        <f>IF(I47="","",I47-N(J47))</f>
        <v/>
      </c>
      <c r="L47">
        <f>IF(I47="","",IF(K47&lt;=0,"Paid",IF(J47&gt;0,"Partial","Pending")))</f>
        <v/>
      </c>
    </row>
    <row r="48">
      <c r="B48" s="12" t="n"/>
      <c r="F48" s="10" t="n"/>
      <c r="G48" s="10" t="n"/>
      <c r="H48" s="10" t="n"/>
      <c r="I48" s="10">
        <f>IF(OR(E48="",F48=""),"",E48*F48-N(G48)+N(H48))</f>
        <v/>
      </c>
      <c r="J48" s="10" t="n"/>
      <c r="K48" s="10">
        <f>IF(I48="","",I48-N(J48))</f>
        <v/>
      </c>
      <c r="L48">
        <f>IF(I48="","",IF(K48&lt;=0,"Paid",IF(J48&gt;0,"Partial","Pending")))</f>
        <v/>
      </c>
    </row>
    <row r="49">
      <c r="B49" s="12" t="n"/>
      <c r="F49" s="10" t="n"/>
      <c r="G49" s="10" t="n"/>
      <c r="H49" s="10" t="n"/>
      <c r="I49" s="10">
        <f>IF(OR(E49="",F49=""),"",E49*F49-N(G49)+N(H49))</f>
        <v/>
      </c>
      <c r="J49" s="10" t="n"/>
      <c r="K49" s="10">
        <f>IF(I49="","",I49-N(J49))</f>
        <v/>
      </c>
      <c r="L49">
        <f>IF(I49="","",IF(K49&lt;=0,"Paid",IF(J49&gt;0,"Partial","Pending")))</f>
        <v/>
      </c>
    </row>
    <row r="50">
      <c r="B50" s="12" t="n"/>
      <c r="F50" s="10" t="n"/>
      <c r="G50" s="10" t="n"/>
      <c r="H50" s="10" t="n"/>
      <c r="I50" s="10">
        <f>IF(OR(E50="",F50=""),"",E50*F50-N(G50)+N(H50))</f>
        <v/>
      </c>
      <c r="J50" s="10" t="n"/>
      <c r="K50" s="10">
        <f>IF(I50="","",I50-N(J50))</f>
        <v/>
      </c>
      <c r="L50">
        <f>IF(I50="","",IF(K50&lt;=0,"Paid",IF(J50&gt;0,"Partial","Pending")))</f>
        <v/>
      </c>
    </row>
    <row r="51">
      <c r="B51" s="12" t="n"/>
      <c r="F51" s="10" t="n"/>
      <c r="G51" s="10" t="n"/>
      <c r="H51" s="10" t="n"/>
      <c r="I51" s="10">
        <f>IF(OR(E51="",F51=""),"",E51*F51-N(G51)+N(H51))</f>
        <v/>
      </c>
      <c r="J51" s="10" t="n"/>
      <c r="K51" s="10">
        <f>IF(I51="","",I51-N(J51))</f>
        <v/>
      </c>
      <c r="L51">
        <f>IF(I51="","",IF(K51&lt;=0,"Paid",IF(J51&gt;0,"Partial","Pending")))</f>
        <v/>
      </c>
    </row>
    <row r="52">
      <c r="B52" s="12" t="n"/>
      <c r="F52" s="10" t="n"/>
      <c r="G52" s="10" t="n"/>
      <c r="H52" s="10" t="n"/>
      <c r="I52" s="10">
        <f>IF(OR(E52="",F52=""),"",E52*F52-N(G52)+N(H52))</f>
        <v/>
      </c>
      <c r="J52" s="10" t="n"/>
      <c r="K52" s="10">
        <f>IF(I52="","",I52-N(J52))</f>
        <v/>
      </c>
      <c r="L52">
        <f>IF(I52="","",IF(K52&lt;=0,"Paid",IF(J52&gt;0,"Partial","Pending")))</f>
        <v/>
      </c>
    </row>
    <row r="53">
      <c r="B53" s="12" t="n"/>
      <c r="F53" s="10" t="n"/>
      <c r="G53" s="10" t="n"/>
      <c r="H53" s="10" t="n"/>
      <c r="I53" s="10">
        <f>IF(OR(E53="",F53=""),"",E53*F53-N(G53)+N(H53))</f>
        <v/>
      </c>
      <c r="J53" s="10" t="n"/>
      <c r="K53" s="10">
        <f>IF(I53="","",I53-N(J53))</f>
        <v/>
      </c>
      <c r="L53">
        <f>IF(I53="","",IF(K53&lt;=0,"Paid",IF(J53&gt;0,"Partial","Pending")))</f>
        <v/>
      </c>
    </row>
    <row r="54">
      <c r="B54" s="12" t="n"/>
      <c r="F54" s="10" t="n"/>
      <c r="G54" s="10" t="n"/>
      <c r="H54" s="10" t="n"/>
      <c r="I54" s="10">
        <f>IF(OR(E54="",F54=""),"",E54*F54-N(G54)+N(H54))</f>
        <v/>
      </c>
      <c r="J54" s="10" t="n"/>
      <c r="K54" s="10">
        <f>IF(I54="","",I54-N(J54))</f>
        <v/>
      </c>
      <c r="L54">
        <f>IF(I54="","",IF(K54&lt;=0,"Paid",IF(J54&gt;0,"Partial","Pending")))</f>
        <v/>
      </c>
    </row>
    <row r="55">
      <c r="B55" s="12" t="n"/>
      <c r="F55" s="10" t="n"/>
      <c r="G55" s="10" t="n"/>
      <c r="H55" s="10" t="n"/>
      <c r="I55" s="10">
        <f>IF(OR(E55="",F55=""),"",E55*F55-N(G55)+N(H55))</f>
        <v/>
      </c>
      <c r="J55" s="10" t="n"/>
      <c r="K55" s="10">
        <f>IF(I55="","",I55-N(J55))</f>
        <v/>
      </c>
      <c r="L55">
        <f>IF(I55="","",IF(K55&lt;=0,"Paid",IF(J55&gt;0,"Partial","Pending")))</f>
        <v/>
      </c>
    </row>
    <row r="56">
      <c r="B56" s="12" t="n"/>
      <c r="F56" s="10" t="n"/>
      <c r="G56" s="10" t="n"/>
      <c r="H56" s="10" t="n"/>
      <c r="I56" s="10">
        <f>IF(OR(E56="",F56=""),"",E56*F56-N(G56)+N(H56))</f>
        <v/>
      </c>
      <c r="J56" s="10" t="n"/>
      <c r="K56" s="10">
        <f>IF(I56="","",I56-N(J56))</f>
        <v/>
      </c>
      <c r="L56">
        <f>IF(I56="","",IF(K56&lt;=0,"Paid",IF(J56&gt;0,"Partial","Pending")))</f>
        <v/>
      </c>
    </row>
    <row r="57">
      <c r="B57" s="12" t="n"/>
      <c r="F57" s="10" t="n"/>
      <c r="G57" s="10" t="n"/>
      <c r="H57" s="10" t="n"/>
      <c r="I57" s="10">
        <f>IF(OR(E57="",F57=""),"",E57*F57-N(G57)+N(H57))</f>
        <v/>
      </c>
      <c r="J57" s="10" t="n"/>
      <c r="K57" s="10">
        <f>IF(I57="","",I57-N(J57))</f>
        <v/>
      </c>
      <c r="L57">
        <f>IF(I57="","",IF(K57&lt;=0,"Paid",IF(J57&gt;0,"Partial","Pending")))</f>
        <v/>
      </c>
    </row>
    <row r="58">
      <c r="B58" s="12" t="n"/>
      <c r="F58" s="10" t="n"/>
      <c r="G58" s="10" t="n"/>
      <c r="H58" s="10" t="n"/>
      <c r="I58" s="10">
        <f>IF(OR(E58="",F58=""),"",E58*F58-N(G58)+N(H58))</f>
        <v/>
      </c>
      <c r="J58" s="10" t="n"/>
      <c r="K58" s="10">
        <f>IF(I58="","",I58-N(J58))</f>
        <v/>
      </c>
      <c r="L58">
        <f>IF(I58="","",IF(K58&lt;=0,"Paid",IF(J58&gt;0,"Partial","Pending")))</f>
        <v/>
      </c>
    </row>
    <row r="59">
      <c r="B59" s="12" t="n"/>
      <c r="F59" s="10" t="n"/>
      <c r="G59" s="10" t="n"/>
      <c r="H59" s="10" t="n"/>
      <c r="I59" s="10">
        <f>IF(OR(E59="",F59=""),"",E59*F59-N(G59)+N(H59))</f>
        <v/>
      </c>
      <c r="J59" s="10" t="n"/>
      <c r="K59" s="10">
        <f>IF(I59="","",I59-N(J59))</f>
        <v/>
      </c>
      <c r="L59">
        <f>IF(I59="","",IF(K59&lt;=0,"Paid",IF(J59&gt;0,"Partial","Pending")))</f>
        <v/>
      </c>
    </row>
    <row r="60">
      <c r="B60" s="12" t="n"/>
      <c r="F60" s="10" t="n"/>
      <c r="G60" s="10" t="n"/>
      <c r="H60" s="10" t="n"/>
      <c r="I60" s="10">
        <f>IF(OR(E60="",F60=""),"",E60*F60-N(G60)+N(H60))</f>
        <v/>
      </c>
      <c r="J60" s="10" t="n"/>
      <c r="K60" s="10">
        <f>IF(I60="","",I60-N(J60))</f>
        <v/>
      </c>
      <c r="L60">
        <f>IF(I60="","",IF(K60&lt;=0,"Paid",IF(J60&gt;0,"Partial","Pending")))</f>
        <v/>
      </c>
    </row>
    <row r="61">
      <c r="B61" s="12" t="n"/>
      <c r="F61" s="10" t="n"/>
      <c r="G61" s="10" t="n"/>
      <c r="H61" s="10" t="n"/>
      <c r="I61" s="10">
        <f>IF(OR(E61="",F61=""),"",E61*F61-N(G61)+N(H61))</f>
        <v/>
      </c>
      <c r="J61" s="10" t="n"/>
      <c r="K61" s="10">
        <f>IF(I61="","",I61-N(J61))</f>
        <v/>
      </c>
      <c r="L61">
        <f>IF(I61="","",IF(K61&lt;=0,"Paid",IF(J61&gt;0,"Partial","Pending")))</f>
        <v/>
      </c>
    </row>
    <row r="62">
      <c r="B62" s="12" t="n"/>
      <c r="F62" s="10" t="n"/>
      <c r="G62" s="10" t="n"/>
      <c r="H62" s="10" t="n"/>
      <c r="I62" s="10">
        <f>IF(OR(E62="",F62=""),"",E62*F62-N(G62)+N(H62))</f>
        <v/>
      </c>
      <c r="J62" s="10" t="n"/>
      <c r="K62" s="10">
        <f>IF(I62="","",I62-N(J62))</f>
        <v/>
      </c>
      <c r="L62">
        <f>IF(I62="","",IF(K62&lt;=0,"Paid",IF(J62&gt;0,"Partial","Pending")))</f>
        <v/>
      </c>
    </row>
    <row r="63">
      <c r="B63" s="12" t="n"/>
      <c r="F63" s="10" t="n"/>
      <c r="G63" s="10" t="n"/>
      <c r="H63" s="10" t="n"/>
      <c r="I63" s="10">
        <f>IF(OR(E63="",F63=""),"",E63*F63-N(G63)+N(H63))</f>
        <v/>
      </c>
      <c r="J63" s="10" t="n"/>
      <c r="K63" s="10">
        <f>IF(I63="","",I63-N(J63))</f>
        <v/>
      </c>
      <c r="L63">
        <f>IF(I63="","",IF(K63&lt;=0,"Paid",IF(J63&gt;0,"Partial","Pending")))</f>
        <v/>
      </c>
    </row>
    <row r="64">
      <c r="B64" s="12" t="n"/>
      <c r="F64" s="10" t="n"/>
      <c r="G64" s="10" t="n"/>
      <c r="H64" s="10" t="n"/>
      <c r="I64" s="10">
        <f>IF(OR(E64="",F64=""),"",E64*F64-N(G64)+N(H64))</f>
        <v/>
      </c>
      <c r="J64" s="10" t="n"/>
      <c r="K64" s="10">
        <f>IF(I64="","",I64-N(J64))</f>
        <v/>
      </c>
      <c r="L64">
        <f>IF(I64="","",IF(K64&lt;=0,"Paid",IF(J64&gt;0,"Partial","Pending")))</f>
        <v/>
      </c>
    </row>
    <row r="65">
      <c r="B65" s="12" t="n"/>
      <c r="F65" s="10" t="n"/>
      <c r="G65" s="10" t="n"/>
      <c r="H65" s="10" t="n"/>
      <c r="I65" s="10">
        <f>IF(OR(E65="",F65=""),"",E65*F65-N(G65)+N(H65))</f>
        <v/>
      </c>
      <c r="J65" s="10" t="n"/>
      <c r="K65" s="10">
        <f>IF(I65="","",I65-N(J65))</f>
        <v/>
      </c>
      <c r="L65">
        <f>IF(I65="","",IF(K65&lt;=0,"Paid",IF(J65&gt;0,"Partial","Pending")))</f>
        <v/>
      </c>
    </row>
    <row r="66">
      <c r="B66" s="12" t="n"/>
      <c r="F66" s="10" t="n"/>
      <c r="G66" s="10" t="n"/>
      <c r="H66" s="10" t="n"/>
      <c r="I66" s="10">
        <f>IF(OR(E66="",F66=""),"",E66*F66-N(G66)+N(H66))</f>
        <v/>
      </c>
      <c r="J66" s="10" t="n"/>
      <c r="K66" s="10">
        <f>IF(I66="","",I66-N(J66))</f>
        <v/>
      </c>
      <c r="L66">
        <f>IF(I66="","",IF(K66&lt;=0,"Paid",IF(J66&gt;0,"Partial","Pending")))</f>
        <v/>
      </c>
    </row>
    <row r="67">
      <c r="B67" s="12" t="n"/>
      <c r="F67" s="10" t="n"/>
      <c r="G67" s="10" t="n"/>
      <c r="H67" s="10" t="n"/>
      <c r="I67" s="10">
        <f>IF(OR(E67="",F67=""),"",E67*F67-N(G67)+N(H67))</f>
        <v/>
      </c>
      <c r="J67" s="10" t="n"/>
      <c r="K67" s="10">
        <f>IF(I67="","",I67-N(J67))</f>
        <v/>
      </c>
      <c r="L67">
        <f>IF(I67="","",IF(K67&lt;=0,"Paid",IF(J67&gt;0,"Partial","Pending")))</f>
        <v/>
      </c>
    </row>
    <row r="68">
      <c r="B68" s="12" t="n"/>
      <c r="F68" s="10" t="n"/>
      <c r="G68" s="10" t="n"/>
      <c r="H68" s="10" t="n"/>
      <c r="I68" s="10">
        <f>IF(OR(E68="",F68=""),"",E68*F68-N(G68)+N(H68))</f>
        <v/>
      </c>
      <c r="J68" s="10" t="n"/>
      <c r="K68" s="10">
        <f>IF(I68="","",I68-N(J68))</f>
        <v/>
      </c>
      <c r="L68">
        <f>IF(I68="","",IF(K68&lt;=0,"Paid",IF(J68&gt;0,"Partial","Pending")))</f>
        <v/>
      </c>
    </row>
    <row r="69">
      <c r="B69" s="12" t="n"/>
      <c r="F69" s="10" t="n"/>
      <c r="G69" s="10" t="n"/>
      <c r="H69" s="10" t="n"/>
      <c r="I69" s="10">
        <f>IF(OR(E69="",F69=""),"",E69*F69-N(G69)+N(H69))</f>
        <v/>
      </c>
      <c r="J69" s="10" t="n"/>
      <c r="K69" s="10">
        <f>IF(I69="","",I69-N(J69))</f>
        <v/>
      </c>
      <c r="L69">
        <f>IF(I69="","",IF(K69&lt;=0,"Paid",IF(J69&gt;0,"Partial","Pending")))</f>
        <v/>
      </c>
    </row>
    <row r="70">
      <c r="B70" s="12" t="n"/>
      <c r="F70" s="10" t="n"/>
      <c r="G70" s="10" t="n"/>
      <c r="H70" s="10" t="n"/>
      <c r="I70" s="10">
        <f>IF(OR(E70="",F70=""),"",E70*F70-N(G70)+N(H70))</f>
        <v/>
      </c>
      <c r="J70" s="10" t="n"/>
      <c r="K70" s="10">
        <f>IF(I70="","",I70-N(J70))</f>
        <v/>
      </c>
      <c r="L70">
        <f>IF(I70="","",IF(K70&lt;=0,"Paid",IF(J70&gt;0,"Partial","Pending")))</f>
        <v/>
      </c>
    </row>
    <row r="71">
      <c r="B71" s="12" t="n"/>
      <c r="F71" s="10" t="n"/>
      <c r="G71" s="10" t="n"/>
      <c r="H71" s="10" t="n"/>
      <c r="I71" s="10">
        <f>IF(OR(E71="",F71=""),"",E71*F71-N(G71)+N(H71))</f>
        <v/>
      </c>
      <c r="J71" s="10" t="n"/>
      <c r="K71" s="10">
        <f>IF(I71="","",I71-N(J71))</f>
        <v/>
      </c>
      <c r="L71">
        <f>IF(I71="","",IF(K71&lt;=0,"Paid",IF(J71&gt;0,"Partial","Pending")))</f>
        <v/>
      </c>
    </row>
    <row r="72">
      <c r="B72" s="12" t="n"/>
      <c r="F72" s="10" t="n"/>
      <c r="G72" s="10" t="n"/>
      <c r="H72" s="10" t="n"/>
      <c r="I72" s="10">
        <f>IF(OR(E72="",F72=""),"",E72*F72-N(G72)+N(H72))</f>
        <v/>
      </c>
      <c r="J72" s="10" t="n"/>
      <c r="K72" s="10">
        <f>IF(I72="","",I72-N(J72))</f>
        <v/>
      </c>
      <c r="L72">
        <f>IF(I72="","",IF(K72&lt;=0,"Paid",IF(J72&gt;0,"Partial","Pending")))</f>
        <v/>
      </c>
    </row>
    <row r="73">
      <c r="B73" s="12" t="n"/>
      <c r="F73" s="10" t="n"/>
      <c r="G73" s="10" t="n"/>
      <c r="H73" s="10" t="n"/>
      <c r="I73" s="10">
        <f>IF(OR(E73="",F73=""),"",E73*F73-N(G73)+N(H73))</f>
        <v/>
      </c>
      <c r="J73" s="10" t="n"/>
      <c r="K73" s="10">
        <f>IF(I73="","",I73-N(J73))</f>
        <v/>
      </c>
      <c r="L73">
        <f>IF(I73="","",IF(K73&lt;=0,"Paid",IF(J73&gt;0,"Partial","Pending")))</f>
        <v/>
      </c>
    </row>
    <row r="74">
      <c r="B74" s="12" t="n"/>
      <c r="F74" s="10" t="n"/>
      <c r="G74" s="10" t="n"/>
      <c r="H74" s="10" t="n"/>
      <c r="I74" s="10">
        <f>IF(OR(E74="",F74=""),"",E74*F74-N(G74)+N(H74))</f>
        <v/>
      </c>
      <c r="J74" s="10" t="n"/>
      <c r="K74" s="10">
        <f>IF(I74="","",I74-N(J74))</f>
        <v/>
      </c>
      <c r="L74">
        <f>IF(I74="","",IF(K74&lt;=0,"Paid",IF(J74&gt;0,"Partial","Pending")))</f>
        <v/>
      </c>
    </row>
    <row r="75">
      <c r="B75" s="12" t="n"/>
      <c r="F75" s="10" t="n"/>
      <c r="G75" s="10" t="n"/>
      <c r="H75" s="10" t="n"/>
      <c r="I75" s="10">
        <f>IF(OR(E75="",F75=""),"",E75*F75-N(G75)+N(H75))</f>
        <v/>
      </c>
      <c r="J75" s="10" t="n"/>
      <c r="K75" s="10">
        <f>IF(I75="","",I75-N(J75))</f>
        <v/>
      </c>
      <c r="L75">
        <f>IF(I75="","",IF(K75&lt;=0,"Paid",IF(J75&gt;0,"Partial","Pending")))</f>
        <v/>
      </c>
    </row>
    <row r="76">
      <c r="B76" s="12" t="n"/>
      <c r="F76" s="10" t="n"/>
      <c r="G76" s="10" t="n"/>
      <c r="H76" s="10" t="n"/>
      <c r="I76" s="10">
        <f>IF(OR(E76="",F76=""),"",E76*F76-N(G76)+N(H76))</f>
        <v/>
      </c>
      <c r="J76" s="10" t="n"/>
      <c r="K76" s="10">
        <f>IF(I76="","",I76-N(J76))</f>
        <v/>
      </c>
      <c r="L76">
        <f>IF(I76="","",IF(K76&lt;=0,"Paid",IF(J76&gt;0,"Partial","Pending")))</f>
        <v/>
      </c>
    </row>
    <row r="77">
      <c r="B77" s="12" t="n"/>
      <c r="F77" s="10" t="n"/>
      <c r="G77" s="10" t="n"/>
      <c r="H77" s="10" t="n"/>
      <c r="I77" s="10">
        <f>IF(OR(E77="",F77=""),"",E77*F77-N(G77)+N(H77))</f>
        <v/>
      </c>
      <c r="J77" s="10" t="n"/>
      <c r="K77" s="10">
        <f>IF(I77="","",I77-N(J77))</f>
        <v/>
      </c>
      <c r="L77">
        <f>IF(I77="","",IF(K77&lt;=0,"Paid",IF(J77&gt;0,"Partial","Pending")))</f>
        <v/>
      </c>
    </row>
    <row r="78">
      <c r="B78" s="12" t="n"/>
      <c r="F78" s="10" t="n"/>
      <c r="G78" s="10" t="n"/>
      <c r="H78" s="10" t="n"/>
      <c r="I78" s="10">
        <f>IF(OR(E78="",F78=""),"",E78*F78-N(G78)+N(H78))</f>
        <v/>
      </c>
      <c r="J78" s="10" t="n"/>
      <c r="K78" s="10">
        <f>IF(I78="","",I78-N(J78))</f>
        <v/>
      </c>
      <c r="L78">
        <f>IF(I78="","",IF(K78&lt;=0,"Paid",IF(J78&gt;0,"Partial","Pending")))</f>
        <v/>
      </c>
    </row>
    <row r="79">
      <c r="B79" s="12" t="n"/>
      <c r="F79" s="10" t="n"/>
      <c r="G79" s="10" t="n"/>
      <c r="H79" s="10" t="n"/>
      <c r="I79" s="10">
        <f>IF(OR(E79="",F79=""),"",E79*F79-N(G79)+N(H79))</f>
        <v/>
      </c>
      <c r="J79" s="10" t="n"/>
      <c r="K79" s="10">
        <f>IF(I79="","",I79-N(J79))</f>
        <v/>
      </c>
      <c r="L79">
        <f>IF(I79="","",IF(K79&lt;=0,"Paid",IF(J79&gt;0,"Partial","Pending")))</f>
        <v/>
      </c>
    </row>
    <row r="80">
      <c r="B80" s="12" t="n"/>
      <c r="F80" s="10" t="n"/>
      <c r="G80" s="10" t="n"/>
      <c r="H80" s="10" t="n"/>
      <c r="I80" s="10">
        <f>IF(OR(E80="",F80=""),"",E80*F80-N(G80)+N(H80))</f>
        <v/>
      </c>
      <c r="J80" s="10" t="n"/>
      <c r="K80" s="10">
        <f>IF(I80="","",I80-N(J80))</f>
        <v/>
      </c>
      <c r="L80">
        <f>IF(I80="","",IF(K80&lt;=0,"Paid",IF(J80&gt;0,"Partial","Pending")))</f>
        <v/>
      </c>
    </row>
    <row r="81">
      <c r="B81" s="12" t="n"/>
      <c r="F81" s="10" t="n"/>
      <c r="G81" s="10" t="n"/>
      <c r="H81" s="10" t="n"/>
      <c r="I81" s="10">
        <f>IF(OR(E81="",F81=""),"",E81*F81-N(G81)+N(H81))</f>
        <v/>
      </c>
      <c r="J81" s="10" t="n"/>
      <c r="K81" s="10">
        <f>IF(I81="","",I81-N(J81))</f>
        <v/>
      </c>
      <c r="L81">
        <f>IF(I81="","",IF(K81&lt;=0,"Paid",IF(J81&gt;0,"Partial","Pending")))</f>
        <v/>
      </c>
    </row>
    <row r="82">
      <c r="B82" s="12" t="n"/>
      <c r="F82" s="10" t="n"/>
      <c r="G82" s="10" t="n"/>
      <c r="H82" s="10" t="n"/>
      <c r="I82" s="10">
        <f>IF(OR(E82="",F82=""),"",E82*F82-N(G82)+N(H82))</f>
        <v/>
      </c>
      <c r="J82" s="10" t="n"/>
      <c r="K82" s="10">
        <f>IF(I82="","",I82-N(J82))</f>
        <v/>
      </c>
      <c r="L82">
        <f>IF(I82="","",IF(K82&lt;=0,"Paid",IF(J82&gt;0,"Partial","Pending")))</f>
        <v/>
      </c>
    </row>
    <row r="83">
      <c r="B83" s="12" t="n"/>
      <c r="F83" s="10" t="n"/>
      <c r="G83" s="10" t="n"/>
      <c r="H83" s="10" t="n"/>
      <c r="I83" s="10">
        <f>IF(OR(E83="",F83=""),"",E83*F83-N(G83)+N(H83))</f>
        <v/>
      </c>
      <c r="J83" s="10" t="n"/>
      <c r="K83" s="10">
        <f>IF(I83="","",I83-N(J83))</f>
        <v/>
      </c>
      <c r="L83">
        <f>IF(I83="","",IF(K83&lt;=0,"Paid",IF(J83&gt;0,"Partial","Pending")))</f>
        <v/>
      </c>
    </row>
    <row r="84">
      <c r="B84" s="12" t="n"/>
      <c r="F84" s="10" t="n"/>
      <c r="G84" s="10" t="n"/>
      <c r="H84" s="10" t="n"/>
      <c r="I84" s="10">
        <f>IF(OR(E84="",F84=""),"",E84*F84-N(G84)+N(H84))</f>
        <v/>
      </c>
      <c r="J84" s="10" t="n"/>
      <c r="K84" s="10">
        <f>IF(I84="","",I84-N(J84))</f>
        <v/>
      </c>
      <c r="L84">
        <f>IF(I84="","",IF(K84&lt;=0,"Paid",IF(J84&gt;0,"Partial","Pending")))</f>
        <v/>
      </c>
    </row>
    <row r="85">
      <c r="B85" s="12" t="n"/>
      <c r="F85" s="10" t="n"/>
      <c r="G85" s="10" t="n"/>
      <c r="H85" s="10" t="n"/>
      <c r="I85" s="10">
        <f>IF(OR(E85="",F85=""),"",E85*F85-N(G85)+N(H85))</f>
        <v/>
      </c>
      <c r="J85" s="10" t="n"/>
      <c r="K85" s="10">
        <f>IF(I85="","",I85-N(J85))</f>
        <v/>
      </c>
      <c r="L85">
        <f>IF(I85="","",IF(K85&lt;=0,"Paid",IF(J85&gt;0,"Partial","Pending")))</f>
        <v/>
      </c>
    </row>
    <row r="86">
      <c r="B86" s="12" t="n"/>
      <c r="F86" s="10" t="n"/>
      <c r="G86" s="10" t="n"/>
      <c r="H86" s="10" t="n"/>
      <c r="I86" s="10">
        <f>IF(OR(E86="",F86=""),"",E86*F86-N(G86)+N(H86))</f>
        <v/>
      </c>
      <c r="J86" s="10" t="n"/>
      <c r="K86" s="10">
        <f>IF(I86="","",I86-N(J86))</f>
        <v/>
      </c>
      <c r="L86">
        <f>IF(I86="","",IF(K86&lt;=0,"Paid",IF(J86&gt;0,"Partial","Pending")))</f>
        <v/>
      </c>
    </row>
    <row r="87">
      <c r="B87" s="12" t="n"/>
      <c r="F87" s="10" t="n"/>
      <c r="G87" s="10" t="n"/>
      <c r="H87" s="10" t="n"/>
      <c r="I87" s="10">
        <f>IF(OR(E87="",F87=""),"",E87*F87-N(G87)+N(H87))</f>
        <v/>
      </c>
      <c r="J87" s="10" t="n"/>
      <c r="K87" s="10">
        <f>IF(I87="","",I87-N(J87))</f>
        <v/>
      </c>
      <c r="L87">
        <f>IF(I87="","",IF(K87&lt;=0,"Paid",IF(J87&gt;0,"Partial","Pending")))</f>
        <v/>
      </c>
    </row>
    <row r="88">
      <c r="B88" s="12" t="n"/>
      <c r="F88" s="10" t="n"/>
      <c r="G88" s="10" t="n"/>
      <c r="H88" s="10" t="n"/>
      <c r="I88" s="10">
        <f>IF(OR(E88="",F88=""),"",E88*F88-N(G88)+N(H88))</f>
        <v/>
      </c>
      <c r="J88" s="10" t="n"/>
      <c r="K88" s="10">
        <f>IF(I88="","",I88-N(J88))</f>
        <v/>
      </c>
      <c r="L88">
        <f>IF(I88="","",IF(K88&lt;=0,"Paid",IF(J88&gt;0,"Partial","Pending")))</f>
        <v/>
      </c>
    </row>
    <row r="89">
      <c r="B89" s="12" t="n"/>
      <c r="F89" s="10" t="n"/>
      <c r="G89" s="10" t="n"/>
      <c r="H89" s="10" t="n"/>
      <c r="I89" s="10">
        <f>IF(OR(E89="",F89=""),"",E89*F89-N(G89)+N(H89))</f>
        <v/>
      </c>
      <c r="J89" s="10" t="n"/>
      <c r="K89" s="10">
        <f>IF(I89="","",I89-N(J89))</f>
        <v/>
      </c>
      <c r="L89">
        <f>IF(I89="","",IF(K89&lt;=0,"Paid",IF(J89&gt;0,"Partial","Pending")))</f>
        <v/>
      </c>
    </row>
    <row r="90">
      <c r="B90" s="12" t="n"/>
      <c r="F90" s="10" t="n"/>
      <c r="G90" s="10" t="n"/>
      <c r="H90" s="10" t="n"/>
      <c r="I90" s="10">
        <f>IF(OR(E90="",F90=""),"",E90*F90-N(G90)+N(H90))</f>
        <v/>
      </c>
      <c r="J90" s="10" t="n"/>
      <c r="K90" s="10">
        <f>IF(I90="","",I90-N(J90))</f>
        <v/>
      </c>
      <c r="L90">
        <f>IF(I90="","",IF(K90&lt;=0,"Paid",IF(J90&gt;0,"Partial","Pending")))</f>
        <v/>
      </c>
    </row>
    <row r="91">
      <c r="B91" s="12" t="n"/>
      <c r="F91" s="10" t="n"/>
      <c r="G91" s="10" t="n"/>
      <c r="H91" s="10" t="n"/>
      <c r="I91" s="10">
        <f>IF(OR(E91="",F91=""),"",E91*F91-N(G91)+N(H91))</f>
        <v/>
      </c>
      <c r="J91" s="10" t="n"/>
      <c r="K91" s="10">
        <f>IF(I91="","",I91-N(J91))</f>
        <v/>
      </c>
      <c r="L91">
        <f>IF(I91="","",IF(K91&lt;=0,"Paid",IF(J91&gt;0,"Partial","Pending")))</f>
        <v/>
      </c>
    </row>
    <row r="92">
      <c r="B92" s="12" t="n"/>
      <c r="F92" s="10" t="n"/>
      <c r="G92" s="10" t="n"/>
      <c r="H92" s="10" t="n"/>
      <c r="I92" s="10">
        <f>IF(OR(E92="",F92=""),"",E92*F92-N(G92)+N(H92))</f>
        <v/>
      </c>
      <c r="J92" s="10" t="n"/>
      <c r="K92" s="10">
        <f>IF(I92="","",I92-N(J92))</f>
        <v/>
      </c>
      <c r="L92">
        <f>IF(I92="","",IF(K92&lt;=0,"Paid",IF(J92&gt;0,"Partial","Pending")))</f>
        <v/>
      </c>
    </row>
    <row r="93">
      <c r="B93" s="12" t="n"/>
      <c r="F93" s="10" t="n"/>
      <c r="G93" s="10" t="n"/>
      <c r="H93" s="10" t="n"/>
      <c r="I93" s="10">
        <f>IF(OR(E93="",F93=""),"",E93*F93-N(G93)+N(H93))</f>
        <v/>
      </c>
      <c r="J93" s="10" t="n"/>
      <c r="K93" s="10">
        <f>IF(I93="","",I93-N(J93))</f>
        <v/>
      </c>
      <c r="L93">
        <f>IF(I93="","",IF(K93&lt;=0,"Paid",IF(J93&gt;0,"Partial","Pending")))</f>
        <v/>
      </c>
    </row>
    <row r="94">
      <c r="B94" s="12" t="n"/>
      <c r="F94" s="10" t="n"/>
      <c r="G94" s="10" t="n"/>
      <c r="H94" s="10" t="n"/>
      <c r="I94" s="10">
        <f>IF(OR(E94="",F94=""),"",E94*F94-N(G94)+N(H94))</f>
        <v/>
      </c>
      <c r="J94" s="10" t="n"/>
      <c r="K94" s="10">
        <f>IF(I94="","",I94-N(J94))</f>
        <v/>
      </c>
      <c r="L94">
        <f>IF(I94="","",IF(K94&lt;=0,"Paid",IF(J94&gt;0,"Partial","Pending")))</f>
        <v/>
      </c>
    </row>
    <row r="95">
      <c r="B95" s="12" t="n"/>
      <c r="F95" s="10" t="n"/>
      <c r="G95" s="10" t="n"/>
      <c r="H95" s="10" t="n"/>
      <c r="I95" s="10">
        <f>IF(OR(E95="",F95=""),"",E95*F95-N(G95)+N(H95))</f>
        <v/>
      </c>
      <c r="J95" s="10" t="n"/>
      <c r="K95" s="10">
        <f>IF(I95="","",I95-N(J95))</f>
        <v/>
      </c>
      <c r="L95">
        <f>IF(I95="","",IF(K95&lt;=0,"Paid",IF(J95&gt;0,"Partial","Pending")))</f>
        <v/>
      </c>
    </row>
    <row r="96">
      <c r="B96" s="12" t="n"/>
      <c r="F96" s="10" t="n"/>
      <c r="G96" s="10" t="n"/>
      <c r="H96" s="10" t="n"/>
      <c r="I96" s="10">
        <f>IF(OR(E96="",F96=""),"",E96*F96-N(G96)+N(H96))</f>
        <v/>
      </c>
      <c r="J96" s="10" t="n"/>
      <c r="K96" s="10">
        <f>IF(I96="","",I96-N(J96))</f>
        <v/>
      </c>
      <c r="L96">
        <f>IF(I96="","",IF(K96&lt;=0,"Paid",IF(J96&gt;0,"Partial","Pending")))</f>
        <v/>
      </c>
    </row>
    <row r="97">
      <c r="B97" s="12" t="n"/>
      <c r="F97" s="10" t="n"/>
      <c r="G97" s="10" t="n"/>
      <c r="H97" s="10" t="n"/>
      <c r="I97" s="10">
        <f>IF(OR(E97="",F97=""),"",E97*F97-N(G97)+N(H97))</f>
        <v/>
      </c>
      <c r="J97" s="10" t="n"/>
      <c r="K97" s="10">
        <f>IF(I97="","",I97-N(J97))</f>
        <v/>
      </c>
      <c r="L97">
        <f>IF(I97="","",IF(K97&lt;=0,"Paid",IF(J97&gt;0,"Partial","Pending")))</f>
        <v/>
      </c>
    </row>
    <row r="98">
      <c r="B98" s="12" t="n"/>
      <c r="F98" s="10" t="n"/>
      <c r="G98" s="10" t="n"/>
      <c r="H98" s="10" t="n"/>
      <c r="I98" s="10">
        <f>IF(OR(E98="",F98=""),"",E98*F98-N(G98)+N(H98))</f>
        <v/>
      </c>
      <c r="J98" s="10" t="n"/>
      <c r="K98" s="10">
        <f>IF(I98="","",I98-N(J98))</f>
        <v/>
      </c>
      <c r="L98">
        <f>IF(I98="","",IF(K98&lt;=0,"Paid",IF(J98&gt;0,"Partial","Pending")))</f>
        <v/>
      </c>
    </row>
    <row r="99">
      <c r="B99" s="12" t="n"/>
      <c r="F99" s="10" t="n"/>
      <c r="G99" s="10" t="n"/>
      <c r="H99" s="10" t="n"/>
      <c r="I99" s="10">
        <f>IF(OR(E99="",F99=""),"",E99*F99-N(G99)+N(H99))</f>
        <v/>
      </c>
      <c r="J99" s="10" t="n"/>
      <c r="K99" s="10">
        <f>IF(I99="","",I99-N(J99))</f>
        <v/>
      </c>
      <c r="L99">
        <f>IF(I99="","",IF(K99&lt;=0,"Paid",IF(J99&gt;0,"Partial","Pending")))</f>
        <v/>
      </c>
    </row>
    <row r="100">
      <c r="B100" s="12" t="n"/>
      <c r="F100" s="10" t="n"/>
      <c r="G100" s="10" t="n"/>
      <c r="H100" s="10" t="n"/>
      <c r="I100" s="10">
        <f>IF(OR(E100="",F100=""),"",E100*F100-N(G100)+N(H100))</f>
        <v/>
      </c>
      <c r="J100" s="10" t="n"/>
      <c r="K100" s="10">
        <f>IF(I100="","",I100-N(J100))</f>
        <v/>
      </c>
      <c r="L100">
        <f>IF(I100="","",IF(K100&lt;=0,"Paid",IF(J100&gt;0,"Partial","Pending")))</f>
        <v/>
      </c>
    </row>
    <row r="101">
      <c r="B101" s="12" t="n"/>
      <c r="F101" s="10" t="n"/>
      <c r="G101" s="10" t="n"/>
      <c r="H101" s="10" t="n"/>
      <c r="I101" s="10">
        <f>IF(OR(E101="",F101=""),"",E101*F101-N(G101)+N(H101))</f>
        <v/>
      </c>
      <c r="J101" s="10" t="n"/>
      <c r="K101" s="10">
        <f>IF(I101="","",I101-N(J101))</f>
        <v/>
      </c>
      <c r="L101">
        <f>IF(I101="","",IF(K101&lt;=0,"Paid",IF(J101&gt;0,"Partial","Pending")))</f>
        <v/>
      </c>
    </row>
    <row r="102">
      <c r="B102" s="12" t="n"/>
      <c r="F102" s="10" t="n"/>
      <c r="G102" s="10" t="n"/>
      <c r="H102" s="10" t="n"/>
      <c r="I102" s="10">
        <f>IF(OR(E102="",F102=""),"",E102*F102-N(G102)+N(H102))</f>
        <v/>
      </c>
      <c r="J102" s="10" t="n"/>
      <c r="K102" s="10">
        <f>IF(I102="","",I102-N(J102))</f>
        <v/>
      </c>
      <c r="L102">
        <f>IF(I102="","",IF(K102&lt;=0,"Paid",IF(J102&gt;0,"Partial","Pending")))</f>
        <v/>
      </c>
    </row>
    <row r="103">
      <c r="B103" s="12" t="n"/>
      <c r="F103" s="10" t="n"/>
      <c r="G103" s="10" t="n"/>
      <c r="H103" s="10" t="n"/>
      <c r="I103" s="10">
        <f>IF(OR(E103="",F103=""),"",E103*F103-N(G103)+N(H103))</f>
        <v/>
      </c>
      <c r="J103" s="10" t="n"/>
      <c r="K103" s="10">
        <f>IF(I103="","",I103-N(J103))</f>
        <v/>
      </c>
      <c r="L103">
        <f>IF(I103="","",IF(K103&lt;=0,"Paid",IF(J103&gt;0,"Partial","Pending")))</f>
        <v/>
      </c>
    </row>
    <row r="104">
      <c r="B104" s="12" t="n"/>
      <c r="F104" s="10" t="n"/>
      <c r="G104" s="10" t="n"/>
      <c r="H104" s="10" t="n"/>
      <c r="I104" s="10">
        <f>IF(OR(E104="",F104=""),"",E104*F104-N(G104)+N(H104))</f>
        <v/>
      </c>
      <c r="J104" s="10" t="n"/>
      <c r="K104" s="10">
        <f>IF(I104="","",I104-N(J104))</f>
        <v/>
      </c>
      <c r="L104">
        <f>IF(I104="","",IF(K104&lt;=0,"Paid",IF(J104&gt;0,"Partial","Pending")))</f>
        <v/>
      </c>
    </row>
    <row r="105">
      <c r="B105" s="12" t="n"/>
      <c r="F105" s="10" t="n"/>
      <c r="G105" s="10" t="n"/>
      <c r="H105" s="10" t="n"/>
      <c r="I105" s="10">
        <f>IF(OR(E105="",F105=""),"",E105*F105-N(G105)+N(H105))</f>
        <v/>
      </c>
      <c r="J105" s="10" t="n"/>
      <c r="K105" s="10">
        <f>IF(I105="","",I105-N(J105))</f>
        <v/>
      </c>
      <c r="L105">
        <f>IF(I105="","",IF(K105&lt;=0,"Paid",IF(J105&gt;0,"Partial","Pending")))</f>
        <v/>
      </c>
    </row>
    <row r="106">
      <c r="B106" s="12" t="n"/>
      <c r="F106" s="10" t="n"/>
      <c r="G106" s="10" t="n"/>
      <c r="H106" s="10" t="n"/>
      <c r="I106" s="10">
        <f>IF(OR(E106="",F106=""),"",E106*F106-N(G106)+N(H106))</f>
        <v/>
      </c>
      <c r="J106" s="10" t="n"/>
      <c r="K106" s="10">
        <f>IF(I106="","",I106-N(J106))</f>
        <v/>
      </c>
      <c r="L106">
        <f>IF(I106="","",IF(K106&lt;=0,"Paid",IF(J106&gt;0,"Partial","Pending")))</f>
        <v/>
      </c>
    </row>
    <row r="107">
      <c r="B107" s="12" t="n"/>
      <c r="F107" s="10" t="n"/>
      <c r="G107" s="10" t="n"/>
      <c r="H107" s="10" t="n"/>
      <c r="I107" s="10">
        <f>IF(OR(E107="",F107=""),"",E107*F107-N(G107)+N(H107))</f>
        <v/>
      </c>
      <c r="J107" s="10" t="n"/>
      <c r="K107" s="10">
        <f>IF(I107="","",I107-N(J107))</f>
        <v/>
      </c>
      <c r="L107">
        <f>IF(I107="","",IF(K107&lt;=0,"Paid",IF(J107&gt;0,"Partial","Pending")))</f>
        <v/>
      </c>
    </row>
    <row r="108">
      <c r="B108" s="12" t="n"/>
      <c r="F108" s="10" t="n"/>
      <c r="G108" s="10" t="n"/>
      <c r="H108" s="10" t="n"/>
      <c r="I108" s="10">
        <f>IF(OR(E108="",F108=""),"",E108*F108-N(G108)+N(H108))</f>
        <v/>
      </c>
      <c r="J108" s="10" t="n"/>
      <c r="K108" s="10">
        <f>IF(I108="","",I108-N(J108))</f>
        <v/>
      </c>
      <c r="L108">
        <f>IF(I108="","",IF(K108&lt;=0,"Paid",IF(J108&gt;0,"Partial","Pending")))</f>
        <v/>
      </c>
    </row>
    <row r="109">
      <c r="B109" s="12" t="n"/>
      <c r="F109" s="10" t="n"/>
      <c r="G109" s="10" t="n"/>
      <c r="H109" s="10" t="n"/>
      <c r="I109" s="10">
        <f>IF(OR(E109="",F109=""),"",E109*F109-N(G109)+N(H109))</f>
        <v/>
      </c>
      <c r="J109" s="10" t="n"/>
      <c r="K109" s="10">
        <f>IF(I109="","",I109-N(J109))</f>
        <v/>
      </c>
      <c r="L109">
        <f>IF(I109="","",IF(K109&lt;=0,"Paid",IF(J109&gt;0,"Partial","Pending")))</f>
        <v/>
      </c>
    </row>
    <row r="110">
      <c r="B110" s="12" t="n"/>
      <c r="F110" s="10" t="n"/>
      <c r="G110" s="10" t="n"/>
      <c r="H110" s="10" t="n"/>
      <c r="I110" s="10">
        <f>IF(OR(E110="",F110=""),"",E110*F110-N(G110)+N(H110))</f>
        <v/>
      </c>
      <c r="J110" s="10" t="n"/>
      <c r="K110" s="10">
        <f>IF(I110="","",I110-N(J110))</f>
        <v/>
      </c>
      <c r="L110">
        <f>IF(I110="","",IF(K110&lt;=0,"Paid",IF(J110&gt;0,"Partial","Pending")))</f>
        <v/>
      </c>
    </row>
    <row r="111">
      <c r="B111" s="12" t="n"/>
      <c r="F111" s="10" t="n"/>
      <c r="G111" s="10" t="n"/>
      <c r="H111" s="10" t="n"/>
      <c r="I111" s="10">
        <f>IF(OR(E111="",F111=""),"",E111*F111-N(G111)+N(H111))</f>
        <v/>
      </c>
      <c r="J111" s="10" t="n"/>
      <c r="K111" s="10">
        <f>IF(I111="","",I111-N(J111))</f>
        <v/>
      </c>
      <c r="L111">
        <f>IF(I111="","",IF(K111&lt;=0,"Paid",IF(J111&gt;0,"Partial","Pending")))</f>
        <v/>
      </c>
    </row>
    <row r="112">
      <c r="B112" s="12" t="n"/>
      <c r="F112" s="10" t="n"/>
      <c r="G112" s="10" t="n"/>
      <c r="H112" s="10" t="n"/>
      <c r="I112" s="10">
        <f>IF(OR(E112="",F112=""),"",E112*F112-N(G112)+N(H112))</f>
        <v/>
      </c>
      <c r="J112" s="10" t="n"/>
      <c r="K112" s="10">
        <f>IF(I112="","",I112-N(J112))</f>
        <v/>
      </c>
      <c r="L112">
        <f>IF(I112="","",IF(K112&lt;=0,"Paid",IF(J112&gt;0,"Partial","Pending")))</f>
        <v/>
      </c>
    </row>
    <row r="113">
      <c r="B113" s="12" t="n"/>
      <c r="F113" s="10" t="n"/>
      <c r="G113" s="10" t="n"/>
      <c r="H113" s="10" t="n"/>
      <c r="I113" s="10">
        <f>IF(OR(E113="",F113=""),"",E113*F113-N(G113)+N(H113))</f>
        <v/>
      </c>
      <c r="J113" s="10" t="n"/>
      <c r="K113" s="10">
        <f>IF(I113="","",I113-N(J113))</f>
        <v/>
      </c>
      <c r="L113">
        <f>IF(I113="","",IF(K113&lt;=0,"Paid",IF(J113&gt;0,"Partial","Pending")))</f>
        <v/>
      </c>
    </row>
    <row r="114">
      <c r="B114" s="12" t="n"/>
      <c r="F114" s="10" t="n"/>
      <c r="G114" s="10" t="n"/>
      <c r="H114" s="10" t="n"/>
      <c r="I114" s="10">
        <f>IF(OR(E114="",F114=""),"",E114*F114-N(G114)+N(H114))</f>
        <v/>
      </c>
      <c r="J114" s="10" t="n"/>
      <c r="K114" s="10">
        <f>IF(I114="","",I114-N(J114))</f>
        <v/>
      </c>
      <c r="L114">
        <f>IF(I114="","",IF(K114&lt;=0,"Paid",IF(J114&gt;0,"Partial","Pending")))</f>
        <v/>
      </c>
    </row>
    <row r="115">
      <c r="B115" s="12" t="n"/>
      <c r="F115" s="10" t="n"/>
      <c r="G115" s="10" t="n"/>
      <c r="H115" s="10" t="n"/>
      <c r="I115" s="10">
        <f>IF(OR(E115="",F115=""),"",E115*F115-N(G115)+N(H115))</f>
        <v/>
      </c>
      <c r="J115" s="10" t="n"/>
      <c r="K115" s="10">
        <f>IF(I115="","",I115-N(J115))</f>
        <v/>
      </c>
      <c r="L115">
        <f>IF(I115="","",IF(K115&lt;=0,"Paid",IF(J115&gt;0,"Partial","Pending")))</f>
        <v/>
      </c>
    </row>
    <row r="116">
      <c r="B116" s="12" t="n"/>
      <c r="F116" s="10" t="n"/>
      <c r="G116" s="10" t="n"/>
      <c r="H116" s="10" t="n"/>
      <c r="I116" s="10">
        <f>IF(OR(E116="",F116=""),"",E116*F116-N(G116)+N(H116))</f>
        <v/>
      </c>
      <c r="J116" s="10" t="n"/>
      <c r="K116" s="10">
        <f>IF(I116="","",I116-N(J116))</f>
        <v/>
      </c>
      <c r="L116">
        <f>IF(I116="","",IF(K116&lt;=0,"Paid",IF(J116&gt;0,"Partial","Pending")))</f>
        <v/>
      </c>
    </row>
    <row r="117">
      <c r="B117" s="12" t="n"/>
      <c r="F117" s="10" t="n"/>
      <c r="G117" s="10" t="n"/>
      <c r="H117" s="10" t="n"/>
      <c r="I117" s="10">
        <f>IF(OR(E117="",F117=""),"",E117*F117-N(G117)+N(H117))</f>
        <v/>
      </c>
      <c r="J117" s="10" t="n"/>
      <c r="K117" s="10">
        <f>IF(I117="","",I117-N(J117))</f>
        <v/>
      </c>
      <c r="L117">
        <f>IF(I117="","",IF(K117&lt;=0,"Paid",IF(J117&gt;0,"Partial","Pending")))</f>
        <v/>
      </c>
    </row>
    <row r="118">
      <c r="B118" s="12" t="n"/>
      <c r="F118" s="10" t="n"/>
      <c r="G118" s="10" t="n"/>
      <c r="H118" s="10" t="n"/>
      <c r="I118" s="10">
        <f>IF(OR(E118="",F118=""),"",E118*F118-N(G118)+N(H118))</f>
        <v/>
      </c>
      <c r="J118" s="10" t="n"/>
      <c r="K118" s="10">
        <f>IF(I118="","",I118-N(J118))</f>
        <v/>
      </c>
      <c r="L118">
        <f>IF(I118="","",IF(K118&lt;=0,"Paid",IF(J118&gt;0,"Partial","Pending")))</f>
        <v/>
      </c>
    </row>
    <row r="119">
      <c r="B119" s="12" t="n"/>
      <c r="F119" s="10" t="n"/>
      <c r="G119" s="10" t="n"/>
      <c r="H119" s="10" t="n"/>
      <c r="I119" s="10">
        <f>IF(OR(E119="",F119=""),"",E119*F119-N(G119)+N(H119))</f>
        <v/>
      </c>
      <c r="J119" s="10" t="n"/>
      <c r="K119" s="10">
        <f>IF(I119="","",I119-N(J119))</f>
        <v/>
      </c>
      <c r="L119">
        <f>IF(I119="","",IF(K119&lt;=0,"Paid",IF(J119&gt;0,"Partial","Pending")))</f>
        <v/>
      </c>
    </row>
    <row r="120">
      <c r="B120" s="12" t="n"/>
      <c r="F120" s="10" t="n"/>
      <c r="G120" s="10" t="n"/>
      <c r="H120" s="10" t="n"/>
      <c r="I120" s="10">
        <f>IF(OR(E120="",F120=""),"",E120*F120-N(G120)+N(H120))</f>
        <v/>
      </c>
      <c r="J120" s="10" t="n"/>
      <c r="K120" s="10">
        <f>IF(I120="","",I120-N(J120))</f>
        <v/>
      </c>
      <c r="L120">
        <f>IF(I120="","",IF(K120&lt;=0,"Paid",IF(J120&gt;0,"Partial","Pending")))</f>
        <v/>
      </c>
    </row>
    <row r="121">
      <c r="B121" s="12" t="n"/>
      <c r="F121" s="10" t="n"/>
      <c r="G121" s="10" t="n"/>
      <c r="H121" s="10" t="n"/>
      <c r="I121" s="10">
        <f>IF(OR(E121="",F121=""),"",E121*F121-N(G121)+N(H121))</f>
        <v/>
      </c>
      <c r="J121" s="10" t="n"/>
      <c r="K121" s="10">
        <f>IF(I121="","",I121-N(J121))</f>
        <v/>
      </c>
      <c r="L121">
        <f>IF(I121="","",IF(K121&lt;=0,"Paid",IF(J121&gt;0,"Partial","Pending")))</f>
        <v/>
      </c>
    </row>
    <row r="122">
      <c r="B122" s="12" t="n"/>
      <c r="F122" s="10" t="n"/>
      <c r="G122" s="10" t="n"/>
      <c r="H122" s="10" t="n"/>
      <c r="I122" s="10">
        <f>IF(OR(E122="",F122=""),"",E122*F122-N(G122)+N(H122))</f>
        <v/>
      </c>
      <c r="J122" s="10" t="n"/>
      <c r="K122" s="10">
        <f>IF(I122="","",I122-N(J122))</f>
        <v/>
      </c>
      <c r="L122">
        <f>IF(I122="","",IF(K122&lt;=0,"Paid",IF(J122&gt;0,"Partial","Pending")))</f>
        <v/>
      </c>
    </row>
    <row r="123">
      <c r="B123" s="12" t="n"/>
      <c r="F123" s="10" t="n"/>
      <c r="G123" s="10" t="n"/>
      <c r="H123" s="10" t="n"/>
      <c r="I123" s="10">
        <f>IF(OR(E123="",F123=""),"",E123*F123-N(G123)+N(H123))</f>
        <v/>
      </c>
      <c r="J123" s="10" t="n"/>
      <c r="K123" s="10">
        <f>IF(I123="","",I123-N(J123))</f>
        <v/>
      </c>
      <c r="L123">
        <f>IF(I123="","",IF(K123&lt;=0,"Paid",IF(J123&gt;0,"Partial","Pending")))</f>
        <v/>
      </c>
    </row>
    <row r="124">
      <c r="B124" s="12" t="n"/>
      <c r="F124" s="10" t="n"/>
      <c r="G124" s="10" t="n"/>
      <c r="H124" s="10" t="n"/>
      <c r="I124" s="10">
        <f>IF(OR(E124="",F124=""),"",E124*F124-N(G124)+N(H124))</f>
        <v/>
      </c>
      <c r="J124" s="10" t="n"/>
      <c r="K124" s="10">
        <f>IF(I124="","",I124-N(J124))</f>
        <v/>
      </c>
      <c r="L124">
        <f>IF(I124="","",IF(K124&lt;=0,"Paid",IF(J124&gt;0,"Partial","Pending")))</f>
        <v/>
      </c>
    </row>
    <row r="125">
      <c r="B125" s="12" t="n"/>
      <c r="F125" s="10" t="n"/>
      <c r="G125" s="10" t="n"/>
      <c r="H125" s="10" t="n"/>
      <c r="I125" s="10">
        <f>IF(OR(E125="",F125=""),"",E125*F125-N(G125)+N(H125))</f>
        <v/>
      </c>
      <c r="J125" s="10" t="n"/>
      <c r="K125" s="10">
        <f>IF(I125="","",I125-N(J125))</f>
        <v/>
      </c>
      <c r="L125">
        <f>IF(I125="","",IF(K125&lt;=0,"Paid",IF(J125&gt;0,"Partial","Pending")))</f>
        <v/>
      </c>
    </row>
    <row r="126">
      <c r="B126" s="12" t="n"/>
      <c r="F126" s="10" t="n"/>
      <c r="G126" s="10" t="n"/>
      <c r="H126" s="10" t="n"/>
      <c r="I126" s="10">
        <f>IF(OR(E126="",F126=""),"",E126*F126-N(G126)+N(H126))</f>
        <v/>
      </c>
      <c r="J126" s="10" t="n"/>
      <c r="K126" s="10">
        <f>IF(I126="","",I126-N(J126))</f>
        <v/>
      </c>
      <c r="L126">
        <f>IF(I126="","",IF(K126&lt;=0,"Paid",IF(J126&gt;0,"Partial","Pending")))</f>
        <v/>
      </c>
    </row>
    <row r="127">
      <c r="B127" s="12" t="n"/>
      <c r="F127" s="10" t="n"/>
      <c r="G127" s="10" t="n"/>
      <c r="H127" s="10" t="n"/>
      <c r="I127" s="10">
        <f>IF(OR(E127="",F127=""),"",E127*F127-N(G127)+N(H127))</f>
        <v/>
      </c>
      <c r="J127" s="10" t="n"/>
      <c r="K127" s="10">
        <f>IF(I127="","",I127-N(J127))</f>
        <v/>
      </c>
      <c r="L127">
        <f>IF(I127="","",IF(K127&lt;=0,"Paid",IF(J127&gt;0,"Partial","Pending")))</f>
        <v/>
      </c>
    </row>
    <row r="128">
      <c r="B128" s="12" t="n"/>
      <c r="F128" s="10" t="n"/>
      <c r="G128" s="10" t="n"/>
      <c r="H128" s="10" t="n"/>
      <c r="I128" s="10">
        <f>IF(OR(E128="",F128=""),"",E128*F128-N(G128)+N(H128))</f>
        <v/>
      </c>
      <c r="J128" s="10" t="n"/>
      <c r="K128" s="10">
        <f>IF(I128="","",I128-N(J128))</f>
        <v/>
      </c>
      <c r="L128">
        <f>IF(I128="","",IF(K128&lt;=0,"Paid",IF(J128&gt;0,"Partial","Pending")))</f>
        <v/>
      </c>
    </row>
    <row r="129">
      <c r="B129" s="12" t="n"/>
      <c r="F129" s="10" t="n"/>
      <c r="G129" s="10" t="n"/>
      <c r="H129" s="10" t="n"/>
      <c r="I129" s="10">
        <f>IF(OR(E129="",F129=""),"",E129*F129-N(G129)+N(H129))</f>
        <v/>
      </c>
      <c r="J129" s="10" t="n"/>
      <c r="K129" s="10">
        <f>IF(I129="","",I129-N(J129))</f>
        <v/>
      </c>
      <c r="L129">
        <f>IF(I129="","",IF(K129&lt;=0,"Paid",IF(J129&gt;0,"Partial","Pending")))</f>
        <v/>
      </c>
    </row>
    <row r="130">
      <c r="B130" s="12" t="n"/>
      <c r="F130" s="10" t="n"/>
      <c r="G130" s="10" t="n"/>
      <c r="H130" s="10" t="n"/>
      <c r="I130" s="10">
        <f>IF(OR(E130="",F130=""),"",E130*F130-N(G130)+N(H130))</f>
        <v/>
      </c>
      <c r="J130" s="10" t="n"/>
      <c r="K130" s="10">
        <f>IF(I130="","",I130-N(J130))</f>
        <v/>
      </c>
      <c r="L130">
        <f>IF(I130="","",IF(K130&lt;=0,"Paid",IF(J130&gt;0,"Partial","Pending")))</f>
        <v/>
      </c>
    </row>
    <row r="131">
      <c r="B131" s="12" t="n"/>
      <c r="F131" s="10" t="n"/>
      <c r="G131" s="10" t="n"/>
      <c r="H131" s="10" t="n"/>
      <c r="I131" s="10">
        <f>IF(OR(E131="",F131=""),"",E131*F131-N(G131)+N(H131))</f>
        <v/>
      </c>
      <c r="J131" s="10" t="n"/>
      <c r="K131" s="10">
        <f>IF(I131="","",I131-N(J131))</f>
        <v/>
      </c>
      <c r="L131">
        <f>IF(I131="","",IF(K131&lt;=0,"Paid",IF(J131&gt;0,"Partial","Pending")))</f>
        <v/>
      </c>
    </row>
    <row r="132">
      <c r="B132" s="12" t="n"/>
      <c r="F132" s="10" t="n"/>
      <c r="G132" s="10" t="n"/>
      <c r="H132" s="10" t="n"/>
      <c r="I132" s="10">
        <f>IF(OR(E132="",F132=""),"",E132*F132-N(G132)+N(H132))</f>
        <v/>
      </c>
      <c r="J132" s="10" t="n"/>
      <c r="K132" s="10">
        <f>IF(I132="","",I132-N(J132))</f>
        <v/>
      </c>
      <c r="L132">
        <f>IF(I132="","",IF(K132&lt;=0,"Paid",IF(J132&gt;0,"Partial","Pending")))</f>
        <v/>
      </c>
    </row>
    <row r="133">
      <c r="B133" s="12" t="n"/>
      <c r="F133" s="10" t="n"/>
      <c r="G133" s="10" t="n"/>
      <c r="H133" s="10" t="n"/>
      <c r="I133" s="10">
        <f>IF(OR(E133="",F133=""),"",E133*F133-N(G133)+N(H133))</f>
        <v/>
      </c>
      <c r="J133" s="10" t="n"/>
      <c r="K133" s="10">
        <f>IF(I133="","",I133-N(J133))</f>
        <v/>
      </c>
      <c r="L133">
        <f>IF(I133="","",IF(K133&lt;=0,"Paid",IF(J133&gt;0,"Partial","Pending")))</f>
        <v/>
      </c>
    </row>
    <row r="134">
      <c r="B134" s="12" t="n"/>
      <c r="F134" s="10" t="n"/>
      <c r="G134" s="10" t="n"/>
      <c r="H134" s="10" t="n"/>
      <c r="I134" s="10">
        <f>IF(OR(E134="",F134=""),"",E134*F134-N(G134)+N(H134))</f>
        <v/>
      </c>
      <c r="J134" s="10" t="n"/>
      <c r="K134" s="10">
        <f>IF(I134="","",I134-N(J134))</f>
        <v/>
      </c>
      <c r="L134">
        <f>IF(I134="","",IF(K134&lt;=0,"Paid",IF(J134&gt;0,"Partial","Pending")))</f>
        <v/>
      </c>
    </row>
    <row r="135">
      <c r="B135" s="12" t="n"/>
      <c r="F135" s="10" t="n"/>
      <c r="G135" s="10" t="n"/>
      <c r="H135" s="10" t="n"/>
      <c r="I135" s="10">
        <f>IF(OR(E135="",F135=""),"",E135*F135-N(G135)+N(H135))</f>
        <v/>
      </c>
      <c r="J135" s="10" t="n"/>
      <c r="K135" s="10">
        <f>IF(I135="","",I135-N(J135))</f>
        <v/>
      </c>
      <c r="L135">
        <f>IF(I135="","",IF(K135&lt;=0,"Paid",IF(J135&gt;0,"Partial","Pending")))</f>
        <v/>
      </c>
    </row>
    <row r="136">
      <c r="B136" s="12" t="n"/>
      <c r="F136" s="10" t="n"/>
      <c r="G136" s="10" t="n"/>
      <c r="H136" s="10" t="n"/>
      <c r="I136" s="10">
        <f>IF(OR(E136="",F136=""),"",E136*F136-N(G136)+N(H136))</f>
        <v/>
      </c>
      <c r="J136" s="10" t="n"/>
      <c r="K136" s="10">
        <f>IF(I136="","",I136-N(J136))</f>
        <v/>
      </c>
      <c r="L136">
        <f>IF(I136="","",IF(K136&lt;=0,"Paid",IF(J136&gt;0,"Partial","Pending")))</f>
        <v/>
      </c>
    </row>
    <row r="137">
      <c r="B137" s="12" t="n"/>
      <c r="F137" s="10" t="n"/>
      <c r="G137" s="10" t="n"/>
      <c r="H137" s="10" t="n"/>
      <c r="I137" s="10">
        <f>IF(OR(E137="",F137=""),"",E137*F137-N(G137)+N(H137))</f>
        <v/>
      </c>
      <c r="J137" s="10" t="n"/>
      <c r="K137" s="10">
        <f>IF(I137="","",I137-N(J137))</f>
        <v/>
      </c>
      <c r="L137">
        <f>IF(I137="","",IF(K137&lt;=0,"Paid",IF(J137&gt;0,"Partial","Pending")))</f>
        <v/>
      </c>
    </row>
    <row r="138">
      <c r="B138" s="12" t="n"/>
      <c r="F138" s="10" t="n"/>
      <c r="G138" s="10" t="n"/>
      <c r="H138" s="10" t="n"/>
      <c r="I138" s="10">
        <f>IF(OR(E138="",F138=""),"",E138*F138-N(G138)+N(H138))</f>
        <v/>
      </c>
      <c r="J138" s="10" t="n"/>
      <c r="K138" s="10">
        <f>IF(I138="","",I138-N(J138))</f>
        <v/>
      </c>
      <c r="L138">
        <f>IF(I138="","",IF(K138&lt;=0,"Paid",IF(J138&gt;0,"Partial","Pending")))</f>
        <v/>
      </c>
    </row>
    <row r="139">
      <c r="B139" s="12" t="n"/>
      <c r="F139" s="10" t="n"/>
      <c r="G139" s="10" t="n"/>
      <c r="H139" s="10" t="n"/>
      <c r="I139" s="10">
        <f>IF(OR(E139="",F139=""),"",E139*F139-N(G139)+N(H139))</f>
        <v/>
      </c>
      <c r="J139" s="10" t="n"/>
      <c r="K139" s="10">
        <f>IF(I139="","",I139-N(J139))</f>
        <v/>
      </c>
      <c r="L139">
        <f>IF(I139="","",IF(K139&lt;=0,"Paid",IF(J139&gt;0,"Partial","Pending")))</f>
        <v/>
      </c>
    </row>
    <row r="140">
      <c r="B140" s="12" t="n"/>
      <c r="F140" s="10" t="n"/>
      <c r="G140" s="10" t="n"/>
      <c r="H140" s="10" t="n"/>
      <c r="I140" s="10">
        <f>IF(OR(E140="",F140=""),"",E140*F140-N(G140)+N(H140))</f>
        <v/>
      </c>
      <c r="J140" s="10" t="n"/>
      <c r="K140" s="10">
        <f>IF(I140="","",I140-N(J140))</f>
        <v/>
      </c>
      <c r="L140">
        <f>IF(I140="","",IF(K140&lt;=0,"Paid",IF(J140&gt;0,"Partial","Pending")))</f>
        <v/>
      </c>
    </row>
    <row r="141">
      <c r="B141" s="12" t="n"/>
      <c r="F141" s="10" t="n"/>
      <c r="G141" s="10" t="n"/>
      <c r="H141" s="10" t="n"/>
      <c r="I141" s="10">
        <f>IF(OR(E141="",F141=""),"",E141*F141-N(G141)+N(H141))</f>
        <v/>
      </c>
      <c r="J141" s="10" t="n"/>
      <c r="K141" s="10">
        <f>IF(I141="","",I141-N(J141))</f>
        <v/>
      </c>
      <c r="L141">
        <f>IF(I141="","",IF(K141&lt;=0,"Paid",IF(J141&gt;0,"Partial","Pending")))</f>
        <v/>
      </c>
    </row>
    <row r="142">
      <c r="B142" s="12" t="n"/>
      <c r="F142" s="10" t="n"/>
      <c r="G142" s="10" t="n"/>
      <c r="H142" s="10" t="n"/>
      <c r="I142" s="10">
        <f>IF(OR(E142="",F142=""),"",E142*F142-N(G142)+N(H142))</f>
        <v/>
      </c>
      <c r="J142" s="10" t="n"/>
      <c r="K142" s="10">
        <f>IF(I142="","",I142-N(J142))</f>
        <v/>
      </c>
      <c r="L142">
        <f>IF(I142="","",IF(K142&lt;=0,"Paid",IF(J142&gt;0,"Partial","Pending")))</f>
        <v/>
      </c>
    </row>
    <row r="143">
      <c r="B143" s="12" t="n"/>
      <c r="F143" s="10" t="n"/>
      <c r="G143" s="10" t="n"/>
      <c r="H143" s="10" t="n"/>
      <c r="I143" s="10">
        <f>IF(OR(E143="",F143=""),"",E143*F143-N(G143)+N(H143))</f>
        <v/>
      </c>
      <c r="J143" s="10" t="n"/>
      <c r="K143" s="10">
        <f>IF(I143="","",I143-N(J143))</f>
        <v/>
      </c>
      <c r="L143">
        <f>IF(I143="","",IF(K143&lt;=0,"Paid",IF(J143&gt;0,"Partial","Pending")))</f>
        <v/>
      </c>
    </row>
    <row r="144">
      <c r="B144" s="12" t="n"/>
      <c r="F144" s="10" t="n"/>
      <c r="G144" s="10" t="n"/>
      <c r="H144" s="10" t="n"/>
      <c r="I144" s="10">
        <f>IF(OR(E144="",F144=""),"",E144*F144-N(G144)+N(H144))</f>
        <v/>
      </c>
      <c r="J144" s="10" t="n"/>
      <c r="K144" s="10">
        <f>IF(I144="","",I144-N(J144))</f>
        <v/>
      </c>
      <c r="L144">
        <f>IF(I144="","",IF(K144&lt;=0,"Paid",IF(J144&gt;0,"Partial","Pending")))</f>
        <v/>
      </c>
    </row>
    <row r="145">
      <c r="B145" s="12" t="n"/>
      <c r="F145" s="10" t="n"/>
      <c r="G145" s="10" t="n"/>
      <c r="H145" s="10" t="n"/>
      <c r="I145" s="10">
        <f>IF(OR(E145="",F145=""),"",E145*F145-N(G145)+N(H145))</f>
        <v/>
      </c>
      <c r="J145" s="10" t="n"/>
      <c r="K145" s="10">
        <f>IF(I145="","",I145-N(J145))</f>
        <v/>
      </c>
      <c r="L145">
        <f>IF(I145="","",IF(K145&lt;=0,"Paid",IF(J145&gt;0,"Partial","Pending")))</f>
        <v/>
      </c>
    </row>
    <row r="146">
      <c r="B146" s="12" t="n"/>
      <c r="F146" s="10" t="n"/>
      <c r="G146" s="10" t="n"/>
      <c r="H146" s="10" t="n"/>
      <c r="I146" s="10">
        <f>IF(OR(E146="",F146=""),"",E146*F146-N(G146)+N(H146))</f>
        <v/>
      </c>
      <c r="J146" s="10" t="n"/>
      <c r="K146" s="10">
        <f>IF(I146="","",I146-N(J146))</f>
        <v/>
      </c>
      <c r="L146">
        <f>IF(I146="","",IF(K146&lt;=0,"Paid",IF(J146&gt;0,"Partial","Pending")))</f>
        <v/>
      </c>
    </row>
    <row r="147">
      <c r="B147" s="12" t="n"/>
      <c r="F147" s="10" t="n"/>
      <c r="G147" s="10" t="n"/>
      <c r="H147" s="10" t="n"/>
      <c r="I147" s="10">
        <f>IF(OR(E147="",F147=""),"",E147*F147-N(G147)+N(H147))</f>
        <v/>
      </c>
      <c r="J147" s="10" t="n"/>
      <c r="K147" s="10">
        <f>IF(I147="","",I147-N(J147))</f>
        <v/>
      </c>
      <c r="L147">
        <f>IF(I147="","",IF(K147&lt;=0,"Paid",IF(J147&gt;0,"Partial","Pending")))</f>
        <v/>
      </c>
    </row>
    <row r="148">
      <c r="B148" s="12" t="n"/>
      <c r="F148" s="10" t="n"/>
      <c r="G148" s="10" t="n"/>
      <c r="H148" s="10" t="n"/>
      <c r="I148" s="10">
        <f>IF(OR(E148="",F148=""),"",E148*F148-N(G148)+N(H148))</f>
        <v/>
      </c>
      <c r="J148" s="10" t="n"/>
      <c r="K148" s="10">
        <f>IF(I148="","",I148-N(J148))</f>
        <v/>
      </c>
      <c r="L148">
        <f>IF(I148="","",IF(K148&lt;=0,"Paid",IF(J148&gt;0,"Partial","Pending")))</f>
        <v/>
      </c>
    </row>
    <row r="149">
      <c r="B149" s="12" t="n"/>
      <c r="F149" s="10" t="n"/>
      <c r="G149" s="10" t="n"/>
      <c r="H149" s="10" t="n"/>
      <c r="I149" s="10">
        <f>IF(OR(E149="",F149=""),"",E149*F149-N(G149)+N(H149))</f>
        <v/>
      </c>
      <c r="J149" s="10" t="n"/>
      <c r="K149" s="10">
        <f>IF(I149="","",I149-N(J149))</f>
        <v/>
      </c>
      <c r="L149">
        <f>IF(I149="","",IF(K149&lt;=0,"Paid",IF(J149&gt;0,"Partial","Pending")))</f>
        <v/>
      </c>
    </row>
    <row r="150">
      <c r="B150" s="12" t="n"/>
      <c r="F150" s="10" t="n"/>
      <c r="G150" s="10" t="n"/>
      <c r="H150" s="10" t="n"/>
      <c r="I150" s="10">
        <f>IF(OR(E150="",F150=""),"",E150*F150-N(G150)+N(H150))</f>
        <v/>
      </c>
      <c r="J150" s="10" t="n"/>
      <c r="K150" s="10">
        <f>IF(I150="","",I150-N(J150))</f>
        <v/>
      </c>
      <c r="L150">
        <f>IF(I150="","",IF(K150&lt;=0,"Paid",IF(J150&gt;0,"Partial","Pending")))</f>
        <v/>
      </c>
    </row>
    <row r="151">
      <c r="B151" s="12" t="n"/>
      <c r="F151" s="10" t="n"/>
      <c r="G151" s="10" t="n"/>
      <c r="H151" s="10" t="n"/>
      <c r="I151" s="10">
        <f>IF(OR(E151="",F151=""),"",E151*F151-N(G151)+N(H151))</f>
        <v/>
      </c>
      <c r="J151" s="10" t="n"/>
      <c r="K151" s="10">
        <f>IF(I151="","",I151-N(J151))</f>
        <v/>
      </c>
      <c r="L151">
        <f>IF(I151="","",IF(K151&lt;=0,"Paid",IF(J151&gt;0,"Partial","Pending")))</f>
        <v/>
      </c>
    </row>
    <row r="152">
      <c r="B152" s="12" t="n"/>
      <c r="F152" s="10" t="n"/>
      <c r="G152" s="10" t="n"/>
      <c r="H152" s="10" t="n"/>
      <c r="I152" s="10">
        <f>IF(OR(E152="",F152=""),"",E152*F152-N(G152)+N(H152))</f>
        <v/>
      </c>
      <c r="J152" s="10" t="n"/>
      <c r="K152" s="10">
        <f>IF(I152="","",I152-N(J152))</f>
        <v/>
      </c>
      <c r="L152">
        <f>IF(I152="","",IF(K152&lt;=0,"Paid",IF(J152&gt;0,"Partial","Pending")))</f>
        <v/>
      </c>
    </row>
    <row r="153">
      <c r="B153" s="12" t="n"/>
      <c r="F153" s="10" t="n"/>
      <c r="G153" s="10" t="n"/>
      <c r="H153" s="10" t="n"/>
      <c r="I153" s="10">
        <f>IF(OR(E153="",F153=""),"",E153*F153-N(G153)+N(H153))</f>
        <v/>
      </c>
      <c r="J153" s="10" t="n"/>
      <c r="K153" s="10">
        <f>IF(I153="","",I153-N(J153))</f>
        <v/>
      </c>
      <c r="L153">
        <f>IF(I153="","",IF(K153&lt;=0,"Paid",IF(J153&gt;0,"Partial","Pending")))</f>
        <v/>
      </c>
    </row>
    <row r="154">
      <c r="B154" s="12" t="n"/>
      <c r="F154" s="10" t="n"/>
      <c r="G154" s="10" t="n"/>
      <c r="H154" s="10" t="n"/>
      <c r="I154" s="10">
        <f>IF(OR(E154="",F154=""),"",E154*F154-N(G154)+N(H154))</f>
        <v/>
      </c>
      <c r="J154" s="10" t="n"/>
      <c r="K154" s="10">
        <f>IF(I154="","",I154-N(J154))</f>
        <v/>
      </c>
      <c r="L154">
        <f>IF(I154="","",IF(K154&lt;=0,"Paid",IF(J154&gt;0,"Partial","Pending")))</f>
        <v/>
      </c>
    </row>
    <row r="155">
      <c r="B155" s="12" t="n"/>
      <c r="F155" s="10" t="n"/>
      <c r="G155" s="10" t="n"/>
      <c r="H155" s="10" t="n"/>
      <c r="I155" s="10">
        <f>IF(OR(E155="",F155=""),"",E155*F155-N(G155)+N(H155))</f>
        <v/>
      </c>
      <c r="J155" s="10" t="n"/>
      <c r="K155" s="10">
        <f>IF(I155="","",I155-N(J155))</f>
        <v/>
      </c>
      <c r="L155">
        <f>IF(I155="","",IF(K155&lt;=0,"Paid",IF(J155&gt;0,"Partial","Pending")))</f>
        <v/>
      </c>
    </row>
    <row r="156">
      <c r="B156" s="12" t="n"/>
      <c r="F156" s="10" t="n"/>
      <c r="G156" s="10" t="n"/>
      <c r="H156" s="10" t="n"/>
      <c r="I156" s="10">
        <f>IF(OR(E156="",F156=""),"",E156*F156-N(G156)+N(H156))</f>
        <v/>
      </c>
      <c r="J156" s="10" t="n"/>
      <c r="K156" s="10">
        <f>IF(I156="","",I156-N(J156))</f>
        <v/>
      </c>
      <c r="L156">
        <f>IF(I156="","",IF(K156&lt;=0,"Paid",IF(J156&gt;0,"Partial","Pending")))</f>
        <v/>
      </c>
    </row>
    <row r="157">
      <c r="B157" s="12" t="n"/>
      <c r="F157" s="10" t="n"/>
      <c r="G157" s="10" t="n"/>
      <c r="H157" s="10" t="n"/>
      <c r="I157" s="10">
        <f>IF(OR(E157="",F157=""),"",E157*F157-N(G157)+N(H157))</f>
        <v/>
      </c>
      <c r="J157" s="10" t="n"/>
      <c r="K157" s="10">
        <f>IF(I157="","",I157-N(J157))</f>
        <v/>
      </c>
      <c r="L157">
        <f>IF(I157="","",IF(K157&lt;=0,"Paid",IF(J157&gt;0,"Partial","Pending")))</f>
        <v/>
      </c>
    </row>
    <row r="158">
      <c r="B158" s="12" t="n"/>
      <c r="F158" s="10" t="n"/>
      <c r="G158" s="10" t="n"/>
      <c r="H158" s="10" t="n"/>
      <c r="I158" s="10">
        <f>IF(OR(E158="",F158=""),"",E158*F158-N(G158)+N(H158))</f>
        <v/>
      </c>
      <c r="J158" s="10" t="n"/>
      <c r="K158" s="10">
        <f>IF(I158="","",I158-N(J158))</f>
        <v/>
      </c>
      <c r="L158">
        <f>IF(I158="","",IF(K158&lt;=0,"Paid",IF(J158&gt;0,"Partial","Pending")))</f>
        <v/>
      </c>
    </row>
    <row r="159">
      <c r="B159" s="12" t="n"/>
      <c r="F159" s="10" t="n"/>
      <c r="G159" s="10" t="n"/>
      <c r="H159" s="10" t="n"/>
      <c r="I159" s="10">
        <f>IF(OR(E159="",F159=""),"",E159*F159-N(G159)+N(H159))</f>
        <v/>
      </c>
      <c r="J159" s="10" t="n"/>
      <c r="K159" s="10">
        <f>IF(I159="","",I159-N(J159))</f>
        <v/>
      </c>
      <c r="L159">
        <f>IF(I159="","",IF(K159&lt;=0,"Paid",IF(J159&gt;0,"Partial","Pending")))</f>
        <v/>
      </c>
    </row>
    <row r="160">
      <c r="B160" s="12" t="n"/>
      <c r="F160" s="10" t="n"/>
      <c r="G160" s="10" t="n"/>
      <c r="H160" s="10" t="n"/>
      <c r="I160" s="10">
        <f>IF(OR(E160="",F160=""),"",E160*F160-N(G160)+N(H160))</f>
        <v/>
      </c>
      <c r="J160" s="10" t="n"/>
      <c r="K160" s="10">
        <f>IF(I160="","",I160-N(J160))</f>
        <v/>
      </c>
      <c r="L160">
        <f>IF(I160="","",IF(K160&lt;=0,"Paid",IF(J160&gt;0,"Partial","Pending")))</f>
        <v/>
      </c>
    </row>
    <row r="161">
      <c r="B161" s="12" t="n"/>
      <c r="F161" s="10" t="n"/>
      <c r="G161" s="10" t="n"/>
      <c r="H161" s="10" t="n"/>
      <c r="I161" s="10">
        <f>IF(OR(E161="",F161=""),"",E161*F161-N(G161)+N(H161))</f>
        <v/>
      </c>
      <c r="J161" s="10" t="n"/>
      <c r="K161" s="10">
        <f>IF(I161="","",I161-N(J161))</f>
        <v/>
      </c>
      <c r="L161">
        <f>IF(I161="","",IF(K161&lt;=0,"Paid",IF(J161&gt;0,"Partial","Pending")))</f>
        <v/>
      </c>
    </row>
    <row r="162">
      <c r="B162" s="12" t="n"/>
      <c r="F162" s="10" t="n"/>
      <c r="G162" s="10" t="n"/>
      <c r="H162" s="10" t="n"/>
      <c r="I162" s="10">
        <f>IF(OR(E162="",F162=""),"",E162*F162-N(G162)+N(H162))</f>
        <v/>
      </c>
      <c r="J162" s="10" t="n"/>
      <c r="K162" s="10">
        <f>IF(I162="","",I162-N(J162))</f>
        <v/>
      </c>
      <c r="L162">
        <f>IF(I162="","",IF(K162&lt;=0,"Paid",IF(J162&gt;0,"Partial","Pending")))</f>
        <v/>
      </c>
    </row>
    <row r="163">
      <c r="B163" s="12" t="n"/>
      <c r="F163" s="10" t="n"/>
      <c r="G163" s="10" t="n"/>
      <c r="H163" s="10" t="n"/>
      <c r="I163" s="10">
        <f>IF(OR(E163="",F163=""),"",E163*F163-N(G163)+N(H163))</f>
        <v/>
      </c>
      <c r="J163" s="10" t="n"/>
      <c r="K163" s="10">
        <f>IF(I163="","",I163-N(J163))</f>
        <v/>
      </c>
      <c r="L163">
        <f>IF(I163="","",IF(K163&lt;=0,"Paid",IF(J163&gt;0,"Partial","Pending")))</f>
        <v/>
      </c>
    </row>
    <row r="164">
      <c r="B164" s="12" t="n"/>
      <c r="F164" s="10" t="n"/>
      <c r="G164" s="10" t="n"/>
      <c r="H164" s="10" t="n"/>
      <c r="I164" s="10">
        <f>IF(OR(E164="",F164=""),"",E164*F164-N(G164)+N(H164))</f>
        <v/>
      </c>
      <c r="J164" s="10" t="n"/>
      <c r="K164" s="10">
        <f>IF(I164="","",I164-N(J164))</f>
        <v/>
      </c>
      <c r="L164">
        <f>IF(I164="","",IF(K164&lt;=0,"Paid",IF(J164&gt;0,"Partial","Pending")))</f>
        <v/>
      </c>
    </row>
    <row r="165">
      <c r="B165" s="12" t="n"/>
      <c r="F165" s="10" t="n"/>
      <c r="G165" s="10" t="n"/>
      <c r="H165" s="10" t="n"/>
      <c r="I165" s="10">
        <f>IF(OR(E165="",F165=""),"",E165*F165-N(G165)+N(H165))</f>
        <v/>
      </c>
      <c r="J165" s="10" t="n"/>
      <c r="K165" s="10">
        <f>IF(I165="","",I165-N(J165))</f>
        <v/>
      </c>
      <c r="L165">
        <f>IF(I165="","",IF(K165&lt;=0,"Paid",IF(J165&gt;0,"Partial","Pending")))</f>
        <v/>
      </c>
    </row>
    <row r="166">
      <c r="B166" s="12" t="n"/>
      <c r="F166" s="10" t="n"/>
      <c r="G166" s="10" t="n"/>
      <c r="H166" s="10" t="n"/>
      <c r="I166" s="10">
        <f>IF(OR(E166="",F166=""),"",E166*F166-N(G166)+N(H166))</f>
        <v/>
      </c>
      <c r="J166" s="10" t="n"/>
      <c r="K166" s="10">
        <f>IF(I166="","",I166-N(J166))</f>
        <v/>
      </c>
      <c r="L166">
        <f>IF(I166="","",IF(K166&lt;=0,"Paid",IF(J166&gt;0,"Partial","Pending")))</f>
        <v/>
      </c>
    </row>
    <row r="167">
      <c r="B167" s="12" t="n"/>
      <c r="F167" s="10" t="n"/>
      <c r="G167" s="10" t="n"/>
      <c r="H167" s="10" t="n"/>
      <c r="I167" s="10">
        <f>IF(OR(E167="",F167=""),"",E167*F167-N(G167)+N(H167))</f>
        <v/>
      </c>
      <c r="J167" s="10" t="n"/>
      <c r="K167" s="10">
        <f>IF(I167="","",I167-N(J167))</f>
        <v/>
      </c>
      <c r="L167">
        <f>IF(I167="","",IF(K167&lt;=0,"Paid",IF(J167&gt;0,"Partial","Pending")))</f>
        <v/>
      </c>
    </row>
    <row r="168">
      <c r="B168" s="12" t="n"/>
      <c r="F168" s="10" t="n"/>
      <c r="G168" s="10" t="n"/>
      <c r="H168" s="10" t="n"/>
      <c r="I168" s="10">
        <f>IF(OR(E168="",F168=""),"",E168*F168-N(G168)+N(H168))</f>
        <v/>
      </c>
      <c r="J168" s="10" t="n"/>
      <c r="K168" s="10">
        <f>IF(I168="","",I168-N(J168))</f>
        <v/>
      </c>
      <c r="L168">
        <f>IF(I168="","",IF(K168&lt;=0,"Paid",IF(J168&gt;0,"Partial","Pending")))</f>
        <v/>
      </c>
    </row>
    <row r="169">
      <c r="B169" s="12" t="n"/>
      <c r="F169" s="10" t="n"/>
      <c r="G169" s="10" t="n"/>
      <c r="H169" s="10" t="n"/>
      <c r="I169" s="10">
        <f>IF(OR(E169="",F169=""),"",E169*F169-N(G169)+N(H169))</f>
        <v/>
      </c>
      <c r="J169" s="10" t="n"/>
      <c r="K169" s="10">
        <f>IF(I169="","",I169-N(J169))</f>
        <v/>
      </c>
      <c r="L169">
        <f>IF(I169="","",IF(K169&lt;=0,"Paid",IF(J169&gt;0,"Partial","Pending")))</f>
        <v/>
      </c>
    </row>
    <row r="170">
      <c r="B170" s="12" t="n"/>
      <c r="F170" s="10" t="n"/>
      <c r="G170" s="10" t="n"/>
      <c r="H170" s="10" t="n"/>
      <c r="I170" s="10">
        <f>IF(OR(E170="",F170=""),"",E170*F170-N(G170)+N(H170))</f>
        <v/>
      </c>
      <c r="J170" s="10" t="n"/>
      <c r="K170" s="10">
        <f>IF(I170="","",I170-N(J170))</f>
        <v/>
      </c>
      <c r="L170">
        <f>IF(I170="","",IF(K170&lt;=0,"Paid",IF(J170&gt;0,"Partial","Pending")))</f>
        <v/>
      </c>
    </row>
    <row r="171">
      <c r="B171" s="12" t="n"/>
      <c r="F171" s="10" t="n"/>
      <c r="G171" s="10" t="n"/>
      <c r="H171" s="10" t="n"/>
      <c r="I171" s="10">
        <f>IF(OR(E171="",F171=""),"",E171*F171-N(G171)+N(H171))</f>
        <v/>
      </c>
      <c r="J171" s="10" t="n"/>
      <c r="K171" s="10">
        <f>IF(I171="","",I171-N(J171))</f>
        <v/>
      </c>
      <c r="L171">
        <f>IF(I171="","",IF(K171&lt;=0,"Paid",IF(J171&gt;0,"Partial","Pending")))</f>
        <v/>
      </c>
    </row>
    <row r="172">
      <c r="B172" s="12" t="n"/>
      <c r="F172" s="10" t="n"/>
      <c r="G172" s="10" t="n"/>
      <c r="H172" s="10" t="n"/>
      <c r="I172" s="10">
        <f>IF(OR(E172="",F172=""),"",E172*F172-N(G172)+N(H172))</f>
        <v/>
      </c>
      <c r="J172" s="10" t="n"/>
      <c r="K172" s="10">
        <f>IF(I172="","",I172-N(J172))</f>
        <v/>
      </c>
      <c r="L172">
        <f>IF(I172="","",IF(K172&lt;=0,"Paid",IF(J172&gt;0,"Partial","Pending")))</f>
        <v/>
      </c>
    </row>
    <row r="173">
      <c r="B173" s="12" t="n"/>
      <c r="F173" s="10" t="n"/>
      <c r="G173" s="10" t="n"/>
      <c r="H173" s="10" t="n"/>
      <c r="I173" s="10">
        <f>IF(OR(E173="",F173=""),"",E173*F173-N(G173)+N(H173))</f>
        <v/>
      </c>
      <c r="J173" s="10" t="n"/>
      <c r="K173" s="10">
        <f>IF(I173="","",I173-N(J173))</f>
        <v/>
      </c>
      <c r="L173">
        <f>IF(I173="","",IF(K173&lt;=0,"Paid",IF(J173&gt;0,"Partial","Pending")))</f>
        <v/>
      </c>
    </row>
    <row r="174">
      <c r="B174" s="12" t="n"/>
      <c r="F174" s="10" t="n"/>
      <c r="G174" s="10" t="n"/>
      <c r="H174" s="10" t="n"/>
      <c r="I174" s="10">
        <f>IF(OR(E174="",F174=""),"",E174*F174-N(G174)+N(H174))</f>
        <v/>
      </c>
      <c r="J174" s="10" t="n"/>
      <c r="K174" s="10">
        <f>IF(I174="","",I174-N(J174))</f>
        <v/>
      </c>
      <c r="L174">
        <f>IF(I174="","",IF(K174&lt;=0,"Paid",IF(J174&gt;0,"Partial","Pending")))</f>
        <v/>
      </c>
    </row>
    <row r="175">
      <c r="B175" s="12" t="n"/>
      <c r="F175" s="10" t="n"/>
      <c r="G175" s="10" t="n"/>
      <c r="H175" s="10" t="n"/>
      <c r="I175" s="10">
        <f>IF(OR(E175="",F175=""),"",E175*F175-N(G175)+N(H175))</f>
        <v/>
      </c>
      <c r="J175" s="10" t="n"/>
      <c r="K175" s="10">
        <f>IF(I175="","",I175-N(J175))</f>
        <v/>
      </c>
      <c r="L175">
        <f>IF(I175="","",IF(K175&lt;=0,"Paid",IF(J175&gt;0,"Partial","Pending")))</f>
        <v/>
      </c>
    </row>
    <row r="176">
      <c r="B176" s="12" t="n"/>
      <c r="F176" s="10" t="n"/>
      <c r="G176" s="10" t="n"/>
      <c r="H176" s="10" t="n"/>
      <c r="I176" s="10">
        <f>IF(OR(E176="",F176=""),"",E176*F176-N(G176)+N(H176))</f>
        <v/>
      </c>
      <c r="J176" s="10" t="n"/>
      <c r="K176" s="10">
        <f>IF(I176="","",I176-N(J176))</f>
        <v/>
      </c>
      <c r="L176">
        <f>IF(I176="","",IF(K176&lt;=0,"Paid",IF(J176&gt;0,"Partial","Pending")))</f>
        <v/>
      </c>
    </row>
    <row r="177">
      <c r="B177" s="12" t="n"/>
      <c r="F177" s="10" t="n"/>
      <c r="G177" s="10" t="n"/>
      <c r="H177" s="10" t="n"/>
      <c r="I177" s="10">
        <f>IF(OR(E177="",F177=""),"",E177*F177-N(G177)+N(H177))</f>
        <v/>
      </c>
      <c r="J177" s="10" t="n"/>
      <c r="K177" s="10">
        <f>IF(I177="","",I177-N(J177))</f>
        <v/>
      </c>
      <c r="L177">
        <f>IF(I177="","",IF(K177&lt;=0,"Paid",IF(J177&gt;0,"Partial","Pending")))</f>
        <v/>
      </c>
    </row>
    <row r="178">
      <c r="B178" s="12" t="n"/>
      <c r="F178" s="10" t="n"/>
      <c r="G178" s="10" t="n"/>
      <c r="H178" s="10" t="n"/>
      <c r="I178" s="10">
        <f>IF(OR(E178="",F178=""),"",E178*F178-N(G178)+N(H178))</f>
        <v/>
      </c>
      <c r="J178" s="10" t="n"/>
      <c r="K178" s="10">
        <f>IF(I178="","",I178-N(J178))</f>
        <v/>
      </c>
      <c r="L178">
        <f>IF(I178="","",IF(K178&lt;=0,"Paid",IF(J178&gt;0,"Partial","Pending")))</f>
        <v/>
      </c>
    </row>
    <row r="179">
      <c r="B179" s="12" t="n"/>
      <c r="F179" s="10" t="n"/>
      <c r="G179" s="10" t="n"/>
      <c r="H179" s="10" t="n"/>
      <c r="I179" s="10">
        <f>IF(OR(E179="",F179=""),"",E179*F179-N(G179)+N(H179))</f>
        <v/>
      </c>
      <c r="J179" s="10" t="n"/>
      <c r="K179" s="10">
        <f>IF(I179="","",I179-N(J179))</f>
        <v/>
      </c>
      <c r="L179">
        <f>IF(I179="","",IF(K179&lt;=0,"Paid",IF(J179&gt;0,"Partial","Pending")))</f>
        <v/>
      </c>
    </row>
    <row r="180">
      <c r="B180" s="12" t="n"/>
      <c r="F180" s="10" t="n"/>
      <c r="G180" s="10" t="n"/>
      <c r="H180" s="10" t="n"/>
      <c r="I180" s="10">
        <f>IF(OR(E180="",F180=""),"",E180*F180-N(G180)+N(H180))</f>
        <v/>
      </c>
      <c r="J180" s="10" t="n"/>
      <c r="K180" s="10">
        <f>IF(I180="","",I180-N(J180))</f>
        <v/>
      </c>
      <c r="L180">
        <f>IF(I180="","",IF(K180&lt;=0,"Paid",IF(J180&gt;0,"Partial","Pending")))</f>
        <v/>
      </c>
    </row>
    <row r="181">
      <c r="B181" s="12" t="n"/>
      <c r="F181" s="10" t="n"/>
      <c r="G181" s="10" t="n"/>
      <c r="H181" s="10" t="n"/>
      <c r="I181" s="10">
        <f>IF(OR(E181="",F181=""),"",E181*F181-N(G181)+N(H181))</f>
        <v/>
      </c>
      <c r="J181" s="10" t="n"/>
      <c r="K181" s="10">
        <f>IF(I181="","",I181-N(J181))</f>
        <v/>
      </c>
      <c r="L181">
        <f>IF(I181="","",IF(K181&lt;=0,"Paid",IF(J181&gt;0,"Partial","Pending")))</f>
        <v/>
      </c>
    </row>
    <row r="182">
      <c r="B182" s="12" t="n"/>
      <c r="F182" s="10" t="n"/>
      <c r="G182" s="10" t="n"/>
      <c r="H182" s="10" t="n"/>
      <c r="I182" s="10">
        <f>IF(OR(E182="",F182=""),"",E182*F182-N(G182)+N(H182))</f>
        <v/>
      </c>
      <c r="J182" s="10" t="n"/>
      <c r="K182" s="10">
        <f>IF(I182="","",I182-N(J182))</f>
        <v/>
      </c>
      <c r="L182">
        <f>IF(I182="","",IF(K182&lt;=0,"Paid",IF(J182&gt;0,"Partial","Pending")))</f>
        <v/>
      </c>
    </row>
    <row r="183">
      <c r="B183" s="12" t="n"/>
      <c r="F183" s="10" t="n"/>
      <c r="G183" s="10" t="n"/>
      <c r="H183" s="10" t="n"/>
      <c r="I183" s="10">
        <f>IF(OR(E183="",F183=""),"",E183*F183-N(G183)+N(H183))</f>
        <v/>
      </c>
      <c r="J183" s="10" t="n"/>
      <c r="K183" s="10">
        <f>IF(I183="","",I183-N(J183))</f>
        <v/>
      </c>
      <c r="L183">
        <f>IF(I183="","",IF(K183&lt;=0,"Paid",IF(J183&gt;0,"Partial","Pending")))</f>
        <v/>
      </c>
    </row>
    <row r="184">
      <c r="B184" s="12" t="n"/>
      <c r="F184" s="10" t="n"/>
      <c r="G184" s="10" t="n"/>
      <c r="H184" s="10" t="n"/>
      <c r="I184" s="10">
        <f>IF(OR(E184="",F184=""),"",E184*F184-N(G184)+N(H184))</f>
        <v/>
      </c>
      <c r="J184" s="10" t="n"/>
      <c r="K184" s="10">
        <f>IF(I184="","",I184-N(J184))</f>
        <v/>
      </c>
      <c r="L184">
        <f>IF(I184="","",IF(K184&lt;=0,"Paid",IF(J184&gt;0,"Partial","Pending")))</f>
        <v/>
      </c>
    </row>
    <row r="185">
      <c r="B185" s="12" t="n"/>
      <c r="F185" s="10" t="n"/>
      <c r="G185" s="10" t="n"/>
      <c r="H185" s="10" t="n"/>
      <c r="I185" s="10">
        <f>IF(OR(E185="",F185=""),"",E185*F185-N(G185)+N(H185))</f>
        <v/>
      </c>
      <c r="J185" s="10" t="n"/>
      <c r="K185" s="10">
        <f>IF(I185="","",I185-N(J185))</f>
        <v/>
      </c>
      <c r="L185">
        <f>IF(I185="","",IF(K185&lt;=0,"Paid",IF(J185&gt;0,"Partial","Pending")))</f>
        <v/>
      </c>
    </row>
    <row r="186">
      <c r="B186" s="12" t="n"/>
      <c r="F186" s="10" t="n"/>
      <c r="G186" s="10" t="n"/>
      <c r="H186" s="10" t="n"/>
      <c r="I186" s="10">
        <f>IF(OR(E186="",F186=""),"",E186*F186-N(G186)+N(H186))</f>
        <v/>
      </c>
      <c r="J186" s="10" t="n"/>
      <c r="K186" s="10">
        <f>IF(I186="","",I186-N(J186))</f>
        <v/>
      </c>
      <c r="L186">
        <f>IF(I186="","",IF(K186&lt;=0,"Paid",IF(J186&gt;0,"Partial","Pending")))</f>
        <v/>
      </c>
    </row>
    <row r="187">
      <c r="B187" s="12" t="n"/>
      <c r="F187" s="10" t="n"/>
      <c r="G187" s="10" t="n"/>
      <c r="H187" s="10" t="n"/>
      <c r="I187" s="10">
        <f>IF(OR(E187="",F187=""),"",E187*F187-N(G187)+N(H187))</f>
        <v/>
      </c>
      <c r="J187" s="10" t="n"/>
      <c r="K187" s="10">
        <f>IF(I187="","",I187-N(J187))</f>
        <v/>
      </c>
      <c r="L187">
        <f>IF(I187="","",IF(K187&lt;=0,"Paid",IF(J187&gt;0,"Partial","Pending")))</f>
        <v/>
      </c>
    </row>
    <row r="188">
      <c r="B188" s="12" t="n"/>
      <c r="F188" s="10" t="n"/>
      <c r="G188" s="10" t="n"/>
      <c r="H188" s="10" t="n"/>
      <c r="I188" s="10">
        <f>IF(OR(E188="",F188=""),"",E188*F188-N(G188)+N(H188))</f>
        <v/>
      </c>
      <c r="J188" s="10" t="n"/>
      <c r="K188" s="10">
        <f>IF(I188="","",I188-N(J188))</f>
        <v/>
      </c>
      <c r="L188">
        <f>IF(I188="","",IF(K188&lt;=0,"Paid",IF(J188&gt;0,"Partial","Pending")))</f>
        <v/>
      </c>
    </row>
    <row r="189">
      <c r="B189" s="12" t="n"/>
      <c r="F189" s="10" t="n"/>
      <c r="G189" s="10" t="n"/>
      <c r="H189" s="10" t="n"/>
      <c r="I189" s="10">
        <f>IF(OR(E189="",F189=""),"",E189*F189-N(G189)+N(H189))</f>
        <v/>
      </c>
      <c r="J189" s="10" t="n"/>
      <c r="K189" s="10">
        <f>IF(I189="","",I189-N(J189))</f>
        <v/>
      </c>
      <c r="L189">
        <f>IF(I189="","",IF(K189&lt;=0,"Paid",IF(J189&gt;0,"Partial","Pending")))</f>
        <v/>
      </c>
    </row>
    <row r="190">
      <c r="B190" s="12" t="n"/>
      <c r="F190" s="10" t="n"/>
      <c r="G190" s="10" t="n"/>
      <c r="H190" s="10" t="n"/>
      <c r="I190" s="10">
        <f>IF(OR(E190="",F190=""),"",E190*F190-N(G190)+N(H190))</f>
        <v/>
      </c>
      <c r="J190" s="10" t="n"/>
      <c r="K190" s="10">
        <f>IF(I190="","",I190-N(J190))</f>
        <v/>
      </c>
      <c r="L190">
        <f>IF(I190="","",IF(K190&lt;=0,"Paid",IF(J190&gt;0,"Partial","Pending")))</f>
        <v/>
      </c>
    </row>
    <row r="191">
      <c r="B191" s="12" t="n"/>
      <c r="F191" s="10" t="n"/>
      <c r="G191" s="10" t="n"/>
      <c r="H191" s="10" t="n"/>
      <c r="I191" s="10">
        <f>IF(OR(E191="",F191=""),"",E191*F191-N(G191)+N(H191))</f>
        <v/>
      </c>
      <c r="J191" s="10" t="n"/>
      <c r="K191" s="10">
        <f>IF(I191="","",I191-N(J191))</f>
        <v/>
      </c>
      <c r="L191">
        <f>IF(I191="","",IF(K191&lt;=0,"Paid",IF(J191&gt;0,"Partial","Pending")))</f>
        <v/>
      </c>
    </row>
    <row r="192">
      <c r="B192" s="12" t="n"/>
      <c r="F192" s="10" t="n"/>
      <c r="G192" s="10" t="n"/>
      <c r="H192" s="10" t="n"/>
      <c r="I192" s="10">
        <f>IF(OR(E192="",F192=""),"",E192*F192-N(G192)+N(H192))</f>
        <v/>
      </c>
      <c r="J192" s="10" t="n"/>
      <c r="K192" s="10">
        <f>IF(I192="","",I192-N(J192))</f>
        <v/>
      </c>
      <c r="L192">
        <f>IF(I192="","",IF(K192&lt;=0,"Paid",IF(J192&gt;0,"Partial","Pending")))</f>
        <v/>
      </c>
    </row>
    <row r="193">
      <c r="B193" s="12" t="n"/>
      <c r="F193" s="10" t="n"/>
      <c r="G193" s="10" t="n"/>
      <c r="H193" s="10" t="n"/>
      <c r="I193" s="10">
        <f>IF(OR(E193="",F193=""),"",E193*F193-N(G193)+N(H193))</f>
        <v/>
      </c>
      <c r="J193" s="10" t="n"/>
      <c r="K193" s="10">
        <f>IF(I193="","",I193-N(J193))</f>
        <v/>
      </c>
      <c r="L193">
        <f>IF(I193="","",IF(K193&lt;=0,"Paid",IF(J193&gt;0,"Partial","Pending")))</f>
        <v/>
      </c>
    </row>
    <row r="194">
      <c r="B194" s="12" t="n"/>
      <c r="F194" s="10" t="n"/>
      <c r="G194" s="10" t="n"/>
      <c r="H194" s="10" t="n"/>
      <c r="I194" s="10">
        <f>IF(OR(E194="",F194=""),"",E194*F194-N(G194)+N(H194))</f>
        <v/>
      </c>
      <c r="J194" s="10" t="n"/>
      <c r="K194" s="10">
        <f>IF(I194="","",I194-N(J194))</f>
        <v/>
      </c>
      <c r="L194">
        <f>IF(I194="","",IF(K194&lt;=0,"Paid",IF(J194&gt;0,"Partial","Pending")))</f>
        <v/>
      </c>
    </row>
    <row r="195">
      <c r="B195" s="12" t="n"/>
      <c r="F195" s="10" t="n"/>
      <c r="G195" s="10" t="n"/>
      <c r="H195" s="10" t="n"/>
      <c r="I195" s="10">
        <f>IF(OR(E195="",F195=""),"",E195*F195-N(G195)+N(H195))</f>
        <v/>
      </c>
      <c r="J195" s="10" t="n"/>
      <c r="K195" s="10">
        <f>IF(I195="","",I195-N(J195))</f>
        <v/>
      </c>
      <c r="L195">
        <f>IF(I195="","",IF(K195&lt;=0,"Paid",IF(J195&gt;0,"Partial","Pending")))</f>
        <v/>
      </c>
    </row>
    <row r="196">
      <c r="B196" s="12" t="n"/>
      <c r="F196" s="10" t="n"/>
      <c r="G196" s="10" t="n"/>
      <c r="H196" s="10" t="n"/>
      <c r="I196" s="10">
        <f>IF(OR(E196="",F196=""),"",E196*F196-N(G196)+N(H196))</f>
        <v/>
      </c>
      <c r="J196" s="10" t="n"/>
      <c r="K196" s="10">
        <f>IF(I196="","",I196-N(J196))</f>
        <v/>
      </c>
      <c r="L196">
        <f>IF(I196="","",IF(K196&lt;=0,"Paid",IF(J196&gt;0,"Partial","Pending")))</f>
        <v/>
      </c>
    </row>
    <row r="197">
      <c r="B197" s="12" t="n"/>
      <c r="F197" s="10" t="n"/>
      <c r="G197" s="10" t="n"/>
      <c r="H197" s="10" t="n"/>
      <c r="I197" s="10">
        <f>IF(OR(E197="",F197=""),"",E197*F197-N(G197)+N(H197))</f>
        <v/>
      </c>
      <c r="J197" s="10" t="n"/>
      <c r="K197" s="10">
        <f>IF(I197="","",I197-N(J197))</f>
        <v/>
      </c>
      <c r="L197">
        <f>IF(I197="","",IF(K197&lt;=0,"Paid",IF(J197&gt;0,"Partial","Pending")))</f>
        <v/>
      </c>
    </row>
    <row r="198">
      <c r="B198" s="12" t="n"/>
      <c r="F198" s="10" t="n"/>
      <c r="G198" s="10" t="n"/>
      <c r="H198" s="10" t="n"/>
      <c r="I198" s="10">
        <f>IF(OR(E198="",F198=""),"",E198*F198-N(G198)+N(H198))</f>
        <v/>
      </c>
      <c r="J198" s="10" t="n"/>
      <c r="K198" s="10">
        <f>IF(I198="","",I198-N(J198))</f>
        <v/>
      </c>
      <c r="L198">
        <f>IF(I198="","",IF(K198&lt;=0,"Paid",IF(J198&gt;0,"Partial","Pending")))</f>
        <v/>
      </c>
    </row>
    <row r="199">
      <c r="B199" s="12" t="n"/>
      <c r="F199" s="10" t="n"/>
      <c r="G199" s="10" t="n"/>
      <c r="H199" s="10" t="n"/>
      <c r="I199" s="10">
        <f>IF(OR(E199="",F199=""),"",E199*F199-N(G199)+N(H199))</f>
        <v/>
      </c>
      <c r="J199" s="10" t="n"/>
      <c r="K199" s="10">
        <f>IF(I199="","",I199-N(J199))</f>
        <v/>
      </c>
      <c r="L199">
        <f>IF(I199="","",IF(K199&lt;=0,"Paid",IF(J199&gt;0,"Partial","Pending")))</f>
        <v/>
      </c>
    </row>
    <row r="200">
      <c r="B200" s="12" t="n"/>
      <c r="F200" s="10" t="n"/>
      <c r="G200" s="10" t="n"/>
      <c r="H200" s="10" t="n"/>
      <c r="I200" s="10">
        <f>IF(OR(E200="",F200=""),"",E200*F200-N(G200)+N(H200))</f>
        <v/>
      </c>
      <c r="J200" s="10" t="n"/>
      <c r="K200" s="10">
        <f>IF(I200="","",I200-N(J200))</f>
        <v/>
      </c>
      <c r="L200">
        <f>IF(I200="","",IF(K200&lt;=0,"Paid",IF(J200&gt;0,"Partial","Pending")))</f>
        <v/>
      </c>
    </row>
    <row r="201">
      <c r="B201" s="12" t="n"/>
      <c r="F201" s="10" t="n"/>
      <c r="G201" s="10" t="n"/>
      <c r="H201" s="10" t="n"/>
      <c r="I201" s="10">
        <f>IF(OR(E201="",F201=""),"",E201*F201-N(G201)+N(H201))</f>
        <v/>
      </c>
      <c r="J201" s="10" t="n"/>
      <c r="K201" s="10">
        <f>IF(I201="","",I201-N(J201))</f>
        <v/>
      </c>
      <c r="L201">
        <f>IF(I201="","",IF(K201&lt;=0,"Paid",IF(J201&gt;0,"Partial","Pending")))</f>
        <v/>
      </c>
    </row>
    <row r="202">
      <c r="B202" s="12" t="n"/>
      <c r="F202" s="10" t="n"/>
      <c r="G202" s="10" t="n"/>
      <c r="H202" s="10" t="n"/>
      <c r="I202" s="10">
        <f>IF(OR(E202="",F202=""),"",E202*F202-N(G202)+N(H202))</f>
        <v/>
      </c>
      <c r="J202" s="10" t="n"/>
      <c r="K202" s="10">
        <f>IF(I202="","",I202-N(J202))</f>
        <v/>
      </c>
      <c r="L202">
        <f>IF(I202="","",IF(K202&lt;=0,"Paid",IF(J202&gt;0,"Partial","Pending")))</f>
        <v/>
      </c>
    </row>
    <row r="203">
      <c r="B203" s="12" t="n"/>
      <c r="F203" s="10" t="n"/>
      <c r="G203" s="10" t="n"/>
      <c r="H203" s="10" t="n"/>
      <c r="I203" s="10">
        <f>IF(OR(E203="",F203=""),"",E203*F203-N(G203)+N(H203))</f>
        <v/>
      </c>
      <c r="J203" s="10" t="n"/>
      <c r="K203" s="10">
        <f>IF(I203="","",I203-N(J203))</f>
        <v/>
      </c>
      <c r="L203">
        <f>IF(I203="","",IF(K203&lt;=0,"Paid",IF(J203&gt;0,"Partial","Pending")))</f>
        <v/>
      </c>
    </row>
    <row r="204">
      <c r="B204" s="12" t="n"/>
      <c r="F204" s="10" t="n"/>
      <c r="G204" s="10" t="n"/>
      <c r="H204" s="10" t="n"/>
      <c r="I204" s="10">
        <f>IF(OR(E204="",F204=""),"",E204*F204-N(G204)+N(H204))</f>
        <v/>
      </c>
      <c r="J204" s="10" t="n"/>
      <c r="K204" s="10">
        <f>IF(I204="","",I204-N(J204))</f>
        <v/>
      </c>
      <c r="L204">
        <f>IF(I204="","",IF(K204&lt;=0,"Paid",IF(J204&gt;0,"Partial","Pending")))</f>
        <v/>
      </c>
    </row>
    <row r="205">
      <c r="B205" s="12" t="n"/>
      <c r="F205" s="10" t="n"/>
      <c r="G205" s="10" t="n"/>
      <c r="H205" s="10" t="n"/>
      <c r="I205" s="10">
        <f>IF(OR(E205="",F205=""),"",E205*F205-N(G205)+N(H205))</f>
        <v/>
      </c>
      <c r="J205" s="10" t="n"/>
      <c r="K205" s="10">
        <f>IF(I205="","",I205-N(J205))</f>
        <v/>
      </c>
      <c r="L205">
        <f>IF(I205="","",IF(K205&lt;=0,"Paid",IF(J205&gt;0,"Partial","Pending")))</f>
        <v/>
      </c>
    </row>
    <row r="206">
      <c r="B206" s="12" t="n"/>
      <c r="F206" s="10" t="n"/>
      <c r="G206" s="10" t="n"/>
      <c r="H206" s="10" t="n"/>
      <c r="I206" s="10">
        <f>IF(OR(E206="",F206=""),"",E206*F206-N(G206)+N(H206))</f>
        <v/>
      </c>
      <c r="J206" s="10" t="n"/>
      <c r="K206" s="10">
        <f>IF(I206="","",I206-N(J206))</f>
        <v/>
      </c>
      <c r="L206">
        <f>IF(I206="","",IF(K206&lt;=0,"Paid",IF(J206&gt;0,"Partial","Pending")))</f>
        <v/>
      </c>
    </row>
    <row r="207">
      <c r="B207" s="12" t="n"/>
      <c r="F207" s="10" t="n"/>
      <c r="G207" s="10" t="n"/>
      <c r="H207" s="10" t="n"/>
      <c r="I207" s="10">
        <f>IF(OR(E207="",F207=""),"",E207*F207-N(G207)+N(H207))</f>
        <v/>
      </c>
      <c r="J207" s="10" t="n"/>
      <c r="K207" s="10">
        <f>IF(I207="","",I207-N(J207))</f>
        <v/>
      </c>
      <c r="L207">
        <f>IF(I207="","",IF(K207&lt;=0,"Paid",IF(J207&gt;0,"Partial","Pending")))</f>
        <v/>
      </c>
    </row>
    <row r="208">
      <c r="B208" s="12" t="n"/>
      <c r="F208" s="10" t="n"/>
      <c r="G208" s="10" t="n"/>
      <c r="H208" s="10" t="n"/>
      <c r="I208" s="10">
        <f>IF(OR(E208="",F208=""),"",E208*F208-N(G208)+N(H208))</f>
        <v/>
      </c>
      <c r="J208" s="10" t="n"/>
      <c r="K208" s="10">
        <f>IF(I208="","",I208-N(J208))</f>
        <v/>
      </c>
      <c r="L208">
        <f>IF(I208="","",IF(K208&lt;=0,"Paid",IF(J208&gt;0,"Partial","Pending")))</f>
        <v/>
      </c>
    </row>
    <row r="209">
      <c r="B209" s="12" t="n"/>
      <c r="F209" s="10" t="n"/>
      <c r="G209" s="10" t="n"/>
      <c r="H209" s="10" t="n"/>
      <c r="I209" s="10">
        <f>IF(OR(E209="",F209=""),"",E209*F209-N(G209)+N(H209))</f>
        <v/>
      </c>
      <c r="J209" s="10" t="n"/>
      <c r="K209" s="10">
        <f>IF(I209="","",I209-N(J209))</f>
        <v/>
      </c>
      <c r="L209">
        <f>IF(I209="","",IF(K209&lt;=0,"Paid",IF(J209&gt;0,"Partial","Pending")))</f>
        <v/>
      </c>
    </row>
    <row r="210">
      <c r="B210" s="12" t="n"/>
      <c r="F210" s="10" t="n"/>
      <c r="G210" s="10" t="n"/>
      <c r="H210" s="10" t="n"/>
      <c r="I210" s="10">
        <f>IF(OR(E210="",F210=""),"",E210*F210-N(G210)+N(H210))</f>
        <v/>
      </c>
      <c r="J210" s="10" t="n"/>
      <c r="K210" s="10">
        <f>IF(I210="","",I210-N(J210))</f>
        <v/>
      </c>
      <c r="L210">
        <f>IF(I210="","",IF(K210&lt;=0,"Paid",IF(J210&gt;0,"Partial","Pending")))</f>
        <v/>
      </c>
    </row>
    <row r="211">
      <c r="B211" s="12" t="n"/>
      <c r="F211" s="10" t="n"/>
      <c r="G211" s="10" t="n"/>
      <c r="H211" s="10" t="n"/>
      <c r="I211" s="10">
        <f>IF(OR(E211="",F211=""),"",E211*F211-N(G211)+N(H211))</f>
        <v/>
      </c>
      <c r="J211" s="10" t="n"/>
      <c r="K211" s="10">
        <f>IF(I211="","",I211-N(J211))</f>
        <v/>
      </c>
      <c r="L211">
        <f>IF(I211="","",IF(K211&lt;=0,"Paid",IF(J211&gt;0,"Partial","Pending")))</f>
        <v/>
      </c>
    </row>
    <row r="212">
      <c r="B212" s="12" t="n"/>
      <c r="F212" s="10" t="n"/>
      <c r="G212" s="10" t="n"/>
      <c r="H212" s="10" t="n"/>
      <c r="I212" s="10">
        <f>IF(OR(E212="",F212=""),"",E212*F212-N(G212)+N(H212))</f>
        <v/>
      </c>
      <c r="J212" s="10" t="n"/>
      <c r="K212" s="10">
        <f>IF(I212="","",I212-N(J212))</f>
        <v/>
      </c>
      <c r="L212">
        <f>IF(I212="","",IF(K212&lt;=0,"Paid",IF(J212&gt;0,"Partial","Pending")))</f>
        <v/>
      </c>
    </row>
    <row r="213">
      <c r="B213" s="12" t="n"/>
      <c r="F213" s="10" t="n"/>
      <c r="G213" s="10" t="n"/>
      <c r="H213" s="10" t="n"/>
      <c r="I213" s="10">
        <f>IF(OR(E213="",F213=""),"",E213*F213-N(G213)+N(H213))</f>
        <v/>
      </c>
      <c r="J213" s="10" t="n"/>
      <c r="K213" s="10">
        <f>IF(I213="","",I213-N(J213))</f>
        <v/>
      </c>
      <c r="L213">
        <f>IF(I213="","",IF(K213&lt;=0,"Paid",IF(J213&gt;0,"Partial","Pending")))</f>
        <v/>
      </c>
    </row>
    <row r="214">
      <c r="B214" s="12" t="n"/>
      <c r="F214" s="10" t="n"/>
      <c r="G214" s="10" t="n"/>
      <c r="H214" s="10" t="n"/>
      <c r="I214" s="10">
        <f>IF(OR(E214="",F214=""),"",E214*F214-N(G214)+N(H214))</f>
        <v/>
      </c>
      <c r="J214" s="10" t="n"/>
      <c r="K214" s="10">
        <f>IF(I214="","",I214-N(J214))</f>
        <v/>
      </c>
      <c r="L214">
        <f>IF(I214="","",IF(K214&lt;=0,"Paid",IF(J214&gt;0,"Partial","Pending")))</f>
        <v/>
      </c>
    </row>
    <row r="215">
      <c r="B215" s="12" t="n"/>
      <c r="F215" s="10" t="n"/>
      <c r="G215" s="10" t="n"/>
      <c r="H215" s="10" t="n"/>
      <c r="I215" s="10">
        <f>IF(OR(E215="",F215=""),"",E215*F215-N(G215)+N(H215))</f>
        <v/>
      </c>
      <c r="J215" s="10" t="n"/>
      <c r="K215" s="10">
        <f>IF(I215="","",I215-N(J215))</f>
        <v/>
      </c>
      <c r="L215">
        <f>IF(I215="","",IF(K215&lt;=0,"Paid",IF(J215&gt;0,"Partial","Pending")))</f>
        <v/>
      </c>
    </row>
    <row r="216">
      <c r="B216" s="12" t="n"/>
      <c r="F216" s="10" t="n"/>
      <c r="G216" s="10" t="n"/>
      <c r="H216" s="10" t="n"/>
      <c r="I216" s="10">
        <f>IF(OR(E216="",F216=""),"",E216*F216-N(G216)+N(H216))</f>
        <v/>
      </c>
      <c r="J216" s="10" t="n"/>
      <c r="K216" s="10">
        <f>IF(I216="","",I216-N(J216))</f>
        <v/>
      </c>
      <c r="L216">
        <f>IF(I216="","",IF(K216&lt;=0,"Paid",IF(J216&gt;0,"Partial","Pending")))</f>
        <v/>
      </c>
    </row>
    <row r="217">
      <c r="B217" s="12" t="n"/>
      <c r="F217" s="10" t="n"/>
      <c r="G217" s="10" t="n"/>
      <c r="H217" s="10" t="n"/>
      <c r="I217" s="10">
        <f>IF(OR(E217="",F217=""),"",E217*F217-N(G217)+N(H217))</f>
        <v/>
      </c>
      <c r="J217" s="10" t="n"/>
      <c r="K217" s="10">
        <f>IF(I217="","",I217-N(J217))</f>
        <v/>
      </c>
      <c r="L217">
        <f>IF(I217="","",IF(K217&lt;=0,"Paid",IF(J217&gt;0,"Partial","Pending")))</f>
        <v/>
      </c>
    </row>
    <row r="218">
      <c r="B218" s="12" t="n"/>
      <c r="F218" s="10" t="n"/>
      <c r="G218" s="10" t="n"/>
      <c r="H218" s="10" t="n"/>
      <c r="I218" s="10">
        <f>IF(OR(E218="",F218=""),"",E218*F218-N(G218)+N(H218))</f>
        <v/>
      </c>
      <c r="J218" s="10" t="n"/>
      <c r="K218" s="10">
        <f>IF(I218="","",I218-N(J218))</f>
        <v/>
      </c>
      <c r="L218">
        <f>IF(I218="","",IF(K218&lt;=0,"Paid",IF(J218&gt;0,"Partial","Pending")))</f>
        <v/>
      </c>
    </row>
    <row r="219">
      <c r="B219" s="12" t="n"/>
      <c r="F219" s="10" t="n"/>
      <c r="G219" s="10" t="n"/>
      <c r="H219" s="10" t="n"/>
      <c r="I219" s="10">
        <f>IF(OR(E219="",F219=""),"",E219*F219-N(G219)+N(H219))</f>
        <v/>
      </c>
      <c r="J219" s="10" t="n"/>
      <c r="K219" s="10">
        <f>IF(I219="","",I219-N(J219))</f>
        <v/>
      </c>
      <c r="L219">
        <f>IF(I219="","",IF(K219&lt;=0,"Paid",IF(J219&gt;0,"Partial","Pending")))</f>
        <v/>
      </c>
    </row>
    <row r="220">
      <c r="B220" s="12" t="n"/>
      <c r="F220" s="10" t="n"/>
      <c r="G220" s="10" t="n"/>
      <c r="H220" s="10" t="n"/>
      <c r="I220" s="10">
        <f>IF(OR(E220="",F220=""),"",E220*F220-N(G220)+N(H220))</f>
        <v/>
      </c>
      <c r="J220" s="10" t="n"/>
      <c r="K220" s="10">
        <f>IF(I220="","",I220-N(J220))</f>
        <v/>
      </c>
      <c r="L220">
        <f>IF(I220="","",IF(K220&lt;=0,"Paid",IF(J220&gt;0,"Partial","Pending")))</f>
        <v/>
      </c>
    </row>
    <row r="221">
      <c r="B221" s="12" t="n"/>
      <c r="F221" s="10" t="n"/>
      <c r="G221" s="10" t="n"/>
      <c r="H221" s="10" t="n"/>
      <c r="I221" s="10">
        <f>IF(OR(E221="",F221=""),"",E221*F221-N(G221)+N(H221))</f>
        <v/>
      </c>
      <c r="J221" s="10" t="n"/>
      <c r="K221" s="10">
        <f>IF(I221="","",I221-N(J221))</f>
        <v/>
      </c>
      <c r="L221">
        <f>IF(I221="","",IF(K221&lt;=0,"Paid",IF(J221&gt;0,"Partial","Pending")))</f>
        <v/>
      </c>
    </row>
    <row r="222">
      <c r="B222" s="12" t="n"/>
      <c r="F222" s="10" t="n"/>
      <c r="G222" s="10" t="n"/>
      <c r="H222" s="10" t="n"/>
      <c r="I222" s="10">
        <f>IF(OR(E222="",F222=""),"",E222*F222-N(G222)+N(H222))</f>
        <v/>
      </c>
      <c r="J222" s="10" t="n"/>
      <c r="K222" s="10">
        <f>IF(I222="","",I222-N(J222))</f>
        <v/>
      </c>
      <c r="L222">
        <f>IF(I222="","",IF(K222&lt;=0,"Paid",IF(J222&gt;0,"Partial","Pending")))</f>
        <v/>
      </c>
    </row>
    <row r="223">
      <c r="B223" s="12" t="n"/>
      <c r="F223" s="10" t="n"/>
      <c r="G223" s="10" t="n"/>
      <c r="H223" s="10" t="n"/>
      <c r="I223" s="10">
        <f>IF(OR(E223="",F223=""),"",E223*F223-N(G223)+N(H223))</f>
        <v/>
      </c>
      <c r="J223" s="10" t="n"/>
      <c r="K223" s="10">
        <f>IF(I223="","",I223-N(J223))</f>
        <v/>
      </c>
      <c r="L223">
        <f>IF(I223="","",IF(K223&lt;=0,"Paid",IF(J223&gt;0,"Partial","Pending")))</f>
        <v/>
      </c>
    </row>
    <row r="224">
      <c r="B224" s="12" t="n"/>
      <c r="F224" s="10" t="n"/>
      <c r="G224" s="10" t="n"/>
      <c r="H224" s="10" t="n"/>
      <c r="I224" s="10">
        <f>IF(OR(E224="",F224=""),"",E224*F224-N(G224)+N(H224))</f>
        <v/>
      </c>
      <c r="J224" s="10" t="n"/>
      <c r="K224" s="10">
        <f>IF(I224="","",I224-N(J224))</f>
        <v/>
      </c>
      <c r="L224">
        <f>IF(I224="","",IF(K224&lt;=0,"Paid",IF(J224&gt;0,"Partial","Pending")))</f>
        <v/>
      </c>
    </row>
    <row r="225">
      <c r="B225" s="12" t="n"/>
      <c r="F225" s="10" t="n"/>
      <c r="G225" s="10" t="n"/>
      <c r="H225" s="10" t="n"/>
      <c r="I225" s="10">
        <f>IF(OR(E225="",F225=""),"",E225*F225-N(G225)+N(H225))</f>
        <v/>
      </c>
      <c r="J225" s="10" t="n"/>
      <c r="K225" s="10">
        <f>IF(I225="","",I225-N(J225))</f>
        <v/>
      </c>
      <c r="L225">
        <f>IF(I225="","",IF(K225&lt;=0,"Paid",IF(J225&gt;0,"Partial","Pending")))</f>
        <v/>
      </c>
    </row>
    <row r="226">
      <c r="B226" s="12" t="n"/>
      <c r="F226" s="10" t="n"/>
      <c r="G226" s="10" t="n"/>
      <c r="H226" s="10" t="n"/>
      <c r="I226" s="10">
        <f>IF(OR(E226="",F226=""),"",E226*F226-N(G226)+N(H226))</f>
        <v/>
      </c>
      <c r="J226" s="10" t="n"/>
      <c r="K226" s="10">
        <f>IF(I226="","",I226-N(J226))</f>
        <v/>
      </c>
      <c r="L226">
        <f>IF(I226="","",IF(K226&lt;=0,"Paid",IF(J226&gt;0,"Partial","Pending")))</f>
        <v/>
      </c>
    </row>
    <row r="227">
      <c r="B227" s="12" t="n"/>
      <c r="F227" s="10" t="n"/>
      <c r="G227" s="10" t="n"/>
      <c r="H227" s="10" t="n"/>
      <c r="I227" s="10">
        <f>IF(OR(E227="",F227=""),"",E227*F227-N(G227)+N(H227))</f>
        <v/>
      </c>
      <c r="J227" s="10" t="n"/>
      <c r="K227" s="10">
        <f>IF(I227="","",I227-N(J227))</f>
        <v/>
      </c>
      <c r="L227">
        <f>IF(I227="","",IF(K227&lt;=0,"Paid",IF(J227&gt;0,"Partial","Pending")))</f>
        <v/>
      </c>
    </row>
    <row r="228">
      <c r="B228" s="12" t="n"/>
      <c r="F228" s="10" t="n"/>
      <c r="G228" s="10" t="n"/>
      <c r="H228" s="10" t="n"/>
      <c r="I228" s="10">
        <f>IF(OR(E228="",F228=""),"",E228*F228-N(G228)+N(H228))</f>
        <v/>
      </c>
      <c r="J228" s="10" t="n"/>
      <c r="K228" s="10">
        <f>IF(I228="","",I228-N(J228))</f>
        <v/>
      </c>
      <c r="L228">
        <f>IF(I228="","",IF(K228&lt;=0,"Paid",IF(J228&gt;0,"Partial","Pending")))</f>
        <v/>
      </c>
    </row>
    <row r="229">
      <c r="B229" s="12" t="n"/>
      <c r="F229" s="10" t="n"/>
      <c r="G229" s="10" t="n"/>
      <c r="H229" s="10" t="n"/>
      <c r="I229" s="10">
        <f>IF(OR(E229="",F229=""),"",E229*F229-N(G229)+N(H229))</f>
        <v/>
      </c>
      <c r="J229" s="10" t="n"/>
      <c r="K229" s="10">
        <f>IF(I229="","",I229-N(J229))</f>
        <v/>
      </c>
      <c r="L229">
        <f>IF(I229="","",IF(K229&lt;=0,"Paid",IF(J229&gt;0,"Partial","Pending")))</f>
        <v/>
      </c>
    </row>
    <row r="230">
      <c r="B230" s="12" t="n"/>
      <c r="F230" s="10" t="n"/>
      <c r="G230" s="10" t="n"/>
      <c r="H230" s="10" t="n"/>
      <c r="I230" s="10">
        <f>IF(OR(E230="",F230=""),"",E230*F230-N(G230)+N(H230))</f>
        <v/>
      </c>
      <c r="J230" s="10" t="n"/>
      <c r="K230" s="10">
        <f>IF(I230="","",I230-N(J230))</f>
        <v/>
      </c>
      <c r="L230">
        <f>IF(I230="","",IF(K230&lt;=0,"Paid",IF(J230&gt;0,"Partial","Pending")))</f>
        <v/>
      </c>
    </row>
    <row r="231">
      <c r="B231" s="12" t="n"/>
      <c r="F231" s="10" t="n"/>
      <c r="G231" s="10" t="n"/>
      <c r="H231" s="10" t="n"/>
      <c r="I231" s="10">
        <f>IF(OR(E231="",F231=""),"",E231*F231-N(G231)+N(H231))</f>
        <v/>
      </c>
      <c r="J231" s="10" t="n"/>
      <c r="K231" s="10">
        <f>IF(I231="","",I231-N(J231))</f>
        <v/>
      </c>
      <c r="L231">
        <f>IF(I231="","",IF(K231&lt;=0,"Paid",IF(J231&gt;0,"Partial","Pending")))</f>
        <v/>
      </c>
    </row>
    <row r="232">
      <c r="B232" s="12" t="n"/>
      <c r="F232" s="10" t="n"/>
      <c r="G232" s="10" t="n"/>
      <c r="H232" s="10" t="n"/>
      <c r="I232" s="10">
        <f>IF(OR(E232="",F232=""),"",E232*F232-N(G232)+N(H232))</f>
        <v/>
      </c>
      <c r="J232" s="10" t="n"/>
      <c r="K232" s="10">
        <f>IF(I232="","",I232-N(J232))</f>
        <v/>
      </c>
      <c r="L232">
        <f>IF(I232="","",IF(K232&lt;=0,"Paid",IF(J232&gt;0,"Partial","Pending")))</f>
        <v/>
      </c>
    </row>
    <row r="233">
      <c r="B233" s="12" t="n"/>
      <c r="F233" s="10" t="n"/>
      <c r="G233" s="10" t="n"/>
      <c r="H233" s="10" t="n"/>
      <c r="I233" s="10">
        <f>IF(OR(E233="",F233=""),"",E233*F233-N(G233)+N(H233))</f>
        <v/>
      </c>
      <c r="J233" s="10" t="n"/>
      <c r="K233" s="10">
        <f>IF(I233="","",I233-N(J233))</f>
        <v/>
      </c>
      <c r="L233">
        <f>IF(I233="","",IF(K233&lt;=0,"Paid",IF(J233&gt;0,"Partial","Pending")))</f>
        <v/>
      </c>
    </row>
    <row r="234">
      <c r="B234" s="12" t="n"/>
      <c r="F234" s="10" t="n"/>
      <c r="G234" s="10" t="n"/>
      <c r="H234" s="10" t="n"/>
      <c r="I234" s="10">
        <f>IF(OR(E234="",F234=""),"",E234*F234-N(G234)+N(H234))</f>
        <v/>
      </c>
      <c r="J234" s="10" t="n"/>
      <c r="K234" s="10">
        <f>IF(I234="","",I234-N(J234))</f>
        <v/>
      </c>
      <c r="L234">
        <f>IF(I234="","",IF(K234&lt;=0,"Paid",IF(J234&gt;0,"Partial","Pending")))</f>
        <v/>
      </c>
    </row>
    <row r="235">
      <c r="B235" s="12" t="n"/>
      <c r="F235" s="10" t="n"/>
      <c r="G235" s="10" t="n"/>
      <c r="H235" s="10" t="n"/>
      <c r="I235" s="10">
        <f>IF(OR(E235="",F235=""),"",E235*F235-N(G235)+N(H235))</f>
        <v/>
      </c>
      <c r="J235" s="10" t="n"/>
      <c r="K235" s="10">
        <f>IF(I235="","",I235-N(J235))</f>
        <v/>
      </c>
      <c r="L235">
        <f>IF(I235="","",IF(K235&lt;=0,"Paid",IF(J235&gt;0,"Partial","Pending")))</f>
        <v/>
      </c>
    </row>
    <row r="236">
      <c r="B236" s="12" t="n"/>
      <c r="F236" s="10" t="n"/>
      <c r="G236" s="10" t="n"/>
      <c r="H236" s="10" t="n"/>
      <c r="I236" s="10">
        <f>IF(OR(E236="",F236=""),"",E236*F236-N(G236)+N(H236))</f>
        <v/>
      </c>
      <c r="J236" s="10" t="n"/>
      <c r="K236" s="10">
        <f>IF(I236="","",I236-N(J236))</f>
        <v/>
      </c>
      <c r="L236">
        <f>IF(I236="","",IF(K236&lt;=0,"Paid",IF(J236&gt;0,"Partial","Pending")))</f>
        <v/>
      </c>
    </row>
    <row r="237">
      <c r="B237" s="12" t="n"/>
      <c r="F237" s="10" t="n"/>
      <c r="G237" s="10" t="n"/>
      <c r="H237" s="10" t="n"/>
      <c r="I237" s="10">
        <f>IF(OR(E237="",F237=""),"",E237*F237-N(G237)+N(H237))</f>
        <v/>
      </c>
      <c r="J237" s="10" t="n"/>
      <c r="K237" s="10">
        <f>IF(I237="","",I237-N(J237))</f>
        <v/>
      </c>
      <c r="L237">
        <f>IF(I237="","",IF(K237&lt;=0,"Paid",IF(J237&gt;0,"Partial","Pending")))</f>
        <v/>
      </c>
    </row>
    <row r="238">
      <c r="B238" s="12" t="n"/>
      <c r="F238" s="10" t="n"/>
      <c r="G238" s="10" t="n"/>
      <c r="H238" s="10" t="n"/>
      <c r="I238" s="10">
        <f>IF(OR(E238="",F238=""),"",E238*F238-N(G238)+N(H238))</f>
        <v/>
      </c>
      <c r="J238" s="10" t="n"/>
      <c r="K238" s="10">
        <f>IF(I238="","",I238-N(J238))</f>
        <v/>
      </c>
      <c r="L238">
        <f>IF(I238="","",IF(K238&lt;=0,"Paid",IF(J238&gt;0,"Partial","Pending")))</f>
        <v/>
      </c>
    </row>
    <row r="239">
      <c r="B239" s="12" t="n"/>
      <c r="F239" s="10" t="n"/>
      <c r="G239" s="10" t="n"/>
      <c r="H239" s="10" t="n"/>
      <c r="I239" s="10">
        <f>IF(OR(E239="",F239=""),"",E239*F239-N(G239)+N(H239))</f>
        <v/>
      </c>
      <c r="J239" s="10" t="n"/>
      <c r="K239" s="10">
        <f>IF(I239="","",I239-N(J239))</f>
        <v/>
      </c>
      <c r="L239">
        <f>IF(I239="","",IF(K239&lt;=0,"Paid",IF(J239&gt;0,"Partial","Pending")))</f>
        <v/>
      </c>
    </row>
    <row r="240">
      <c r="B240" s="12" t="n"/>
      <c r="F240" s="10" t="n"/>
      <c r="G240" s="10" t="n"/>
      <c r="H240" s="10" t="n"/>
      <c r="I240" s="10">
        <f>IF(OR(E240="",F240=""),"",E240*F240-N(G240)+N(H240))</f>
        <v/>
      </c>
      <c r="J240" s="10" t="n"/>
      <c r="K240" s="10">
        <f>IF(I240="","",I240-N(J240))</f>
        <v/>
      </c>
      <c r="L240">
        <f>IF(I240="","",IF(K240&lt;=0,"Paid",IF(J240&gt;0,"Partial","Pending")))</f>
        <v/>
      </c>
    </row>
    <row r="241">
      <c r="B241" s="12" t="n"/>
      <c r="F241" s="10" t="n"/>
      <c r="G241" s="10" t="n"/>
      <c r="H241" s="10" t="n"/>
      <c r="I241" s="10">
        <f>IF(OR(E241="",F241=""),"",E241*F241-N(G241)+N(H241))</f>
        <v/>
      </c>
      <c r="J241" s="10" t="n"/>
      <c r="K241" s="10">
        <f>IF(I241="","",I241-N(J241))</f>
        <v/>
      </c>
      <c r="L241">
        <f>IF(I241="","",IF(K241&lt;=0,"Paid",IF(J241&gt;0,"Partial","Pending")))</f>
        <v/>
      </c>
    </row>
    <row r="242">
      <c r="B242" s="12" t="n"/>
      <c r="F242" s="10" t="n"/>
      <c r="G242" s="10" t="n"/>
      <c r="H242" s="10" t="n"/>
      <c r="I242" s="10">
        <f>IF(OR(E242="",F242=""),"",E242*F242-N(G242)+N(H242))</f>
        <v/>
      </c>
      <c r="J242" s="10" t="n"/>
      <c r="K242" s="10">
        <f>IF(I242="","",I242-N(J242))</f>
        <v/>
      </c>
      <c r="L242">
        <f>IF(I242="","",IF(K242&lt;=0,"Paid",IF(J242&gt;0,"Partial","Pending")))</f>
        <v/>
      </c>
    </row>
    <row r="243">
      <c r="B243" s="12" t="n"/>
      <c r="F243" s="10" t="n"/>
      <c r="G243" s="10" t="n"/>
      <c r="H243" s="10" t="n"/>
      <c r="I243" s="10">
        <f>IF(OR(E243="",F243=""),"",E243*F243-N(G243)+N(H243))</f>
        <v/>
      </c>
      <c r="J243" s="10" t="n"/>
      <c r="K243" s="10">
        <f>IF(I243="","",I243-N(J243))</f>
        <v/>
      </c>
      <c r="L243">
        <f>IF(I243="","",IF(K243&lt;=0,"Paid",IF(J243&gt;0,"Partial","Pending")))</f>
        <v/>
      </c>
    </row>
    <row r="244">
      <c r="B244" s="12" t="n"/>
      <c r="F244" s="10" t="n"/>
      <c r="G244" s="10" t="n"/>
      <c r="H244" s="10" t="n"/>
      <c r="I244" s="10">
        <f>IF(OR(E244="",F244=""),"",E244*F244-N(G244)+N(H244))</f>
        <v/>
      </c>
      <c r="J244" s="10" t="n"/>
      <c r="K244" s="10">
        <f>IF(I244="","",I244-N(J244))</f>
        <v/>
      </c>
      <c r="L244">
        <f>IF(I244="","",IF(K244&lt;=0,"Paid",IF(J244&gt;0,"Partial","Pending")))</f>
        <v/>
      </c>
    </row>
    <row r="245">
      <c r="B245" s="12" t="n"/>
      <c r="F245" s="10" t="n"/>
      <c r="G245" s="10" t="n"/>
      <c r="H245" s="10" t="n"/>
      <c r="I245" s="10">
        <f>IF(OR(E245="",F245=""),"",E245*F245-N(G245)+N(H245))</f>
        <v/>
      </c>
      <c r="J245" s="10" t="n"/>
      <c r="K245" s="10">
        <f>IF(I245="","",I245-N(J245))</f>
        <v/>
      </c>
      <c r="L245">
        <f>IF(I245="","",IF(K245&lt;=0,"Paid",IF(J245&gt;0,"Partial","Pending")))</f>
        <v/>
      </c>
    </row>
    <row r="246">
      <c r="B246" s="12" t="n"/>
      <c r="F246" s="10" t="n"/>
      <c r="G246" s="10" t="n"/>
      <c r="H246" s="10" t="n"/>
      <c r="I246" s="10">
        <f>IF(OR(E246="",F246=""),"",E246*F246-N(G246)+N(H246))</f>
        <v/>
      </c>
      <c r="J246" s="10" t="n"/>
      <c r="K246" s="10">
        <f>IF(I246="","",I246-N(J246))</f>
        <v/>
      </c>
      <c r="L246">
        <f>IF(I246="","",IF(K246&lt;=0,"Paid",IF(J246&gt;0,"Partial","Pending")))</f>
        <v/>
      </c>
    </row>
    <row r="247">
      <c r="B247" s="12" t="n"/>
      <c r="F247" s="10" t="n"/>
      <c r="G247" s="10" t="n"/>
      <c r="H247" s="10" t="n"/>
      <c r="I247" s="10">
        <f>IF(OR(E247="",F247=""),"",E247*F247-N(G247)+N(H247))</f>
        <v/>
      </c>
      <c r="J247" s="10" t="n"/>
      <c r="K247" s="10">
        <f>IF(I247="","",I247-N(J247))</f>
        <v/>
      </c>
      <c r="L247">
        <f>IF(I247="","",IF(K247&lt;=0,"Paid",IF(J247&gt;0,"Partial","Pending")))</f>
        <v/>
      </c>
    </row>
    <row r="248">
      <c r="B248" s="12" t="n"/>
      <c r="F248" s="10" t="n"/>
      <c r="G248" s="10" t="n"/>
      <c r="H248" s="10" t="n"/>
      <c r="I248" s="10">
        <f>IF(OR(E248="",F248=""),"",E248*F248-N(G248)+N(H248))</f>
        <v/>
      </c>
      <c r="J248" s="10" t="n"/>
      <c r="K248" s="10">
        <f>IF(I248="","",I248-N(J248))</f>
        <v/>
      </c>
      <c r="L248">
        <f>IF(I248="","",IF(K248&lt;=0,"Paid",IF(J248&gt;0,"Partial","Pending")))</f>
        <v/>
      </c>
    </row>
    <row r="249">
      <c r="B249" s="12" t="n"/>
      <c r="F249" s="10" t="n"/>
      <c r="G249" s="10" t="n"/>
      <c r="H249" s="10" t="n"/>
      <c r="I249" s="10">
        <f>IF(OR(E249="",F249=""),"",E249*F249-N(G249)+N(H249))</f>
        <v/>
      </c>
      <c r="J249" s="10" t="n"/>
      <c r="K249" s="10">
        <f>IF(I249="","",I249-N(J249))</f>
        <v/>
      </c>
      <c r="L249">
        <f>IF(I249="","",IF(K249&lt;=0,"Paid",IF(J249&gt;0,"Partial","Pending")))</f>
        <v/>
      </c>
    </row>
    <row r="250">
      <c r="B250" s="12" t="n"/>
      <c r="F250" s="10" t="n"/>
      <c r="G250" s="10" t="n"/>
      <c r="H250" s="10" t="n"/>
      <c r="I250" s="10">
        <f>IF(OR(E250="",F250=""),"",E250*F250-N(G250)+N(H250))</f>
        <v/>
      </c>
      <c r="J250" s="10" t="n"/>
      <c r="K250" s="10">
        <f>IF(I250="","",I250-N(J250))</f>
        <v/>
      </c>
      <c r="L250">
        <f>IF(I250="","",IF(K250&lt;=0,"Paid",IF(J250&gt;0,"Partial","Pending")))</f>
        <v/>
      </c>
    </row>
    <row r="251">
      <c r="B251" s="12" t="n"/>
      <c r="F251" s="10" t="n"/>
      <c r="G251" s="10" t="n"/>
      <c r="H251" s="10" t="n"/>
      <c r="I251" s="10">
        <f>IF(OR(E251="",F251=""),"",E251*F251-N(G251)+N(H251))</f>
        <v/>
      </c>
      <c r="J251" s="10" t="n"/>
      <c r="K251" s="10">
        <f>IF(I251="","",I251-N(J251))</f>
        <v/>
      </c>
      <c r="L251">
        <f>IF(I251="","",IF(K251&lt;=0,"Paid",IF(J251&gt;0,"Partial","Pending")))</f>
        <v/>
      </c>
    </row>
    <row r="252">
      <c r="B252" s="12" t="n"/>
      <c r="F252" s="10" t="n"/>
      <c r="G252" s="10" t="n"/>
      <c r="H252" s="10" t="n"/>
      <c r="I252" s="10">
        <f>IF(OR(E252="",F252=""),"",E252*F252-N(G252)+N(H252))</f>
        <v/>
      </c>
      <c r="J252" s="10" t="n"/>
      <c r="K252" s="10">
        <f>IF(I252="","",I252-N(J252))</f>
        <v/>
      </c>
      <c r="L252">
        <f>IF(I252="","",IF(K252&lt;=0,"Paid",IF(J252&gt;0,"Partial","Pending")))</f>
        <v/>
      </c>
    </row>
    <row r="253">
      <c r="B253" s="12" t="n"/>
      <c r="F253" s="10" t="n"/>
      <c r="G253" s="10" t="n"/>
      <c r="H253" s="10" t="n"/>
      <c r="I253" s="10">
        <f>IF(OR(E253="",F253=""),"",E253*F253-N(G253)+N(H253))</f>
        <v/>
      </c>
      <c r="J253" s="10" t="n"/>
      <c r="K253" s="10">
        <f>IF(I253="","",I253-N(J253))</f>
        <v/>
      </c>
      <c r="L253">
        <f>IF(I253="","",IF(K253&lt;=0,"Paid",IF(J253&gt;0,"Partial","Pending")))</f>
        <v/>
      </c>
    </row>
    <row r="254">
      <c r="B254" s="12" t="n"/>
      <c r="F254" s="10" t="n"/>
      <c r="G254" s="10" t="n"/>
      <c r="H254" s="10" t="n"/>
      <c r="I254" s="10">
        <f>IF(OR(E254="",F254=""),"",E254*F254-N(G254)+N(H254))</f>
        <v/>
      </c>
      <c r="J254" s="10" t="n"/>
      <c r="K254" s="10">
        <f>IF(I254="","",I254-N(J254))</f>
        <v/>
      </c>
      <c r="L254">
        <f>IF(I254="","",IF(K254&lt;=0,"Paid",IF(J254&gt;0,"Partial","Pending")))</f>
        <v/>
      </c>
    </row>
    <row r="255">
      <c r="B255" s="12" t="n"/>
      <c r="F255" s="10" t="n"/>
      <c r="G255" s="10" t="n"/>
      <c r="H255" s="10" t="n"/>
      <c r="I255" s="10">
        <f>IF(OR(E255="",F255=""),"",E255*F255-N(G255)+N(H255))</f>
        <v/>
      </c>
      <c r="J255" s="10" t="n"/>
      <c r="K255" s="10">
        <f>IF(I255="","",I255-N(J255))</f>
        <v/>
      </c>
      <c r="L255">
        <f>IF(I255="","",IF(K255&lt;=0,"Paid",IF(J255&gt;0,"Partial","Pending")))</f>
        <v/>
      </c>
    </row>
    <row r="256">
      <c r="B256" s="12" t="n"/>
      <c r="F256" s="10" t="n"/>
      <c r="G256" s="10" t="n"/>
      <c r="H256" s="10" t="n"/>
      <c r="I256" s="10">
        <f>IF(OR(E256="",F256=""),"",E256*F256-N(G256)+N(H256))</f>
        <v/>
      </c>
      <c r="J256" s="10" t="n"/>
      <c r="K256" s="10">
        <f>IF(I256="","",I256-N(J256))</f>
        <v/>
      </c>
      <c r="L256">
        <f>IF(I256="","",IF(K256&lt;=0,"Paid",IF(J256&gt;0,"Partial","Pending")))</f>
        <v/>
      </c>
    </row>
    <row r="257">
      <c r="B257" s="12" t="n"/>
      <c r="F257" s="10" t="n"/>
      <c r="G257" s="10" t="n"/>
      <c r="H257" s="10" t="n"/>
      <c r="I257" s="10">
        <f>IF(OR(E257="",F257=""),"",E257*F257-N(G257)+N(H257))</f>
        <v/>
      </c>
      <c r="J257" s="10" t="n"/>
      <c r="K257" s="10">
        <f>IF(I257="","",I257-N(J257))</f>
        <v/>
      </c>
      <c r="L257">
        <f>IF(I257="","",IF(K257&lt;=0,"Paid",IF(J257&gt;0,"Partial","Pending")))</f>
        <v/>
      </c>
    </row>
    <row r="258">
      <c r="B258" s="12" t="n"/>
      <c r="F258" s="10" t="n"/>
      <c r="G258" s="10" t="n"/>
      <c r="H258" s="10" t="n"/>
      <c r="I258" s="10">
        <f>IF(OR(E258="",F258=""),"",E258*F258-N(G258)+N(H258))</f>
        <v/>
      </c>
      <c r="J258" s="10" t="n"/>
      <c r="K258" s="10">
        <f>IF(I258="","",I258-N(J258))</f>
        <v/>
      </c>
      <c r="L258">
        <f>IF(I258="","",IF(K258&lt;=0,"Paid",IF(J258&gt;0,"Partial","Pending")))</f>
        <v/>
      </c>
    </row>
    <row r="259">
      <c r="B259" s="12" t="n"/>
      <c r="F259" s="10" t="n"/>
      <c r="G259" s="10" t="n"/>
      <c r="H259" s="10" t="n"/>
      <c r="I259" s="10">
        <f>IF(OR(E259="",F259=""),"",E259*F259-N(G259)+N(H259))</f>
        <v/>
      </c>
      <c r="J259" s="10" t="n"/>
      <c r="K259" s="10">
        <f>IF(I259="","",I259-N(J259))</f>
        <v/>
      </c>
      <c r="L259">
        <f>IF(I259="","",IF(K259&lt;=0,"Paid",IF(J259&gt;0,"Partial","Pending")))</f>
        <v/>
      </c>
    </row>
    <row r="260">
      <c r="B260" s="12" t="n"/>
      <c r="F260" s="10" t="n"/>
      <c r="G260" s="10" t="n"/>
      <c r="H260" s="10" t="n"/>
      <c r="I260" s="10">
        <f>IF(OR(E260="",F260=""),"",E260*F260-N(G260)+N(H260))</f>
        <v/>
      </c>
      <c r="J260" s="10" t="n"/>
      <c r="K260" s="10">
        <f>IF(I260="","",I260-N(J260))</f>
        <v/>
      </c>
      <c r="L260">
        <f>IF(I260="","",IF(K260&lt;=0,"Paid",IF(J260&gt;0,"Partial","Pending")))</f>
        <v/>
      </c>
    </row>
    <row r="261">
      <c r="B261" s="12" t="n"/>
      <c r="F261" s="10" t="n"/>
      <c r="G261" s="10" t="n"/>
      <c r="H261" s="10" t="n"/>
      <c r="I261" s="10">
        <f>IF(OR(E261="",F261=""),"",E261*F261-N(G261)+N(H261))</f>
        <v/>
      </c>
      <c r="J261" s="10" t="n"/>
      <c r="K261" s="10">
        <f>IF(I261="","",I261-N(J261))</f>
        <v/>
      </c>
      <c r="L261">
        <f>IF(I261="","",IF(K261&lt;=0,"Paid",IF(J261&gt;0,"Partial","Pending")))</f>
        <v/>
      </c>
    </row>
    <row r="262">
      <c r="B262" s="12" t="n"/>
      <c r="F262" s="10" t="n"/>
      <c r="G262" s="10" t="n"/>
      <c r="H262" s="10" t="n"/>
      <c r="I262" s="10">
        <f>IF(OR(E262="",F262=""),"",E262*F262-N(G262)+N(H262))</f>
        <v/>
      </c>
      <c r="J262" s="10" t="n"/>
      <c r="K262" s="10">
        <f>IF(I262="","",I262-N(J262))</f>
        <v/>
      </c>
      <c r="L262">
        <f>IF(I262="","",IF(K262&lt;=0,"Paid",IF(J262&gt;0,"Partial","Pending")))</f>
        <v/>
      </c>
    </row>
    <row r="263">
      <c r="B263" s="12" t="n"/>
      <c r="F263" s="10" t="n"/>
      <c r="G263" s="10" t="n"/>
      <c r="H263" s="10" t="n"/>
      <c r="I263" s="10">
        <f>IF(OR(E263="",F263=""),"",E263*F263-N(G263)+N(H263))</f>
        <v/>
      </c>
      <c r="J263" s="10" t="n"/>
      <c r="K263" s="10">
        <f>IF(I263="","",I263-N(J263))</f>
        <v/>
      </c>
      <c r="L263">
        <f>IF(I263="","",IF(K263&lt;=0,"Paid",IF(J263&gt;0,"Partial","Pending")))</f>
        <v/>
      </c>
    </row>
    <row r="264">
      <c r="B264" s="12" t="n"/>
      <c r="F264" s="10" t="n"/>
      <c r="G264" s="10" t="n"/>
      <c r="H264" s="10" t="n"/>
      <c r="I264" s="10">
        <f>IF(OR(E264="",F264=""),"",E264*F264-N(G264)+N(H264))</f>
        <v/>
      </c>
      <c r="J264" s="10" t="n"/>
      <c r="K264" s="10">
        <f>IF(I264="","",I264-N(J264))</f>
        <v/>
      </c>
      <c r="L264">
        <f>IF(I264="","",IF(K264&lt;=0,"Paid",IF(J264&gt;0,"Partial","Pending")))</f>
        <v/>
      </c>
    </row>
    <row r="265">
      <c r="B265" s="12" t="n"/>
      <c r="F265" s="10" t="n"/>
      <c r="G265" s="10" t="n"/>
      <c r="H265" s="10" t="n"/>
      <c r="I265" s="10">
        <f>IF(OR(E265="",F265=""),"",E265*F265-N(G265)+N(H265))</f>
        <v/>
      </c>
      <c r="J265" s="10" t="n"/>
      <c r="K265" s="10">
        <f>IF(I265="","",I265-N(J265))</f>
        <v/>
      </c>
      <c r="L265">
        <f>IF(I265="","",IF(K265&lt;=0,"Paid",IF(J265&gt;0,"Partial","Pending")))</f>
        <v/>
      </c>
    </row>
    <row r="266">
      <c r="B266" s="12" t="n"/>
      <c r="F266" s="10" t="n"/>
      <c r="G266" s="10" t="n"/>
      <c r="H266" s="10" t="n"/>
      <c r="I266" s="10">
        <f>IF(OR(E266="",F266=""),"",E266*F266-N(G266)+N(H266))</f>
        <v/>
      </c>
      <c r="J266" s="10" t="n"/>
      <c r="K266" s="10">
        <f>IF(I266="","",I266-N(J266))</f>
        <v/>
      </c>
      <c r="L266">
        <f>IF(I266="","",IF(K266&lt;=0,"Paid",IF(J266&gt;0,"Partial","Pending")))</f>
        <v/>
      </c>
    </row>
    <row r="267">
      <c r="B267" s="12" t="n"/>
      <c r="F267" s="10" t="n"/>
      <c r="G267" s="10" t="n"/>
      <c r="H267" s="10" t="n"/>
      <c r="I267" s="10">
        <f>IF(OR(E267="",F267=""),"",E267*F267-N(G267)+N(H267))</f>
        <v/>
      </c>
      <c r="J267" s="10" t="n"/>
      <c r="K267" s="10">
        <f>IF(I267="","",I267-N(J267))</f>
        <v/>
      </c>
      <c r="L267">
        <f>IF(I267="","",IF(K267&lt;=0,"Paid",IF(J267&gt;0,"Partial","Pending")))</f>
        <v/>
      </c>
    </row>
    <row r="268">
      <c r="B268" s="12" t="n"/>
      <c r="F268" s="10" t="n"/>
      <c r="G268" s="10" t="n"/>
      <c r="H268" s="10" t="n"/>
      <c r="I268" s="10">
        <f>IF(OR(E268="",F268=""),"",E268*F268-N(G268)+N(H268))</f>
        <v/>
      </c>
      <c r="J268" s="10" t="n"/>
      <c r="K268" s="10">
        <f>IF(I268="","",I268-N(J268))</f>
        <v/>
      </c>
      <c r="L268">
        <f>IF(I268="","",IF(K268&lt;=0,"Paid",IF(J268&gt;0,"Partial","Pending")))</f>
        <v/>
      </c>
    </row>
    <row r="269">
      <c r="B269" s="12" t="n"/>
      <c r="F269" s="10" t="n"/>
      <c r="G269" s="10" t="n"/>
      <c r="H269" s="10" t="n"/>
      <c r="I269" s="10">
        <f>IF(OR(E269="",F269=""),"",E269*F269-N(G269)+N(H269))</f>
        <v/>
      </c>
      <c r="J269" s="10" t="n"/>
      <c r="K269" s="10">
        <f>IF(I269="","",I269-N(J269))</f>
        <v/>
      </c>
      <c r="L269">
        <f>IF(I269="","",IF(K269&lt;=0,"Paid",IF(J269&gt;0,"Partial","Pending")))</f>
        <v/>
      </c>
    </row>
    <row r="270">
      <c r="B270" s="12" t="n"/>
      <c r="F270" s="10" t="n"/>
      <c r="G270" s="10" t="n"/>
      <c r="H270" s="10" t="n"/>
      <c r="I270" s="10">
        <f>IF(OR(E270="",F270=""),"",E270*F270-N(G270)+N(H270))</f>
        <v/>
      </c>
      <c r="J270" s="10" t="n"/>
      <c r="K270" s="10">
        <f>IF(I270="","",I270-N(J270))</f>
        <v/>
      </c>
      <c r="L270">
        <f>IF(I270="","",IF(K270&lt;=0,"Paid",IF(J270&gt;0,"Partial","Pending")))</f>
        <v/>
      </c>
    </row>
    <row r="271">
      <c r="B271" s="12" t="n"/>
      <c r="F271" s="10" t="n"/>
      <c r="G271" s="10" t="n"/>
      <c r="H271" s="10" t="n"/>
      <c r="I271" s="10">
        <f>IF(OR(E271="",F271=""),"",E271*F271-N(G271)+N(H271))</f>
        <v/>
      </c>
      <c r="J271" s="10" t="n"/>
      <c r="K271" s="10">
        <f>IF(I271="","",I271-N(J271))</f>
        <v/>
      </c>
      <c r="L271">
        <f>IF(I271="","",IF(K271&lt;=0,"Paid",IF(J271&gt;0,"Partial","Pending")))</f>
        <v/>
      </c>
    </row>
    <row r="272">
      <c r="B272" s="12" t="n"/>
      <c r="F272" s="10" t="n"/>
      <c r="G272" s="10" t="n"/>
      <c r="H272" s="10" t="n"/>
      <c r="I272" s="10">
        <f>IF(OR(E272="",F272=""),"",E272*F272-N(G272)+N(H272))</f>
        <v/>
      </c>
      <c r="J272" s="10" t="n"/>
      <c r="K272" s="10">
        <f>IF(I272="","",I272-N(J272))</f>
        <v/>
      </c>
      <c r="L272">
        <f>IF(I272="","",IF(K272&lt;=0,"Paid",IF(J272&gt;0,"Partial","Pending")))</f>
        <v/>
      </c>
    </row>
    <row r="273">
      <c r="B273" s="12" t="n"/>
      <c r="F273" s="10" t="n"/>
      <c r="G273" s="10" t="n"/>
      <c r="H273" s="10" t="n"/>
      <c r="I273" s="10">
        <f>IF(OR(E273="",F273=""),"",E273*F273-N(G273)+N(H273))</f>
        <v/>
      </c>
      <c r="J273" s="10" t="n"/>
      <c r="K273" s="10">
        <f>IF(I273="","",I273-N(J273))</f>
        <v/>
      </c>
      <c r="L273">
        <f>IF(I273="","",IF(K273&lt;=0,"Paid",IF(J273&gt;0,"Partial","Pending")))</f>
        <v/>
      </c>
    </row>
    <row r="274">
      <c r="B274" s="12" t="n"/>
      <c r="F274" s="10" t="n"/>
      <c r="G274" s="10" t="n"/>
      <c r="H274" s="10" t="n"/>
      <c r="I274" s="10">
        <f>IF(OR(E274="",F274=""),"",E274*F274-N(G274)+N(H274))</f>
        <v/>
      </c>
      <c r="J274" s="10" t="n"/>
      <c r="K274" s="10">
        <f>IF(I274="","",I274-N(J274))</f>
        <v/>
      </c>
      <c r="L274">
        <f>IF(I274="","",IF(K274&lt;=0,"Paid",IF(J274&gt;0,"Partial","Pending")))</f>
        <v/>
      </c>
    </row>
    <row r="275">
      <c r="B275" s="12" t="n"/>
      <c r="F275" s="10" t="n"/>
      <c r="G275" s="10" t="n"/>
      <c r="H275" s="10" t="n"/>
      <c r="I275" s="10">
        <f>IF(OR(E275="",F275=""),"",E275*F275-N(G275)+N(H275))</f>
        <v/>
      </c>
      <c r="J275" s="10" t="n"/>
      <c r="K275" s="10">
        <f>IF(I275="","",I275-N(J275))</f>
        <v/>
      </c>
      <c r="L275">
        <f>IF(I275="","",IF(K275&lt;=0,"Paid",IF(J275&gt;0,"Partial","Pending")))</f>
        <v/>
      </c>
    </row>
    <row r="276">
      <c r="B276" s="12" t="n"/>
      <c r="F276" s="10" t="n"/>
      <c r="G276" s="10" t="n"/>
      <c r="H276" s="10" t="n"/>
      <c r="I276" s="10">
        <f>IF(OR(E276="",F276=""),"",E276*F276-N(G276)+N(H276))</f>
        <v/>
      </c>
      <c r="J276" s="10" t="n"/>
      <c r="K276" s="10">
        <f>IF(I276="","",I276-N(J276))</f>
        <v/>
      </c>
      <c r="L276">
        <f>IF(I276="","",IF(K276&lt;=0,"Paid",IF(J276&gt;0,"Partial","Pending")))</f>
        <v/>
      </c>
    </row>
    <row r="277">
      <c r="B277" s="12" t="n"/>
      <c r="F277" s="10" t="n"/>
      <c r="G277" s="10" t="n"/>
      <c r="H277" s="10" t="n"/>
      <c r="I277" s="10">
        <f>IF(OR(E277="",F277=""),"",E277*F277-N(G277)+N(H277))</f>
        <v/>
      </c>
      <c r="J277" s="10" t="n"/>
      <c r="K277" s="10">
        <f>IF(I277="","",I277-N(J277))</f>
        <v/>
      </c>
      <c r="L277">
        <f>IF(I277="","",IF(K277&lt;=0,"Paid",IF(J277&gt;0,"Partial","Pending")))</f>
        <v/>
      </c>
    </row>
    <row r="278">
      <c r="B278" s="12" t="n"/>
      <c r="F278" s="10" t="n"/>
      <c r="G278" s="10" t="n"/>
      <c r="H278" s="10" t="n"/>
      <c r="I278" s="10">
        <f>IF(OR(E278="",F278=""),"",E278*F278-N(G278)+N(H278))</f>
        <v/>
      </c>
      <c r="J278" s="10" t="n"/>
      <c r="K278" s="10">
        <f>IF(I278="","",I278-N(J278))</f>
        <v/>
      </c>
      <c r="L278">
        <f>IF(I278="","",IF(K278&lt;=0,"Paid",IF(J278&gt;0,"Partial","Pending")))</f>
        <v/>
      </c>
    </row>
    <row r="279">
      <c r="B279" s="12" t="n"/>
      <c r="F279" s="10" t="n"/>
      <c r="G279" s="10" t="n"/>
      <c r="H279" s="10" t="n"/>
      <c r="I279" s="10">
        <f>IF(OR(E279="",F279=""),"",E279*F279-N(G279)+N(H279))</f>
        <v/>
      </c>
      <c r="J279" s="10" t="n"/>
      <c r="K279" s="10">
        <f>IF(I279="","",I279-N(J279))</f>
        <v/>
      </c>
      <c r="L279">
        <f>IF(I279="","",IF(K279&lt;=0,"Paid",IF(J279&gt;0,"Partial","Pending")))</f>
        <v/>
      </c>
    </row>
    <row r="280">
      <c r="B280" s="12" t="n"/>
      <c r="F280" s="10" t="n"/>
      <c r="G280" s="10" t="n"/>
      <c r="H280" s="10" t="n"/>
      <c r="I280" s="10">
        <f>IF(OR(E280="",F280=""),"",E280*F280-N(G280)+N(H280))</f>
        <v/>
      </c>
      <c r="J280" s="10" t="n"/>
      <c r="K280" s="10">
        <f>IF(I280="","",I280-N(J280))</f>
        <v/>
      </c>
      <c r="L280">
        <f>IF(I280="","",IF(K280&lt;=0,"Paid",IF(J280&gt;0,"Partial","Pending")))</f>
        <v/>
      </c>
    </row>
    <row r="281">
      <c r="B281" s="12" t="n"/>
      <c r="F281" s="10" t="n"/>
      <c r="G281" s="10" t="n"/>
      <c r="H281" s="10" t="n"/>
      <c r="I281" s="10">
        <f>IF(OR(E281="",F281=""),"",E281*F281-N(G281)+N(H281))</f>
        <v/>
      </c>
      <c r="J281" s="10" t="n"/>
      <c r="K281" s="10">
        <f>IF(I281="","",I281-N(J281))</f>
        <v/>
      </c>
      <c r="L281">
        <f>IF(I281="","",IF(K281&lt;=0,"Paid",IF(J281&gt;0,"Partial","Pending")))</f>
        <v/>
      </c>
    </row>
    <row r="282">
      <c r="B282" s="12" t="n"/>
      <c r="F282" s="10" t="n"/>
      <c r="G282" s="10" t="n"/>
      <c r="H282" s="10" t="n"/>
      <c r="I282" s="10">
        <f>IF(OR(E282="",F282=""),"",E282*F282-N(G282)+N(H282))</f>
        <v/>
      </c>
      <c r="J282" s="10" t="n"/>
      <c r="K282" s="10">
        <f>IF(I282="","",I282-N(J282))</f>
        <v/>
      </c>
      <c r="L282">
        <f>IF(I282="","",IF(K282&lt;=0,"Paid",IF(J282&gt;0,"Partial","Pending")))</f>
        <v/>
      </c>
    </row>
    <row r="283">
      <c r="B283" s="12" t="n"/>
      <c r="F283" s="10" t="n"/>
      <c r="G283" s="10" t="n"/>
      <c r="H283" s="10" t="n"/>
      <c r="I283" s="10">
        <f>IF(OR(E283="",F283=""),"",E283*F283-N(G283)+N(H283))</f>
        <v/>
      </c>
      <c r="J283" s="10" t="n"/>
      <c r="K283" s="10">
        <f>IF(I283="","",I283-N(J283))</f>
        <v/>
      </c>
      <c r="L283">
        <f>IF(I283="","",IF(K283&lt;=0,"Paid",IF(J283&gt;0,"Partial","Pending")))</f>
        <v/>
      </c>
    </row>
    <row r="284">
      <c r="B284" s="12" t="n"/>
      <c r="F284" s="10" t="n"/>
      <c r="G284" s="10" t="n"/>
      <c r="H284" s="10" t="n"/>
      <c r="I284" s="10">
        <f>IF(OR(E284="",F284=""),"",E284*F284-N(G284)+N(H284))</f>
        <v/>
      </c>
      <c r="J284" s="10" t="n"/>
      <c r="K284" s="10">
        <f>IF(I284="","",I284-N(J284))</f>
        <v/>
      </c>
      <c r="L284">
        <f>IF(I284="","",IF(K284&lt;=0,"Paid",IF(J284&gt;0,"Partial","Pending")))</f>
        <v/>
      </c>
    </row>
    <row r="285">
      <c r="B285" s="12" t="n"/>
      <c r="F285" s="10" t="n"/>
      <c r="G285" s="10" t="n"/>
      <c r="H285" s="10" t="n"/>
      <c r="I285" s="10">
        <f>IF(OR(E285="",F285=""),"",E285*F285-N(G285)+N(H285))</f>
        <v/>
      </c>
      <c r="J285" s="10" t="n"/>
      <c r="K285" s="10">
        <f>IF(I285="","",I285-N(J285))</f>
        <v/>
      </c>
      <c r="L285">
        <f>IF(I285="","",IF(K285&lt;=0,"Paid",IF(J285&gt;0,"Partial","Pending")))</f>
        <v/>
      </c>
    </row>
    <row r="286">
      <c r="B286" s="12" t="n"/>
      <c r="F286" s="10" t="n"/>
      <c r="G286" s="10" t="n"/>
      <c r="H286" s="10" t="n"/>
      <c r="I286" s="10">
        <f>IF(OR(E286="",F286=""),"",E286*F286-N(G286)+N(H286))</f>
        <v/>
      </c>
      <c r="J286" s="10" t="n"/>
      <c r="K286" s="10">
        <f>IF(I286="","",I286-N(J286))</f>
        <v/>
      </c>
      <c r="L286">
        <f>IF(I286="","",IF(K286&lt;=0,"Paid",IF(J286&gt;0,"Partial","Pending")))</f>
        <v/>
      </c>
    </row>
    <row r="287">
      <c r="B287" s="12" t="n"/>
      <c r="F287" s="10" t="n"/>
      <c r="G287" s="10" t="n"/>
      <c r="H287" s="10" t="n"/>
      <c r="I287" s="10">
        <f>IF(OR(E287="",F287=""),"",E287*F287-N(G287)+N(H287))</f>
        <v/>
      </c>
      <c r="J287" s="10" t="n"/>
      <c r="K287" s="10">
        <f>IF(I287="","",I287-N(J287))</f>
        <v/>
      </c>
      <c r="L287">
        <f>IF(I287="","",IF(K287&lt;=0,"Paid",IF(J287&gt;0,"Partial","Pending")))</f>
        <v/>
      </c>
    </row>
    <row r="288">
      <c r="B288" s="12" t="n"/>
      <c r="F288" s="10" t="n"/>
      <c r="G288" s="10" t="n"/>
      <c r="H288" s="10" t="n"/>
      <c r="I288" s="10">
        <f>IF(OR(E288="",F288=""),"",E288*F288-N(G288)+N(H288))</f>
        <v/>
      </c>
      <c r="J288" s="10" t="n"/>
      <c r="K288" s="10">
        <f>IF(I288="","",I288-N(J288))</f>
        <v/>
      </c>
      <c r="L288">
        <f>IF(I288="","",IF(K288&lt;=0,"Paid",IF(J288&gt;0,"Partial","Pending")))</f>
        <v/>
      </c>
    </row>
    <row r="289">
      <c r="B289" s="12" t="n"/>
      <c r="F289" s="10" t="n"/>
      <c r="G289" s="10" t="n"/>
      <c r="H289" s="10" t="n"/>
      <c r="I289" s="10">
        <f>IF(OR(E289="",F289=""),"",E289*F289-N(G289)+N(H289))</f>
        <v/>
      </c>
      <c r="J289" s="10" t="n"/>
      <c r="K289" s="10">
        <f>IF(I289="","",I289-N(J289))</f>
        <v/>
      </c>
      <c r="L289">
        <f>IF(I289="","",IF(K289&lt;=0,"Paid",IF(J289&gt;0,"Partial","Pending")))</f>
        <v/>
      </c>
    </row>
    <row r="290">
      <c r="B290" s="12" t="n"/>
      <c r="F290" s="10" t="n"/>
      <c r="G290" s="10" t="n"/>
      <c r="H290" s="10" t="n"/>
      <c r="I290" s="10">
        <f>IF(OR(E290="",F290=""),"",E290*F290-N(G290)+N(H290))</f>
        <v/>
      </c>
      <c r="J290" s="10" t="n"/>
      <c r="K290" s="10">
        <f>IF(I290="","",I290-N(J290))</f>
        <v/>
      </c>
      <c r="L290">
        <f>IF(I290="","",IF(K290&lt;=0,"Paid",IF(J290&gt;0,"Partial","Pending")))</f>
        <v/>
      </c>
    </row>
    <row r="291">
      <c r="B291" s="12" t="n"/>
      <c r="F291" s="10" t="n"/>
      <c r="G291" s="10" t="n"/>
      <c r="H291" s="10" t="n"/>
      <c r="I291" s="10">
        <f>IF(OR(E291="",F291=""),"",E291*F291-N(G291)+N(H291))</f>
        <v/>
      </c>
      <c r="J291" s="10" t="n"/>
      <c r="K291" s="10">
        <f>IF(I291="","",I291-N(J291))</f>
        <v/>
      </c>
      <c r="L291">
        <f>IF(I291="","",IF(K291&lt;=0,"Paid",IF(J291&gt;0,"Partial","Pending")))</f>
        <v/>
      </c>
    </row>
    <row r="292">
      <c r="B292" s="12" t="n"/>
      <c r="F292" s="10" t="n"/>
      <c r="G292" s="10" t="n"/>
      <c r="H292" s="10" t="n"/>
      <c r="I292" s="10">
        <f>IF(OR(E292="",F292=""),"",E292*F292-N(G292)+N(H292))</f>
        <v/>
      </c>
      <c r="J292" s="10" t="n"/>
      <c r="K292" s="10">
        <f>IF(I292="","",I292-N(J292))</f>
        <v/>
      </c>
      <c r="L292">
        <f>IF(I292="","",IF(K292&lt;=0,"Paid",IF(J292&gt;0,"Partial","Pending")))</f>
        <v/>
      </c>
    </row>
    <row r="293">
      <c r="B293" s="12" t="n"/>
      <c r="F293" s="10" t="n"/>
      <c r="G293" s="10" t="n"/>
      <c r="H293" s="10" t="n"/>
      <c r="I293" s="10">
        <f>IF(OR(E293="",F293=""),"",E293*F293-N(G293)+N(H293))</f>
        <v/>
      </c>
      <c r="J293" s="10" t="n"/>
      <c r="K293" s="10">
        <f>IF(I293="","",I293-N(J293))</f>
        <v/>
      </c>
      <c r="L293">
        <f>IF(I293="","",IF(K293&lt;=0,"Paid",IF(J293&gt;0,"Partial","Pending")))</f>
        <v/>
      </c>
    </row>
    <row r="294">
      <c r="B294" s="12" t="n"/>
      <c r="F294" s="10" t="n"/>
      <c r="G294" s="10" t="n"/>
      <c r="H294" s="10" t="n"/>
      <c r="I294" s="10">
        <f>IF(OR(E294="",F294=""),"",E294*F294-N(G294)+N(H294))</f>
        <v/>
      </c>
      <c r="J294" s="10" t="n"/>
      <c r="K294" s="10">
        <f>IF(I294="","",I294-N(J294))</f>
        <v/>
      </c>
      <c r="L294">
        <f>IF(I294="","",IF(K294&lt;=0,"Paid",IF(J294&gt;0,"Partial","Pending")))</f>
        <v/>
      </c>
    </row>
    <row r="295">
      <c r="B295" s="12" t="n"/>
      <c r="F295" s="10" t="n"/>
      <c r="G295" s="10" t="n"/>
      <c r="H295" s="10" t="n"/>
      <c r="I295" s="10">
        <f>IF(OR(E295="",F295=""),"",E295*F295-N(G295)+N(H295))</f>
        <v/>
      </c>
      <c r="J295" s="10" t="n"/>
      <c r="K295" s="10">
        <f>IF(I295="","",I295-N(J295))</f>
        <v/>
      </c>
      <c r="L295">
        <f>IF(I295="","",IF(K295&lt;=0,"Paid",IF(J295&gt;0,"Partial","Pending")))</f>
        <v/>
      </c>
    </row>
    <row r="296">
      <c r="B296" s="12" t="n"/>
      <c r="F296" s="10" t="n"/>
      <c r="G296" s="10" t="n"/>
      <c r="H296" s="10" t="n"/>
      <c r="I296" s="10">
        <f>IF(OR(E296="",F296=""),"",E296*F296-N(G296)+N(H296))</f>
        <v/>
      </c>
      <c r="J296" s="10" t="n"/>
      <c r="K296" s="10">
        <f>IF(I296="","",I296-N(J296))</f>
        <v/>
      </c>
      <c r="L296">
        <f>IF(I296="","",IF(K296&lt;=0,"Paid",IF(J296&gt;0,"Partial","Pending")))</f>
        <v/>
      </c>
    </row>
    <row r="297">
      <c r="B297" s="12" t="n"/>
      <c r="F297" s="10" t="n"/>
      <c r="G297" s="10" t="n"/>
      <c r="H297" s="10" t="n"/>
      <c r="I297" s="10">
        <f>IF(OR(E297="",F297=""),"",E297*F297-N(G297)+N(H297))</f>
        <v/>
      </c>
      <c r="J297" s="10" t="n"/>
      <c r="K297" s="10">
        <f>IF(I297="","",I297-N(J297))</f>
        <v/>
      </c>
      <c r="L297">
        <f>IF(I297="","",IF(K297&lt;=0,"Paid",IF(J297&gt;0,"Partial","Pending")))</f>
        <v/>
      </c>
    </row>
    <row r="298">
      <c r="B298" s="12" t="n"/>
      <c r="F298" s="10" t="n"/>
      <c r="G298" s="10" t="n"/>
      <c r="H298" s="10" t="n"/>
      <c r="I298" s="10">
        <f>IF(OR(E298="",F298=""),"",E298*F298-N(G298)+N(H298))</f>
        <v/>
      </c>
      <c r="J298" s="10" t="n"/>
      <c r="K298" s="10">
        <f>IF(I298="","",I298-N(J298))</f>
        <v/>
      </c>
      <c r="L298">
        <f>IF(I298="","",IF(K298&lt;=0,"Paid",IF(J298&gt;0,"Partial","Pending")))</f>
        <v/>
      </c>
    </row>
    <row r="299">
      <c r="B299" s="12" t="n"/>
      <c r="F299" s="10" t="n"/>
      <c r="G299" s="10" t="n"/>
      <c r="H299" s="10" t="n"/>
      <c r="I299" s="10">
        <f>IF(OR(E299="",F299=""),"",E299*F299-N(G299)+N(H299))</f>
        <v/>
      </c>
      <c r="J299" s="10" t="n"/>
      <c r="K299" s="10">
        <f>IF(I299="","",I299-N(J299))</f>
        <v/>
      </c>
      <c r="L299">
        <f>IF(I299="","",IF(K299&lt;=0,"Paid",IF(J299&gt;0,"Partial","Pending")))</f>
        <v/>
      </c>
    </row>
    <row r="300">
      <c r="B300" s="12" t="n"/>
      <c r="F300" s="10" t="n"/>
      <c r="G300" s="10" t="n"/>
      <c r="H300" s="10" t="n"/>
      <c r="I300" s="10">
        <f>IF(OR(E300="",F300=""),"",E300*F300-N(G300)+N(H300))</f>
        <v/>
      </c>
      <c r="J300" s="10" t="n"/>
      <c r="K300" s="10">
        <f>IF(I300="","",I300-N(J300))</f>
        <v/>
      </c>
      <c r="L300">
        <f>IF(I300="","",IF(K300&lt;=0,"Paid",IF(J300&gt;0,"Partial","Pending")))</f>
        <v/>
      </c>
    </row>
    <row r="301">
      <c r="B301" s="12" t="n"/>
      <c r="F301" s="10" t="n"/>
      <c r="G301" s="10" t="n"/>
      <c r="H301" s="10" t="n"/>
      <c r="I301" s="10">
        <f>IF(OR(E301="",F301=""),"",E301*F301-N(G301)+N(H301))</f>
        <v/>
      </c>
      <c r="J301" s="10" t="n"/>
      <c r="K301" s="10">
        <f>IF(I301="","",I301-N(J301))</f>
        <v/>
      </c>
      <c r="L301">
        <f>IF(I301="","",IF(K301&lt;=0,"Paid",IF(J301&gt;0,"Partial","Pending")))</f>
        <v/>
      </c>
    </row>
    <row r="302">
      <c r="B302" s="12" t="n"/>
      <c r="F302" s="10" t="n"/>
      <c r="G302" s="10" t="n"/>
      <c r="H302" s="10" t="n"/>
      <c r="I302" s="10">
        <f>IF(OR(E302="",F302=""),"",E302*F302-N(G302)+N(H302))</f>
        <v/>
      </c>
      <c r="J302" s="10" t="n"/>
      <c r="K302" s="10">
        <f>IF(I302="","",I302-N(J302))</f>
        <v/>
      </c>
      <c r="L302">
        <f>IF(I302="","",IF(K302&lt;=0,"Paid",IF(J302&gt;0,"Partial","Pending")))</f>
        <v/>
      </c>
    </row>
    <row r="303">
      <c r="B303" s="12" t="n"/>
      <c r="F303" s="10" t="n"/>
      <c r="G303" s="10" t="n"/>
      <c r="H303" s="10" t="n"/>
      <c r="I303" s="10">
        <f>IF(OR(E303="",F303=""),"",E303*F303-N(G303)+N(H303))</f>
        <v/>
      </c>
      <c r="J303" s="10" t="n"/>
      <c r="K303" s="10">
        <f>IF(I303="","",I303-N(J303))</f>
        <v/>
      </c>
      <c r="L303">
        <f>IF(I303="","",IF(K303&lt;=0,"Paid",IF(J303&gt;0,"Partial","Pending")))</f>
        <v/>
      </c>
    </row>
    <row r="304">
      <c r="B304" s="12" t="n"/>
      <c r="F304" s="10" t="n"/>
      <c r="G304" s="10" t="n"/>
      <c r="H304" s="10" t="n"/>
      <c r="I304" s="10">
        <f>IF(OR(E304="",F304=""),"",E304*F304-N(G304)+N(H304))</f>
        <v/>
      </c>
      <c r="J304" s="10" t="n"/>
      <c r="K304" s="10">
        <f>IF(I304="","",I304-N(J304))</f>
        <v/>
      </c>
      <c r="L304">
        <f>IF(I304="","",IF(K304&lt;=0,"Paid",IF(J304&gt;0,"Partial","Pending")))</f>
        <v/>
      </c>
    </row>
    <row r="305">
      <c r="B305" s="12" t="n"/>
      <c r="F305" s="10" t="n"/>
      <c r="G305" s="10" t="n"/>
      <c r="H305" s="10" t="n"/>
      <c r="I305" s="10">
        <f>IF(OR(E305="",F305=""),"",E305*F305-N(G305)+N(H305))</f>
        <v/>
      </c>
      <c r="J305" s="10" t="n"/>
      <c r="K305" s="10">
        <f>IF(I305="","",I305-N(J305))</f>
        <v/>
      </c>
      <c r="L305">
        <f>IF(I305="","",IF(K305&lt;=0,"Paid",IF(J305&gt;0,"Partial","Pending")))</f>
        <v/>
      </c>
    </row>
    <row r="306">
      <c r="B306" s="12" t="n"/>
      <c r="F306" s="10" t="n"/>
      <c r="G306" s="10" t="n"/>
      <c r="H306" s="10" t="n"/>
      <c r="I306" s="10">
        <f>IF(OR(E306="",F306=""),"",E306*F306-N(G306)+N(H306))</f>
        <v/>
      </c>
      <c r="J306" s="10" t="n"/>
      <c r="K306" s="10">
        <f>IF(I306="","",I306-N(J306))</f>
        <v/>
      </c>
      <c r="L306">
        <f>IF(I306="","",IF(K306&lt;=0,"Paid",IF(J306&gt;0,"Partial","Pending")))</f>
        <v/>
      </c>
    </row>
    <row r="307">
      <c r="B307" s="12" t="n"/>
      <c r="F307" s="10" t="n"/>
      <c r="G307" s="10" t="n"/>
      <c r="H307" s="10" t="n"/>
      <c r="I307" s="10">
        <f>IF(OR(E307="",F307=""),"",E307*F307-N(G307)+N(H307))</f>
        <v/>
      </c>
      <c r="J307" s="10" t="n"/>
      <c r="K307" s="10">
        <f>IF(I307="","",I307-N(J307))</f>
        <v/>
      </c>
      <c r="L307">
        <f>IF(I307="","",IF(K307&lt;=0,"Paid",IF(J307&gt;0,"Partial","Pending")))</f>
        <v/>
      </c>
    </row>
    <row r="308">
      <c r="B308" s="12" t="n"/>
      <c r="F308" s="10" t="n"/>
      <c r="G308" s="10" t="n"/>
      <c r="H308" s="10" t="n"/>
      <c r="I308" s="10">
        <f>IF(OR(E308="",F308=""),"",E308*F308-N(G308)+N(H308))</f>
        <v/>
      </c>
      <c r="J308" s="10" t="n"/>
      <c r="K308" s="10">
        <f>IF(I308="","",I308-N(J308))</f>
        <v/>
      </c>
      <c r="L308">
        <f>IF(I308="","",IF(K308&lt;=0,"Paid",IF(J308&gt;0,"Partial","Pending")))</f>
        <v/>
      </c>
    </row>
    <row r="309">
      <c r="B309" s="12" t="n"/>
      <c r="F309" s="10" t="n"/>
      <c r="G309" s="10" t="n"/>
      <c r="H309" s="10" t="n"/>
      <c r="I309" s="10">
        <f>IF(OR(E309="",F309=""),"",E309*F309-N(G309)+N(H309))</f>
        <v/>
      </c>
      <c r="J309" s="10" t="n"/>
      <c r="K309" s="10">
        <f>IF(I309="","",I309-N(J309))</f>
        <v/>
      </c>
      <c r="L309">
        <f>IF(I309="","",IF(K309&lt;=0,"Paid",IF(J309&gt;0,"Partial","Pending")))</f>
        <v/>
      </c>
    </row>
    <row r="310">
      <c r="B310" s="12" t="n"/>
      <c r="F310" s="10" t="n"/>
      <c r="G310" s="10" t="n"/>
      <c r="H310" s="10" t="n"/>
      <c r="I310" s="10">
        <f>IF(OR(E310="",F310=""),"",E310*F310-N(G310)+N(H310))</f>
        <v/>
      </c>
      <c r="J310" s="10" t="n"/>
      <c r="K310" s="10">
        <f>IF(I310="","",I310-N(J310))</f>
        <v/>
      </c>
      <c r="L310">
        <f>IF(I310="","",IF(K310&lt;=0,"Paid",IF(J310&gt;0,"Partial","Pending")))</f>
        <v/>
      </c>
    </row>
    <row r="311">
      <c r="B311" s="12" t="n"/>
      <c r="F311" s="10" t="n"/>
      <c r="G311" s="10" t="n"/>
      <c r="H311" s="10" t="n"/>
      <c r="I311" s="10">
        <f>IF(OR(E311="",F311=""),"",E311*F311-N(G311)+N(H311))</f>
        <v/>
      </c>
      <c r="J311" s="10" t="n"/>
      <c r="K311" s="10">
        <f>IF(I311="","",I311-N(J311))</f>
        <v/>
      </c>
      <c r="L311">
        <f>IF(I311="","",IF(K311&lt;=0,"Paid",IF(J311&gt;0,"Partial","Pending")))</f>
        <v/>
      </c>
    </row>
    <row r="312">
      <c r="B312" s="12" t="n"/>
      <c r="F312" s="10" t="n"/>
      <c r="G312" s="10" t="n"/>
      <c r="H312" s="10" t="n"/>
      <c r="I312" s="10">
        <f>IF(OR(E312="",F312=""),"",E312*F312-N(G312)+N(H312))</f>
        <v/>
      </c>
      <c r="J312" s="10" t="n"/>
      <c r="K312" s="10">
        <f>IF(I312="","",I312-N(J312))</f>
        <v/>
      </c>
      <c r="L312">
        <f>IF(I312="","",IF(K312&lt;=0,"Paid",IF(J312&gt;0,"Partial","Pending")))</f>
        <v/>
      </c>
    </row>
    <row r="313">
      <c r="B313" s="12" t="n"/>
      <c r="F313" s="10" t="n"/>
      <c r="G313" s="10" t="n"/>
      <c r="H313" s="10" t="n"/>
      <c r="I313" s="10">
        <f>IF(OR(E313="",F313=""),"",E313*F313-N(G313)+N(H313))</f>
        <v/>
      </c>
      <c r="J313" s="10" t="n"/>
      <c r="K313" s="10">
        <f>IF(I313="","",I313-N(J313))</f>
        <v/>
      </c>
      <c r="L313">
        <f>IF(I313="","",IF(K313&lt;=0,"Paid",IF(J313&gt;0,"Partial","Pending")))</f>
        <v/>
      </c>
    </row>
    <row r="314">
      <c r="B314" s="12" t="n"/>
      <c r="F314" s="10" t="n"/>
      <c r="G314" s="10" t="n"/>
      <c r="H314" s="10" t="n"/>
      <c r="I314" s="10">
        <f>IF(OR(E314="",F314=""),"",E314*F314-N(G314)+N(H314))</f>
        <v/>
      </c>
      <c r="J314" s="10" t="n"/>
      <c r="K314" s="10">
        <f>IF(I314="","",I314-N(J314))</f>
        <v/>
      </c>
      <c r="L314">
        <f>IF(I314="","",IF(K314&lt;=0,"Paid",IF(J314&gt;0,"Partial","Pending")))</f>
        <v/>
      </c>
    </row>
    <row r="315">
      <c r="B315" s="12" t="n"/>
      <c r="F315" s="10" t="n"/>
      <c r="G315" s="10" t="n"/>
      <c r="H315" s="10" t="n"/>
      <c r="I315" s="10">
        <f>IF(OR(E315="",F315=""),"",E315*F315-N(G315)+N(H315))</f>
        <v/>
      </c>
      <c r="J315" s="10" t="n"/>
      <c r="K315" s="10">
        <f>IF(I315="","",I315-N(J315))</f>
        <v/>
      </c>
      <c r="L315">
        <f>IF(I315="","",IF(K315&lt;=0,"Paid",IF(J315&gt;0,"Partial","Pending")))</f>
        <v/>
      </c>
    </row>
    <row r="316">
      <c r="B316" s="12" t="n"/>
      <c r="F316" s="10" t="n"/>
      <c r="G316" s="10" t="n"/>
      <c r="H316" s="10" t="n"/>
      <c r="I316" s="10">
        <f>IF(OR(E316="",F316=""),"",E316*F316-N(G316)+N(H316))</f>
        <v/>
      </c>
      <c r="J316" s="10" t="n"/>
      <c r="K316" s="10">
        <f>IF(I316="","",I316-N(J316))</f>
        <v/>
      </c>
      <c r="L316">
        <f>IF(I316="","",IF(K316&lt;=0,"Paid",IF(J316&gt;0,"Partial","Pending")))</f>
        <v/>
      </c>
    </row>
    <row r="317">
      <c r="B317" s="12" t="n"/>
      <c r="F317" s="10" t="n"/>
      <c r="G317" s="10" t="n"/>
      <c r="H317" s="10" t="n"/>
      <c r="I317" s="10">
        <f>IF(OR(E317="",F317=""),"",E317*F317-N(G317)+N(H317))</f>
        <v/>
      </c>
      <c r="J317" s="10" t="n"/>
      <c r="K317" s="10">
        <f>IF(I317="","",I317-N(J317))</f>
        <v/>
      </c>
      <c r="L317">
        <f>IF(I317="","",IF(K317&lt;=0,"Paid",IF(J317&gt;0,"Partial","Pending")))</f>
        <v/>
      </c>
    </row>
    <row r="318">
      <c r="B318" s="12" t="n"/>
      <c r="F318" s="10" t="n"/>
      <c r="G318" s="10" t="n"/>
      <c r="H318" s="10" t="n"/>
      <c r="I318" s="10">
        <f>IF(OR(E318="",F318=""),"",E318*F318-N(G318)+N(H318))</f>
        <v/>
      </c>
      <c r="J318" s="10" t="n"/>
      <c r="K318" s="10">
        <f>IF(I318="","",I318-N(J318))</f>
        <v/>
      </c>
      <c r="L318">
        <f>IF(I318="","",IF(K318&lt;=0,"Paid",IF(J318&gt;0,"Partial","Pending")))</f>
        <v/>
      </c>
    </row>
    <row r="319">
      <c r="B319" s="12" t="n"/>
      <c r="F319" s="10" t="n"/>
      <c r="G319" s="10" t="n"/>
      <c r="H319" s="10" t="n"/>
      <c r="I319" s="10">
        <f>IF(OR(E319="",F319=""),"",E319*F319-N(G319)+N(H319))</f>
        <v/>
      </c>
      <c r="J319" s="10" t="n"/>
      <c r="K319" s="10">
        <f>IF(I319="","",I319-N(J319))</f>
        <v/>
      </c>
      <c r="L319">
        <f>IF(I319="","",IF(K319&lt;=0,"Paid",IF(J319&gt;0,"Partial","Pending")))</f>
        <v/>
      </c>
    </row>
    <row r="320">
      <c r="B320" s="12" t="n"/>
      <c r="F320" s="10" t="n"/>
      <c r="G320" s="10" t="n"/>
      <c r="H320" s="10" t="n"/>
      <c r="I320" s="10">
        <f>IF(OR(E320="",F320=""),"",E320*F320-N(G320)+N(H320))</f>
        <v/>
      </c>
      <c r="J320" s="10" t="n"/>
      <c r="K320" s="10">
        <f>IF(I320="","",I320-N(J320))</f>
        <v/>
      </c>
      <c r="L320">
        <f>IF(I320="","",IF(K320&lt;=0,"Paid",IF(J320&gt;0,"Partial","Pending")))</f>
        <v/>
      </c>
    </row>
    <row r="321">
      <c r="B321" s="12" t="n"/>
      <c r="F321" s="10" t="n"/>
      <c r="G321" s="10" t="n"/>
      <c r="H321" s="10" t="n"/>
      <c r="I321" s="10">
        <f>IF(OR(E321="",F321=""),"",E321*F321-N(G321)+N(H321))</f>
        <v/>
      </c>
      <c r="J321" s="10" t="n"/>
      <c r="K321" s="10">
        <f>IF(I321="","",I321-N(J321))</f>
        <v/>
      </c>
      <c r="L321">
        <f>IF(I321="","",IF(K321&lt;=0,"Paid",IF(J321&gt;0,"Partial","Pending")))</f>
        <v/>
      </c>
    </row>
    <row r="322">
      <c r="B322" s="12" t="n"/>
      <c r="F322" s="10" t="n"/>
      <c r="G322" s="10" t="n"/>
      <c r="H322" s="10" t="n"/>
      <c r="I322" s="10">
        <f>IF(OR(E322="",F322=""),"",E322*F322-N(G322)+N(H322))</f>
        <v/>
      </c>
      <c r="J322" s="10" t="n"/>
      <c r="K322" s="10">
        <f>IF(I322="","",I322-N(J322))</f>
        <v/>
      </c>
      <c r="L322">
        <f>IF(I322="","",IF(K322&lt;=0,"Paid",IF(J322&gt;0,"Partial","Pending")))</f>
        <v/>
      </c>
    </row>
    <row r="323">
      <c r="B323" s="12" t="n"/>
      <c r="F323" s="10" t="n"/>
      <c r="G323" s="10" t="n"/>
      <c r="H323" s="10" t="n"/>
      <c r="I323" s="10">
        <f>IF(OR(E323="",F323=""),"",E323*F323-N(G323)+N(H323))</f>
        <v/>
      </c>
      <c r="J323" s="10" t="n"/>
      <c r="K323" s="10">
        <f>IF(I323="","",I323-N(J323))</f>
        <v/>
      </c>
      <c r="L323">
        <f>IF(I323="","",IF(K323&lt;=0,"Paid",IF(J323&gt;0,"Partial","Pending")))</f>
        <v/>
      </c>
    </row>
    <row r="324">
      <c r="B324" s="12" t="n"/>
      <c r="F324" s="10" t="n"/>
      <c r="G324" s="10" t="n"/>
      <c r="H324" s="10" t="n"/>
      <c r="I324" s="10">
        <f>IF(OR(E324="",F324=""),"",E324*F324-N(G324)+N(H324))</f>
        <v/>
      </c>
      <c r="J324" s="10" t="n"/>
      <c r="K324" s="10">
        <f>IF(I324="","",I324-N(J324))</f>
        <v/>
      </c>
      <c r="L324">
        <f>IF(I324="","",IF(K324&lt;=0,"Paid",IF(J324&gt;0,"Partial","Pending")))</f>
        <v/>
      </c>
    </row>
    <row r="325">
      <c r="B325" s="12" t="n"/>
      <c r="F325" s="10" t="n"/>
      <c r="G325" s="10" t="n"/>
      <c r="H325" s="10" t="n"/>
      <c r="I325" s="10">
        <f>IF(OR(E325="",F325=""),"",E325*F325-N(G325)+N(H325))</f>
        <v/>
      </c>
      <c r="J325" s="10" t="n"/>
      <c r="K325" s="10">
        <f>IF(I325="","",I325-N(J325))</f>
        <v/>
      </c>
      <c r="L325">
        <f>IF(I325="","",IF(K325&lt;=0,"Paid",IF(J325&gt;0,"Partial","Pending")))</f>
        <v/>
      </c>
    </row>
    <row r="326">
      <c r="B326" s="12" t="n"/>
      <c r="F326" s="10" t="n"/>
      <c r="G326" s="10" t="n"/>
      <c r="H326" s="10" t="n"/>
      <c r="I326" s="10">
        <f>IF(OR(E326="",F326=""),"",E326*F326-N(G326)+N(H326))</f>
        <v/>
      </c>
      <c r="J326" s="10" t="n"/>
      <c r="K326" s="10">
        <f>IF(I326="","",I326-N(J326))</f>
        <v/>
      </c>
      <c r="L326">
        <f>IF(I326="","",IF(K326&lt;=0,"Paid",IF(J326&gt;0,"Partial","Pending")))</f>
        <v/>
      </c>
    </row>
    <row r="327">
      <c r="B327" s="12" t="n"/>
      <c r="F327" s="10" t="n"/>
      <c r="G327" s="10" t="n"/>
      <c r="H327" s="10" t="n"/>
      <c r="I327" s="10">
        <f>IF(OR(E327="",F327=""),"",E327*F327-N(G327)+N(H327))</f>
        <v/>
      </c>
      <c r="J327" s="10" t="n"/>
      <c r="K327" s="10">
        <f>IF(I327="","",I327-N(J327))</f>
        <v/>
      </c>
      <c r="L327">
        <f>IF(I327="","",IF(K327&lt;=0,"Paid",IF(J327&gt;0,"Partial","Pending")))</f>
        <v/>
      </c>
    </row>
    <row r="328">
      <c r="B328" s="12" t="n"/>
      <c r="F328" s="10" t="n"/>
      <c r="G328" s="10" t="n"/>
      <c r="H328" s="10" t="n"/>
      <c r="I328" s="10">
        <f>IF(OR(E328="",F328=""),"",E328*F328-N(G328)+N(H328))</f>
        <v/>
      </c>
      <c r="J328" s="10" t="n"/>
      <c r="K328" s="10">
        <f>IF(I328="","",I328-N(J328))</f>
        <v/>
      </c>
      <c r="L328">
        <f>IF(I328="","",IF(K328&lt;=0,"Paid",IF(J328&gt;0,"Partial","Pending")))</f>
        <v/>
      </c>
    </row>
    <row r="329">
      <c r="B329" s="12" t="n"/>
      <c r="F329" s="10" t="n"/>
      <c r="G329" s="10" t="n"/>
      <c r="H329" s="10" t="n"/>
      <c r="I329" s="10">
        <f>IF(OR(E329="",F329=""),"",E329*F329-N(G329)+N(H329))</f>
        <v/>
      </c>
      <c r="J329" s="10" t="n"/>
      <c r="K329" s="10">
        <f>IF(I329="","",I329-N(J329))</f>
        <v/>
      </c>
      <c r="L329">
        <f>IF(I329="","",IF(K329&lt;=0,"Paid",IF(J329&gt;0,"Partial","Pending")))</f>
        <v/>
      </c>
    </row>
    <row r="330">
      <c r="B330" s="12" t="n"/>
      <c r="F330" s="10" t="n"/>
      <c r="G330" s="10" t="n"/>
      <c r="H330" s="10" t="n"/>
      <c r="I330" s="10">
        <f>IF(OR(E330="",F330=""),"",E330*F330-N(G330)+N(H330))</f>
        <v/>
      </c>
      <c r="J330" s="10" t="n"/>
      <c r="K330" s="10">
        <f>IF(I330="","",I330-N(J330))</f>
        <v/>
      </c>
      <c r="L330">
        <f>IF(I330="","",IF(K330&lt;=0,"Paid",IF(J330&gt;0,"Partial","Pending")))</f>
        <v/>
      </c>
    </row>
    <row r="331">
      <c r="B331" s="12" t="n"/>
      <c r="F331" s="10" t="n"/>
      <c r="G331" s="10" t="n"/>
      <c r="H331" s="10" t="n"/>
      <c r="I331" s="10">
        <f>IF(OR(E331="",F331=""),"",E331*F331-N(G331)+N(H331))</f>
        <v/>
      </c>
      <c r="J331" s="10" t="n"/>
      <c r="K331" s="10">
        <f>IF(I331="","",I331-N(J331))</f>
        <v/>
      </c>
      <c r="L331">
        <f>IF(I331="","",IF(K331&lt;=0,"Paid",IF(J331&gt;0,"Partial","Pending")))</f>
        <v/>
      </c>
    </row>
    <row r="332">
      <c r="B332" s="12" t="n"/>
      <c r="F332" s="10" t="n"/>
      <c r="G332" s="10" t="n"/>
      <c r="H332" s="10" t="n"/>
      <c r="I332" s="10">
        <f>IF(OR(E332="",F332=""),"",E332*F332-N(G332)+N(H332))</f>
        <v/>
      </c>
      <c r="J332" s="10" t="n"/>
      <c r="K332" s="10">
        <f>IF(I332="","",I332-N(J332))</f>
        <v/>
      </c>
      <c r="L332">
        <f>IF(I332="","",IF(K332&lt;=0,"Paid",IF(J332&gt;0,"Partial","Pending")))</f>
        <v/>
      </c>
    </row>
    <row r="333">
      <c r="B333" s="12" t="n"/>
      <c r="F333" s="10" t="n"/>
      <c r="G333" s="10" t="n"/>
      <c r="H333" s="10" t="n"/>
      <c r="I333" s="10">
        <f>IF(OR(E333="",F333=""),"",E333*F333-N(G333)+N(H333))</f>
        <v/>
      </c>
      <c r="J333" s="10" t="n"/>
      <c r="K333" s="10">
        <f>IF(I333="","",I333-N(J333))</f>
        <v/>
      </c>
      <c r="L333">
        <f>IF(I333="","",IF(K333&lt;=0,"Paid",IF(J333&gt;0,"Partial","Pending")))</f>
        <v/>
      </c>
    </row>
    <row r="334">
      <c r="B334" s="12" t="n"/>
      <c r="F334" s="10" t="n"/>
      <c r="G334" s="10" t="n"/>
      <c r="H334" s="10" t="n"/>
      <c r="I334" s="10">
        <f>IF(OR(E334="",F334=""),"",E334*F334-N(G334)+N(H334))</f>
        <v/>
      </c>
      <c r="J334" s="10" t="n"/>
      <c r="K334" s="10">
        <f>IF(I334="","",I334-N(J334))</f>
        <v/>
      </c>
      <c r="L334">
        <f>IF(I334="","",IF(K334&lt;=0,"Paid",IF(J334&gt;0,"Partial","Pending")))</f>
        <v/>
      </c>
    </row>
    <row r="335">
      <c r="B335" s="12" t="n"/>
      <c r="F335" s="10" t="n"/>
      <c r="G335" s="10" t="n"/>
      <c r="H335" s="10" t="n"/>
      <c r="I335" s="10">
        <f>IF(OR(E335="",F335=""),"",E335*F335-N(G335)+N(H335))</f>
        <v/>
      </c>
      <c r="J335" s="10" t="n"/>
      <c r="K335" s="10">
        <f>IF(I335="","",I335-N(J335))</f>
        <v/>
      </c>
      <c r="L335">
        <f>IF(I335="","",IF(K335&lt;=0,"Paid",IF(J335&gt;0,"Partial","Pending")))</f>
        <v/>
      </c>
    </row>
    <row r="336">
      <c r="B336" s="12" t="n"/>
      <c r="F336" s="10" t="n"/>
      <c r="G336" s="10" t="n"/>
      <c r="H336" s="10" t="n"/>
      <c r="I336" s="10">
        <f>IF(OR(E336="",F336=""),"",E336*F336-N(G336)+N(H336))</f>
        <v/>
      </c>
      <c r="J336" s="10" t="n"/>
      <c r="K336" s="10">
        <f>IF(I336="","",I336-N(J336))</f>
        <v/>
      </c>
      <c r="L336">
        <f>IF(I336="","",IF(K336&lt;=0,"Paid",IF(J336&gt;0,"Partial","Pending")))</f>
        <v/>
      </c>
    </row>
    <row r="337">
      <c r="B337" s="12" t="n"/>
      <c r="F337" s="10" t="n"/>
      <c r="G337" s="10" t="n"/>
      <c r="H337" s="10" t="n"/>
      <c r="I337" s="10">
        <f>IF(OR(E337="",F337=""),"",E337*F337-N(G337)+N(H337))</f>
        <v/>
      </c>
      <c r="J337" s="10" t="n"/>
      <c r="K337" s="10">
        <f>IF(I337="","",I337-N(J337))</f>
        <v/>
      </c>
      <c r="L337">
        <f>IF(I337="","",IF(K337&lt;=0,"Paid",IF(J337&gt;0,"Partial","Pending")))</f>
        <v/>
      </c>
    </row>
    <row r="338">
      <c r="B338" s="12" t="n"/>
      <c r="F338" s="10" t="n"/>
      <c r="G338" s="10" t="n"/>
      <c r="H338" s="10" t="n"/>
      <c r="I338" s="10">
        <f>IF(OR(E338="",F338=""),"",E338*F338-N(G338)+N(H338))</f>
        <v/>
      </c>
      <c r="J338" s="10" t="n"/>
      <c r="K338" s="10">
        <f>IF(I338="","",I338-N(J338))</f>
        <v/>
      </c>
      <c r="L338">
        <f>IF(I338="","",IF(K338&lt;=0,"Paid",IF(J338&gt;0,"Partial","Pending")))</f>
        <v/>
      </c>
    </row>
    <row r="339">
      <c r="B339" s="12" t="n"/>
      <c r="F339" s="10" t="n"/>
      <c r="G339" s="10" t="n"/>
      <c r="H339" s="10" t="n"/>
      <c r="I339" s="10">
        <f>IF(OR(E339="",F339=""),"",E339*F339-N(G339)+N(H339))</f>
        <v/>
      </c>
      <c r="J339" s="10" t="n"/>
      <c r="K339" s="10">
        <f>IF(I339="","",I339-N(J339))</f>
        <v/>
      </c>
      <c r="L339">
        <f>IF(I339="","",IF(K339&lt;=0,"Paid",IF(J339&gt;0,"Partial","Pending")))</f>
        <v/>
      </c>
    </row>
    <row r="340">
      <c r="B340" s="12" t="n"/>
      <c r="F340" s="10" t="n"/>
      <c r="G340" s="10" t="n"/>
      <c r="H340" s="10" t="n"/>
      <c r="I340" s="10">
        <f>IF(OR(E340="",F340=""),"",E340*F340-N(G340)+N(H340))</f>
        <v/>
      </c>
      <c r="J340" s="10" t="n"/>
      <c r="K340" s="10">
        <f>IF(I340="","",I340-N(J340))</f>
        <v/>
      </c>
      <c r="L340">
        <f>IF(I340="","",IF(K340&lt;=0,"Paid",IF(J340&gt;0,"Partial","Pending")))</f>
        <v/>
      </c>
    </row>
    <row r="341">
      <c r="B341" s="12" t="n"/>
      <c r="F341" s="10" t="n"/>
      <c r="G341" s="10" t="n"/>
      <c r="H341" s="10" t="n"/>
      <c r="I341" s="10">
        <f>IF(OR(E341="",F341=""),"",E341*F341-N(G341)+N(H341))</f>
        <v/>
      </c>
      <c r="J341" s="10" t="n"/>
      <c r="K341" s="10">
        <f>IF(I341="","",I341-N(J341))</f>
        <v/>
      </c>
      <c r="L341">
        <f>IF(I341="","",IF(K341&lt;=0,"Paid",IF(J341&gt;0,"Partial","Pending")))</f>
        <v/>
      </c>
    </row>
    <row r="342">
      <c r="B342" s="12" t="n"/>
      <c r="F342" s="10" t="n"/>
      <c r="G342" s="10" t="n"/>
      <c r="H342" s="10" t="n"/>
      <c r="I342" s="10">
        <f>IF(OR(E342="",F342=""),"",E342*F342-N(G342)+N(H342))</f>
        <v/>
      </c>
      <c r="J342" s="10" t="n"/>
      <c r="K342" s="10">
        <f>IF(I342="","",I342-N(J342))</f>
        <v/>
      </c>
      <c r="L342">
        <f>IF(I342="","",IF(K342&lt;=0,"Paid",IF(J342&gt;0,"Partial","Pending")))</f>
        <v/>
      </c>
    </row>
    <row r="343">
      <c r="B343" s="12" t="n"/>
      <c r="F343" s="10" t="n"/>
      <c r="G343" s="10" t="n"/>
      <c r="H343" s="10" t="n"/>
      <c r="I343" s="10">
        <f>IF(OR(E343="",F343=""),"",E343*F343-N(G343)+N(H343))</f>
        <v/>
      </c>
      <c r="J343" s="10" t="n"/>
      <c r="K343" s="10">
        <f>IF(I343="","",I343-N(J343))</f>
        <v/>
      </c>
      <c r="L343">
        <f>IF(I343="","",IF(K343&lt;=0,"Paid",IF(J343&gt;0,"Partial","Pending")))</f>
        <v/>
      </c>
    </row>
    <row r="344">
      <c r="B344" s="12" t="n"/>
      <c r="F344" s="10" t="n"/>
      <c r="G344" s="10" t="n"/>
      <c r="H344" s="10" t="n"/>
      <c r="I344" s="10">
        <f>IF(OR(E344="",F344=""),"",E344*F344-N(G344)+N(H344))</f>
        <v/>
      </c>
      <c r="J344" s="10" t="n"/>
      <c r="K344" s="10">
        <f>IF(I344="","",I344-N(J344))</f>
        <v/>
      </c>
      <c r="L344">
        <f>IF(I344="","",IF(K344&lt;=0,"Paid",IF(J344&gt;0,"Partial","Pending")))</f>
        <v/>
      </c>
    </row>
    <row r="345">
      <c r="B345" s="12" t="n"/>
      <c r="F345" s="10" t="n"/>
      <c r="G345" s="10" t="n"/>
      <c r="H345" s="10" t="n"/>
      <c r="I345" s="10">
        <f>IF(OR(E345="",F345=""),"",E345*F345-N(G345)+N(H345))</f>
        <v/>
      </c>
      <c r="J345" s="10" t="n"/>
      <c r="K345" s="10">
        <f>IF(I345="","",I345-N(J345))</f>
        <v/>
      </c>
      <c r="L345">
        <f>IF(I345="","",IF(K345&lt;=0,"Paid",IF(J345&gt;0,"Partial","Pending")))</f>
        <v/>
      </c>
    </row>
    <row r="346">
      <c r="B346" s="12" t="n"/>
      <c r="F346" s="10" t="n"/>
      <c r="G346" s="10" t="n"/>
      <c r="H346" s="10" t="n"/>
      <c r="I346" s="10">
        <f>IF(OR(E346="",F346=""),"",E346*F346-N(G346)+N(H346))</f>
        <v/>
      </c>
      <c r="J346" s="10" t="n"/>
      <c r="K346" s="10">
        <f>IF(I346="","",I346-N(J346))</f>
        <v/>
      </c>
      <c r="L346">
        <f>IF(I346="","",IF(K346&lt;=0,"Paid",IF(J346&gt;0,"Partial","Pending")))</f>
        <v/>
      </c>
    </row>
    <row r="347">
      <c r="B347" s="12" t="n"/>
      <c r="F347" s="10" t="n"/>
      <c r="G347" s="10" t="n"/>
      <c r="H347" s="10" t="n"/>
      <c r="I347" s="10">
        <f>IF(OR(E347="",F347=""),"",E347*F347-N(G347)+N(H347))</f>
        <v/>
      </c>
      <c r="J347" s="10" t="n"/>
      <c r="K347" s="10">
        <f>IF(I347="","",I347-N(J347))</f>
        <v/>
      </c>
      <c r="L347">
        <f>IF(I347="","",IF(K347&lt;=0,"Paid",IF(J347&gt;0,"Partial","Pending")))</f>
        <v/>
      </c>
    </row>
    <row r="348">
      <c r="B348" s="12" t="n"/>
      <c r="F348" s="10" t="n"/>
      <c r="G348" s="10" t="n"/>
      <c r="H348" s="10" t="n"/>
      <c r="I348" s="10">
        <f>IF(OR(E348="",F348=""),"",E348*F348-N(G348)+N(H348))</f>
        <v/>
      </c>
      <c r="J348" s="10" t="n"/>
      <c r="K348" s="10">
        <f>IF(I348="","",I348-N(J348))</f>
        <v/>
      </c>
      <c r="L348">
        <f>IF(I348="","",IF(K348&lt;=0,"Paid",IF(J348&gt;0,"Partial","Pending")))</f>
        <v/>
      </c>
    </row>
    <row r="349">
      <c r="B349" s="12" t="n"/>
      <c r="F349" s="10" t="n"/>
      <c r="G349" s="10" t="n"/>
      <c r="H349" s="10" t="n"/>
      <c r="I349" s="10">
        <f>IF(OR(E349="",F349=""),"",E349*F349-N(G349)+N(H349))</f>
        <v/>
      </c>
      <c r="J349" s="10" t="n"/>
      <c r="K349" s="10">
        <f>IF(I349="","",I349-N(J349))</f>
        <v/>
      </c>
      <c r="L349">
        <f>IF(I349="","",IF(K349&lt;=0,"Paid",IF(J349&gt;0,"Partial","Pending")))</f>
        <v/>
      </c>
    </row>
    <row r="350">
      <c r="B350" s="12" t="n"/>
      <c r="F350" s="10" t="n"/>
      <c r="G350" s="10" t="n"/>
      <c r="H350" s="10" t="n"/>
      <c r="I350" s="10">
        <f>IF(OR(E350="",F350=""),"",E350*F350-N(G350)+N(H350))</f>
        <v/>
      </c>
      <c r="J350" s="10" t="n"/>
      <c r="K350" s="10">
        <f>IF(I350="","",I350-N(J350))</f>
        <v/>
      </c>
      <c r="L350">
        <f>IF(I350="","",IF(K350&lt;=0,"Paid",IF(J350&gt;0,"Partial","Pending")))</f>
        <v/>
      </c>
    </row>
    <row r="351">
      <c r="B351" s="12" t="n"/>
      <c r="F351" s="10" t="n"/>
      <c r="G351" s="10" t="n"/>
      <c r="H351" s="10" t="n"/>
      <c r="I351" s="10">
        <f>IF(OR(E351="",F351=""),"",E351*F351-N(G351)+N(H351))</f>
        <v/>
      </c>
      <c r="J351" s="10" t="n"/>
      <c r="K351" s="10">
        <f>IF(I351="","",I351-N(J351))</f>
        <v/>
      </c>
      <c r="L351">
        <f>IF(I351="","",IF(K351&lt;=0,"Paid",IF(J351&gt;0,"Partial","Pending")))</f>
        <v/>
      </c>
    </row>
    <row r="352">
      <c r="B352" s="12" t="n"/>
      <c r="F352" s="10" t="n"/>
      <c r="G352" s="10" t="n"/>
      <c r="H352" s="10" t="n"/>
      <c r="I352" s="10">
        <f>IF(OR(E352="",F352=""),"",E352*F352-N(G352)+N(H352))</f>
        <v/>
      </c>
      <c r="J352" s="10" t="n"/>
      <c r="K352" s="10">
        <f>IF(I352="","",I352-N(J352))</f>
        <v/>
      </c>
      <c r="L352">
        <f>IF(I352="","",IF(K352&lt;=0,"Paid",IF(J352&gt;0,"Partial","Pending")))</f>
        <v/>
      </c>
    </row>
    <row r="353">
      <c r="B353" s="12" t="n"/>
      <c r="F353" s="10" t="n"/>
      <c r="G353" s="10" t="n"/>
      <c r="H353" s="10" t="n"/>
      <c r="I353" s="10">
        <f>IF(OR(E353="",F353=""),"",E353*F353-N(G353)+N(H353))</f>
        <v/>
      </c>
      <c r="J353" s="10" t="n"/>
      <c r="K353" s="10">
        <f>IF(I353="","",I353-N(J353))</f>
        <v/>
      </c>
      <c r="L353">
        <f>IF(I353="","",IF(K353&lt;=0,"Paid",IF(J353&gt;0,"Partial","Pending")))</f>
        <v/>
      </c>
    </row>
    <row r="354">
      <c r="B354" s="12" t="n"/>
      <c r="F354" s="10" t="n"/>
      <c r="G354" s="10" t="n"/>
      <c r="H354" s="10" t="n"/>
      <c r="I354" s="10">
        <f>IF(OR(E354="",F354=""),"",E354*F354-N(G354)+N(H354))</f>
        <v/>
      </c>
      <c r="J354" s="10" t="n"/>
      <c r="K354" s="10">
        <f>IF(I354="","",I354-N(J354))</f>
        <v/>
      </c>
      <c r="L354">
        <f>IF(I354="","",IF(K354&lt;=0,"Paid",IF(J354&gt;0,"Partial","Pending")))</f>
        <v/>
      </c>
    </row>
    <row r="355">
      <c r="B355" s="12" t="n"/>
      <c r="F355" s="10" t="n"/>
      <c r="G355" s="10" t="n"/>
      <c r="H355" s="10" t="n"/>
      <c r="I355" s="10">
        <f>IF(OR(E355="",F355=""),"",E355*F355-N(G355)+N(H355))</f>
        <v/>
      </c>
      <c r="J355" s="10" t="n"/>
      <c r="K355" s="10">
        <f>IF(I355="","",I355-N(J355))</f>
        <v/>
      </c>
      <c r="L355">
        <f>IF(I355="","",IF(K355&lt;=0,"Paid",IF(J355&gt;0,"Partial","Pending")))</f>
        <v/>
      </c>
    </row>
    <row r="356">
      <c r="B356" s="12" t="n"/>
      <c r="F356" s="10" t="n"/>
      <c r="G356" s="10" t="n"/>
      <c r="H356" s="10" t="n"/>
      <c r="I356" s="10">
        <f>IF(OR(E356="",F356=""),"",E356*F356-N(G356)+N(H356))</f>
        <v/>
      </c>
      <c r="J356" s="10" t="n"/>
      <c r="K356" s="10">
        <f>IF(I356="","",I356-N(J356))</f>
        <v/>
      </c>
      <c r="L356">
        <f>IF(I356="","",IF(K356&lt;=0,"Paid",IF(J356&gt;0,"Partial","Pending")))</f>
        <v/>
      </c>
    </row>
    <row r="357">
      <c r="B357" s="12" t="n"/>
      <c r="F357" s="10" t="n"/>
      <c r="G357" s="10" t="n"/>
      <c r="H357" s="10" t="n"/>
      <c r="I357" s="10">
        <f>IF(OR(E357="",F357=""),"",E357*F357-N(G357)+N(H357))</f>
        <v/>
      </c>
      <c r="J357" s="10" t="n"/>
      <c r="K357" s="10">
        <f>IF(I357="","",I357-N(J357))</f>
        <v/>
      </c>
      <c r="L357">
        <f>IF(I357="","",IF(K357&lt;=0,"Paid",IF(J357&gt;0,"Partial","Pending")))</f>
        <v/>
      </c>
    </row>
    <row r="358">
      <c r="B358" s="12" t="n"/>
      <c r="F358" s="10" t="n"/>
      <c r="G358" s="10" t="n"/>
      <c r="H358" s="10" t="n"/>
      <c r="I358" s="10">
        <f>IF(OR(E358="",F358=""),"",E358*F358-N(G358)+N(H358))</f>
        <v/>
      </c>
      <c r="J358" s="10" t="n"/>
      <c r="K358" s="10">
        <f>IF(I358="","",I358-N(J358))</f>
        <v/>
      </c>
      <c r="L358">
        <f>IF(I358="","",IF(K358&lt;=0,"Paid",IF(J358&gt;0,"Partial","Pending")))</f>
        <v/>
      </c>
    </row>
    <row r="359">
      <c r="B359" s="12" t="n"/>
      <c r="F359" s="10" t="n"/>
      <c r="G359" s="10" t="n"/>
      <c r="H359" s="10" t="n"/>
      <c r="I359" s="10">
        <f>IF(OR(E359="",F359=""),"",E359*F359-N(G359)+N(H359))</f>
        <v/>
      </c>
      <c r="J359" s="10" t="n"/>
      <c r="K359" s="10">
        <f>IF(I359="","",I359-N(J359))</f>
        <v/>
      </c>
      <c r="L359">
        <f>IF(I359="","",IF(K359&lt;=0,"Paid",IF(J359&gt;0,"Partial","Pending")))</f>
        <v/>
      </c>
    </row>
    <row r="360">
      <c r="B360" s="12" t="n"/>
      <c r="F360" s="10" t="n"/>
      <c r="G360" s="10" t="n"/>
      <c r="H360" s="10" t="n"/>
      <c r="I360" s="10">
        <f>IF(OR(E360="",F360=""),"",E360*F360-N(G360)+N(H360))</f>
        <v/>
      </c>
      <c r="J360" s="10" t="n"/>
      <c r="K360" s="10">
        <f>IF(I360="","",I360-N(J360))</f>
        <v/>
      </c>
      <c r="L360">
        <f>IF(I360="","",IF(K360&lt;=0,"Paid",IF(J360&gt;0,"Partial","Pending")))</f>
        <v/>
      </c>
    </row>
    <row r="361">
      <c r="B361" s="12" t="n"/>
      <c r="F361" s="10" t="n"/>
      <c r="G361" s="10" t="n"/>
      <c r="H361" s="10" t="n"/>
      <c r="I361" s="10">
        <f>IF(OR(E361="",F361=""),"",E361*F361-N(G361)+N(H361))</f>
        <v/>
      </c>
      <c r="J361" s="10" t="n"/>
      <c r="K361" s="10">
        <f>IF(I361="","",I361-N(J361))</f>
        <v/>
      </c>
      <c r="L361">
        <f>IF(I361="","",IF(K361&lt;=0,"Paid",IF(J361&gt;0,"Partial","Pending")))</f>
        <v/>
      </c>
    </row>
    <row r="362">
      <c r="B362" s="12" t="n"/>
      <c r="F362" s="10" t="n"/>
      <c r="G362" s="10" t="n"/>
      <c r="H362" s="10" t="n"/>
      <c r="I362" s="10">
        <f>IF(OR(E362="",F362=""),"",E362*F362-N(G362)+N(H362))</f>
        <v/>
      </c>
      <c r="J362" s="10" t="n"/>
      <c r="K362" s="10">
        <f>IF(I362="","",I362-N(J362))</f>
        <v/>
      </c>
      <c r="L362">
        <f>IF(I362="","",IF(K362&lt;=0,"Paid",IF(J362&gt;0,"Partial","Pending")))</f>
        <v/>
      </c>
    </row>
    <row r="363">
      <c r="B363" s="12" t="n"/>
      <c r="F363" s="10" t="n"/>
      <c r="G363" s="10" t="n"/>
      <c r="H363" s="10" t="n"/>
      <c r="I363" s="10">
        <f>IF(OR(E363="",F363=""),"",E363*F363-N(G363)+N(H363))</f>
        <v/>
      </c>
      <c r="J363" s="10" t="n"/>
      <c r="K363" s="10">
        <f>IF(I363="","",I363-N(J363))</f>
        <v/>
      </c>
      <c r="L363">
        <f>IF(I363="","",IF(K363&lt;=0,"Paid",IF(J363&gt;0,"Partial","Pending")))</f>
        <v/>
      </c>
    </row>
    <row r="364">
      <c r="B364" s="12" t="n"/>
      <c r="F364" s="10" t="n"/>
      <c r="G364" s="10" t="n"/>
      <c r="H364" s="10" t="n"/>
      <c r="I364" s="10">
        <f>IF(OR(E364="",F364=""),"",E364*F364-N(G364)+N(H364))</f>
        <v/>
      </c>
      <c r="J364" s="10" t="n"/>
      <c r="K364" s="10">
        <f>IF(I364="","",I364-N(J364))</f>
        <v/>
      </c>
      <c r="L364">
        <f>IF(I364="","",IF(K364&lt;=0,"Paid",IF(J364&gt;0,"Partial","Pending")))</f>
        <v/>
      </c>
    </row>
    <row r="365">
      <c r="B365" s="12" t="n"/>
      <c r="F365" s="10" t="n"/>
      <c r="G365" s="10" t="n"/>
      <c r="H365" s="10" t="n"/>
      <c r="I365" s="10">
        <f>IF(OR(E365="",F365=""),"",E365*F365-N(G365)+N(H365))</f>
        <v/>
      </c>
      <c r="J365" s="10" t="n"/>
      <c r="K365" s="10">
        <f>IF(I365="","",I365-N(J365))</f>
        <v/>
      </c>
      <c r="L365">
        <f>IF(I365="","",IF(K365&lt;=0,"Paid",IF(J365&gt;0,"Partial","Pending")))</f>
        <v/>
      </c>
    </row>
    <row r="366">
      <c r="B366" s="12" t="n"/>
      <c r="F366" s="10" t="n"/>
      <c r="G366" s="10" t="n"/>
      <c r="H366" s="10" t="n"/>
      <c r="I366" s="10">
        <f>IF(OR(E366="",F366=""),"",E366*F366-N(G366)+N(H366))</f>
        <v/>
      </c>
      <c r="J366" s="10" t="n"/>
      <c r="K366" s="10">
        <f>IF(I366="","",I366-N(J366))</f>
        <v/>
      </c>
      <c r="L366">
        <f>IF(I366="","",IF(K366&lt;=0,"Paid",IF(J366&gt;0,"Partial","Pending")))</f>
        <v/>
      </c>
    </row>
    <row r="367">
      <c r="B367" s="12" t="n"/>
      <c r="F367" s="10" t="n"/>
      <c r="G367" s="10" t="n"/>
      <c r="H367" s="10" t="n"/>
      <c r="I367" s="10">
        <f>IF(OR(E367="",F367=""),"",E367*F367-N(G367)+N(H367))</f>
        <v/>
      </c>
      <c r="J367" s="10" t="n"/>
      <c r="K367" s="10">
        <f>IF(I367="","",I367-N(J367))</f>
        <v/>
      </c>
      <c r="L367">
        <f>IF(I367="","",IF(K367&lt;=0,"Paid",IF(J367&gt;0,"Partial","Pending")))</f>
        <v/>
      </c>
    </row>
    <row r="368">
      <c r="B368" s="12" t="n"/>
      <c r="F368" s="10" t="n"/>
      <c r="G368" s="10" t="n"/>
      <c r="H368" s="10" t="n"/>
      <c r="I368" s="10">
        <f>IF(OR(E368="",F368=""),"",E368*F368-N(G368)+N(H368))</f>
        <v/>
      </c>
      <c r="J368" s="10" t="n"/>
      <c r="K368" s="10">
        <f>IF(I368="","",I368-N(J368))</f>
        <v/>
      </c>
      <c r="L368">
        <f>IF(I368="","",IF(K368&lt;=0,"Paid",IF(J368&gt;0,"Partial","Pending")))</f>
        <v/>
      </c>
    </row>
    <row r="369">
      <c r="B369" s="12" t="n"/>
      <c r="F369" s="10" t="n"/>
      <c r="G369" s="10" t="n"/>
      <c r="H369" s="10" t="n"/>
      <c r="I369" s="10">
        <f>IF(OR(E369="",F369=""),"",E369*F369-N(G369)+N(H369))</f>
        <v/>
      </c>
      <c r="J369" s="10" t="n"/>
      <c r="K369" s="10">
        <f>IF(I369="","",I369-N(J369))</f>
        <v/>
      </c>
      <c r="L369">
        <f>IF(I369="","",IF(K369&lt;=0,"Paid",IF(J369&gt;0,"Partial","Pending")))</f>
        <v/>
      </c>
    </row>
    <row r="370">
      <c r="B370" s="12" t="n"/>
      <c r="F370" s="10" t="n"/>
      <c r="G370" s="10" t="n"/>
      <c r="H370" s="10" t="n"/>
      <c r="I370" s="10">
        <f>IF(OR(E370="",F370=""),"",E370*F370-N(G370)+N(H370))</f>
        <v/>
      </c>
      <c r="J370" s="10" t="n"/>
      <c r="K370" s="10">
        <f>IF(I370="","",I370-N(J370))</f>
        <v/>
      </c>
      <c r="L370">
        <f>IF(I370="","",IF(K370&lt;=0,"Paid",IF(J370&gt;0,"Partial","Pending")))</f>
        <v/>
      </c>
    </row>
    <row r="371">
      <c r="B371" s="12" t="n"/>
      <c r="F371" s="10" t="n"/>
      <c r="G371" s="10" t="n"/>
      <c r="H371" s="10" t="n"/>
      <c r="I371" s="10">
        <f>IF(OR(E371="",F371=""),"",E371*F371-N(G371)+N(H371))</f>
        <v/>
      </c>
      <c r="J371" s="10" t="n"/>
      <c r="K371" s="10">
        <f>IF(I371="","",I371-N(J371))</f>
        <v/>
      </c>
      <c r="L371">
        <f>IF(I371="","",IF(K371&lt;=0,"Paid",IF(J371&gt;0,"Partial","Pending")))</f>
        <v/>
      </c>
    </row>
    <row r="372">
      <c r="B372" s="12" t="n"/>
      <c r="F372" s="10" t="n"/>
      <c r="G372" s="10" t="n"/>
      <c r="H372" s="10" t="n"/>
      <c r="I372" s="10">
        <f>IF(OR(E372="",F372=""),"",E372*F372-N(G372)+N(H372))</f>
        <v/>
      </c>
      <c r="J372" s="10" t="n"/>
      <c r="K372" s="10">
        <f>IF(I372="","",I372-N(J372))</f>
        <v/>
      </c>
      <c r="L372">
        <f>IF(I372="","",IF(K372&lt;=0,"Paid",IF(J372&gt;0,"Partial","Pending")))</f>
        <v/>
      </c>
    </row>
    <row r="373">
      <c r="B373" s="12" t="n"/>
      <c r="F373" s="10" t="n"/>
      <c r="G373" s="10" t="n"/>
      <c r="H373" s="10" t="n"/>
      <c r="I373" s="10">
        <f>IF(OR(E373="",F373=""),"",E373*F373-N(G373)+N(H373))</f>
        <v/>
      </c>
      <c r="J373" s="10" t="n"/>
      <c r="K373" s="10">
        <f>IF(I373="","",I373-N(J373))</f>
        <v/>
      </c>
      <c r="L373">
        <f>IF(I373="","",IF(K373&lt;=0,"Paid",IF(J373&gt;0,"Partial","Pending")))</f>
        <v/>
      </c>
    </row>
    <row r="374">
      <c r="B374" s="12" t="n"/>
      <c r="F374" s="10" t="n"/>
      <c r="G374" s="10" t="n"/>
      <c r="H374" s="10" t="n"/>
      <c r="I374" s="10">
        <f>IF(OR(E374="",F374=""),"",E374*F374-N(G374)+N(H374))</f>
        <v/>
      </c>
      <c r="J374" s="10" t="n"/>
      <c r="K374" s="10">
        <f>IF(I374="","",I374-N(J374))</f>
        <v/>
      </c>
      <c r="L374">
        <f>IF(I374="","",IF(K374&lt;=0,"Paid",IF(J374&gt;0,"Partial","Pending")))</f>
        <v/>
      </c>
    </row>
    <row r="375">
      <c r="B375" s="12" t="n"/>
      <c r="F375" s="10" t="n"/>
      <c r="G375" s="10" t="n"/>
      <c r="H375" s="10" t="n"/>
      <c r="I375" s="10">
        <f>IF(OR(E375="",F375=""),"",E375*F375-N(G375)+N(H375))</f>
        <v/>
      </c>
      <c r="J375" s="10" t="n"/>
      <c r="K375" s="10">
        <f>IF(I375="","",I375-N(J375))</f>
        <v/>
      </c>
      <c r="L375">
        <f>IF(I375="","",IF(K375&lt;=0,"Paid",IF(J375&gt;0,"Partial","Pending")))</f>
        <v/>
      </c>
    </row>
    <row r="376">
      <c r="B376" s="12" t="n"/>
      <c r="F376" s="10" t="n"/>
      <c r="G376" s="10" t="n"/>
      <c r="H376" s="10" t="n"/>
      <c r="I376" s="10">
        <f>IF(OR(E376="",F376=""),"",E376*F376-N(G376)+N(H376))</f>
        <v/>
      </c>
      <c r="J376" s="10" t="n"/>
      <c r="K376" s="10">
        <f>IF(I376="","",I376-N(J376))</f>
        <v/>
      </c>
      <c r="L376">
        <f>IF(I376="","",IF(K376&lt;=0,"Paid",IF(J376&gt;0,"Partial","Pending")))</f>
        <v/>
      </c>
    </row>
    <row r="377">
      <c r="B377" s="12" t="n"/>
      <c r="F377" s="10" t="n"/>
      <c r="G377" s="10" t="n"/>
      <c r="H377" s="10" t="n"/>
      <c r="I377" s="10">
        <f>IF(OR(E377="",F377=""),"",E377*F377-N(G377)+N(H377))</f>
        <v/>
      </c>
      <c r="J377" s="10" t="n"/>
      <c r="K377" s="10">
        <f>IF(I377="","",I377-N(J377))</f>
        <v/>
      </c>
      <c r="L377">
        <f>IF(I377="","",IF(K377&lt;=0,"Paid",IF(J377&gt;0,"Partial","Pending")))</f>
        <v/>
      </c>
    </row>
    <row r="378">
      <c r="B378" s="12" t="n"/>
      <c r="F378" s="10" t="n"/>
      <c r="G378" s="10" t="n"/>
      <c r="H378" s="10" t="n"/>
      <c r="I378" s="10">
        <f>IF(OR(E378="",F378=""),"",E378*F378-N(G378)+N(H378))</f>
        <v/>
      </c>
      <c r="J378" s="10" t="n"/>
      <c r="K378" s="10">
        <f>IF(I378="","",I378-N(J378))</f>
        <v/>
      </c>
      <c r="L378">
        <f>IF(I378="","",IF(K378&lt;=0,"Paid",IF(J378&gt;0,"Partial","Pending")))</f>
        <v/>
      </c>
    </row>
    <row r="379">
      <c r="B379" s="12" t="n"/>
      <c r="F379" s="10" t="n"/>
      <c r="G379" s="10" t="n"/>
      <c r="H379" s="10" t="n"/>
      <c r="I379" s="10">
        <f>IF(OR(E379="",F379=""),"",E379*F379-N(G379)+N(H379))</f>
        <v/>
      </c>
      <c r="J379" s="10" t="n"/>
      <c r="K379" s="10">
        <f>IF(I379="","",I379-N(J379))</f>
        <v/>
      </c>
      <c r="L379">
        <f>IF(I379="","",IF(K379&lt;=0,"Paid",IF(J379&gt;0,"Partial","Pending")))</f>
        <v/>
      </c>
    </row>
    <row r="380">
      <c r="B380" s="12" t="n"/>
      <c r="F380" s="10" t="n"/>
      <c r="G380" s="10" t="n"/>
      <c r="H380" s="10" t="n"/>
      <c r="I380" s="10">
        <f>IF(OR(E380="",F380=""),"",E380*F380-N(G380)+N(H380))</f>
        <v/>
      </c>
      <c r="J380" s="10" t="n"/>
      <c r="K380" s="10">
        <f>IF(I380="","",I380-N(J380))</f>
        <v/>
      </c>
      <c r="L380">
        <f>IF(I380="","",IF(K380&lt;=0,"Paid",IF(J380&gt;0,"Partial","Pending")))</f>
        <v/>
      </c>
    </row>
    <row r="381">
      <c r="B381" s="12" t="n"/>
      <c r="F381" s="10" t="n"/>
      <c r="G381" s="10" t="n"/>
      <c r="H381" s="10" t="n"/>
      <c r="I381" s="10">
        <f>IF(OR(E381="",F381=""),"",E381*F381-N(G381)+N(H381))</f>
        <v/>
      </c>
      <c r="J381" s="10" t="n"/>
      <c r="K381" s="10">
        <f>IF(I381="","",I381-N(J381))</f>
        <v/>
      </c>
      <c r="L381">
        <f>IF(I381="","",IF(K381&lt;=0,"Paid",IF(J381&gt;0,"Partial","Pending")))</f>
        <v/>
      </c>
    </row>
    <row r="382">
      <c r="B382" s="12" t="n"/>
      <c r="F382" s="10" t="n"/>
      <c r="G382" s="10" t="n"/>
      <c r="H382" s="10" t="n"/>
      <c r="I382" s="10">
        <f>IF(OR(E382="",F382=""),"",E382*F382-N(G382)+N(H382))</f>
        <v/>
      </c>
      <c r="J382" s="10" t="n"/>
      <c r="K382" s="10">
        <f>IF(I382="","",I382-N(J382))</f>
        <v/>
      </c>
      <c r="L382">
        <f>IF(I382="","",IF(K382&lt;=0,"Paid",IF(J382&gt;0,"Partial","Pending")))</f>
        <v/>
      </c>
    </row>
    <row r="383">
      <c r="B383" s="12" t="n"/>
      <c r="F383" s="10" t="n"/>
      <c r="G383" s="10" t="n"/>
      <c r="H383" s="10" t="n"/>
      <c r="I383" s="10">
        <f>IF(OR(E383="",F383=""),"",E383*F383-N(G383)+N(H383))</f>
        <v/>
      </c>
      <c r="J383" s="10" t="n"/>
      <c r="K383" s="10">
        <f>IF(I383="","",I383-N(J383))</f>
        <v/>
      </c>
      <c r="L383">
        <f>IF(I383="","",IF(K383&lt;=0,"Paid",IF(J383&gt;0,"Partial","Pending")))</f>
        <v/>
      </c>
    </row>
    <row r="384">
      <c r="B384" s="12" t="n"/>
      <c r="F384" s="10" t="n"/>
      <c r="G384" s="10" t="n"/>
      <c r="H384" s="10" t="n"/>
      <c r="I384" s="10">
        <f>IF(OR(E384="",F384=""),"",E384*F384-N(G384)+N(H384))</f>
        <v/>
      </c>
      <c r="J384" s="10" t="n"/>
      <c r="K384" s="10">
        <f>IF(I384="","",I384-N(J384))</f>
        <v/>
      </c>
      <c r="L384">
        <f>IF(I384="","",IF(K384&lt;=0,"Paid",IF(J384&gt;0,"Partial","Pending")))</f>
        <v/>
      </c>
    </row>
    <row r="385">
      <c r="B385" s="12" t="n"/>
      <c r="F385" s="10" t="n"/>
      <c r="G385" s="10" t="n"/>
      <c r="H385" s="10" t="n"/>
      <c r="I385" s="10">
        <f>IF(OR(E385="",F385=""),"",E385*F385-N(G385)+N(H385))</f>
        <v/>
      </c>
      <c r="J385" s="10" t="n"/>
      <c r="K385" s="10">
        <f>IF(I385="","",I385-N(J385))</f>
        <v/>
      </c>
      <c r="L385">
        <f>IF(I385="","",IF(K385&lt;=0,"Paid",IF(J385&gt;0,"Partial","Pending")))</f>
        <v/>
      </c>
    </row>
    <row r="386">
      <c r="B386" s="12" t="n"/>
      <c r="F386" s="10" t="n"/>
      <c r="G386" s="10" t="n"/>
      <c r="H386" s="10" t="n"/>
      <c r="I386" s="10">
        <f>IF(OR(E386="",F386=""),"",E386*F386-N(G386)+N(H386))</f>
        <v/>
      </c>
      <c r="J386" s="10" t="n"/>
      <c r="K386" s="10">
        <f>IF(I386="","",I386-N(J386))</f>
        <v/>
      </c>
      <c r="L386">
        <f>IF(I386="","",IF(K386&lt;=0,"Paid",IF(J386&gt;0,"Partial","Pending")))</f>
        <v/>
      </c>
    </row>
    <row r="387">
      <c r="B387" s="12" t="n"/>
      <c r="F387" s="10" t="n"/>
      <c r="G387" s="10" t="n"/>
      <c r="H387" s="10" t="n"/>
      <c r="I387" s="10">
        <f>IF(OR(E387="",F387=""),"",E387*F387-N(G387)+N(H387))</f>
        <v/>
      </c>
      <c r="J387" s="10" t="n"/>
      <c r="K387" s="10">
        <f>IF(I387="","",I387-N(J387))</f>
        <v/>
      </c>
      <c r="L387">
        <f>IF(I387="","",IF(K387&lt;=0,"Paid",IF(J387&gt;0,"Partial","Pending")))</f>
        <v/>
      </c>
    </row>
    <row r="388">
      <c r="B388" s="12" t="n"/>
      <c r="F388" s="10" t="n"/>
      <c r="G388" s="10" t="n"/>
      <c r="H388" s="10" t="n"/>
      <c r="I388" s="10">
        <f>IF(OR(E388="",F388=""),"",E388*F388-N(G388)+N(H388))</f>
        <v/>
      </c>
      <c r="J388" s="10" t="n"/>
      <c r="K388" s="10">
        <f>IF(I388="","",I388-N(J388))</f>
        <v/>
      </c>
      <c r="L388">
        <f>IF(I388="","",IF(K388&lt;=0,"Paid",IF(J388&gt;0,"Partial","Pending")))</f>
        <v/>
      </c>
    </row>
    <row r="389">
      <c r="B389" s="12" t="n"/>
      <c r="F389" s="10" t="n"/>
      <c r="G389" s="10" t="n"/>
      <c r="H389" s="10" t="n"/>
      <c r="I389" s="10">
        <f>IF(OR(E389="",F389=""),"",E389*F389-N(G389)+N(H389))</f>
        <v/>
      </c>
      <c r="J389" s="10" t="n"/>
      <c r="K389" s="10">
        <f>IF(I389="","",I389-N(J389))</f>
        <v/>
      </c>
      <c r="L389">
        <f>IF(I389="","",IF(K389&lt;=0,"Paid",IF(J389&gt;0,"Partial","Pending")))</f>
        <v/>
      </c>
    </row>
    <row r="390">
      <c r="B390" s="12" t="n"/>
      <c r="F390" s="10" t="n"/>
      <c r="G390" s="10" t="n"/>
      <c r="H390" s="10" t="n"/>
      <c r="I390" s="10">
        <f>IF(OR(E390="",F390=""),"",E390*F390-N(G390)+N(H390))</f>
        <v/>
      </c>
      <c r="J390" s="10" t="n"/>
      <c r="K390" s="10">
        <f>IF(I390="","",I390-N(J390))</f>
        <v/>
      </c>
      <c r="L390">
        <f>IF(I390="","",IF(K390&lt;=0,"Paid",IF(J390&gt;0,"Partial","Pending")))</f>
        <v/>
      </c>
    </row>
    <row r="391">
      <c r="B391" s="12" t="n"/>
      <c r="F391" s="10" t="n"/>
      <c r="G391" s="10" t="n"/>
      <c r="H391" s="10" t="n"/>
      <c r="I391" s="10">
        <f>IF(OR(E391="",F391=""),"",E391*F391-N(G391)+N(H391))</f>
        <v/>
      </c>
      <c r="J391" s="10" t="n"/>
      <c r="K391" s="10">
        <f>IF(I391="","",I391-N(J391))</f>
        <v/>
      </c>
      <c r="L391">
        <f>IF(I391="","",IF(K391&lt;=0,"Paid",IF(J391&gt;0,"Partial","Pending")))</f>
        <v/>
      </c>
    </row>
    <row r="392">
      <c r="B392" s="12" t="n"/>
      <c r="F392" s="10" t="n"/>
      <c r="G392" s="10" t="n"/>
      <c r="H392" s="10" t="n"/>
      <c r="I392" s="10">
        <f>IF(OR(E392="",F392=""),"",E392*F392-N(G392)+N(H392))</f>
        <v/>
      </c>
      <c r="J392" s="10" t="n"/>
      <c r="K392" s="10">
        <f>IF(I392="","",I392-N(J392))</f>
        <v/>
      </c>
      <c r="L392">
        <f>IF(I392="","",IF(K392&lt;=0,"Paid",IF(J392&gt;0,"Partial","Pending")))</f>
        <v/>
      </c>
    </row>
    <row r="393">
      <c r="B393" s="12" t="n"/>
      <c r="F393" s="10" t="n"/>
      <c r="G393" s="10" t="n"/>
      <c r="H393" s="10" t="n"/>
      <c r="I393" s="10">
        <f>IF(OR(E393="",F393=""),"",E393*F393-N(G393)+N(H393))</f>
        <v/>
      </c>
      <c r="J393" s="10" t="n"/>
      <c r="K393" s="10">
        <f>IF(I393="","",I393-N(J393))</f>
        <v/>
      </c>
      <c r="L393">
        <f>IF(I393="","",IF(K393&lt;=0,"Paid",IF(J393&gt;0,"Partial","Pending")))</f>
        <v/>
      </c>
    </row>
    <row r="394">
      <c r="B394" s="12" t="n"/>
      <c r="F394" s="10" t="n"/>
      <c r="G394" s="10" t="n"/>
      <c r="H394" s="10" t="n"/>
      <c r="I394" s="10">
        <f>IF(OR(E394="",F394=""),"",E394*F394-N(G394)+N(H394))</f>
        <v/>
      </c>
      <c r="J394" s="10" t="n"/>
      <c r="K394" s="10">
        <f>IF(I394="","",I394-N(J394))</f>
        <v/>
      </c>
      <c r="L394">
        <f>IF(I394="","",IF(K394&lt;=0,"Paid",IF(J394&gt;0,"Partial","Pending")))</f>
        <v/>
      </c>
    </row>
    <row r="395">
      <c r="B395" s="12" t="n"/>
      <c r="F395" s="10" t="n"/>
      <c r="G395" s="10" t="n"/>
      <c r="H395" s="10" t="n"/>
      <c r="I395" s="10">
        <f>IF(OR(E395="",F395=""),"",E395*F395-N(G395)+N(H395))</f>
        <v/>
      </c>
      <c r="J395" s="10" t="n"/>
      <c r="K395" s="10">
        <f>IF(I395="","",I395-N(J395))</f>
        <v/>
      </c>
      <c r="L395">
        <f>IF(I395="","",IF(K395&lt;=0,"Paid",IF(J395&gt;0,"Partial","Pending")))</f>
        <v/>
      </c>
    </row>
    <row r="396">
      <c r="B396" s="12" t="n"/>
      <c r="F396" s="10" t="n"/>
      <c r="G396" s="10" t="n"/>
      <c r="H396" s="10" t="n"/>
      <c r="I396" s="10">
        <f>IF(OR(E396="",F396=""),"",E396*F396-N(G396)+N(H396))</f>
        <v/>
      </c>
      <c r="J396" s="10" t="n"/>
      <c r="K396" s="10">
        <f>IF(I396="","",I396-N(J396))</f>
        <v/>
      </c>
      <c r="L396">
        <f>IF(I396="","",IF(K396&lt;=0,"Paid",IF(J396&gt;0,"Partial","Pending")))</f>
        <v/>
      </c>
    </row>
    <row r="397">
      <c r="B397" s="12" t="n"/>
      <c r="F397" s="10" t="n"/>
      <c r="G397" s="10" t="n"/>
      <c r="H397" s="10" t="n"/>
      <c r="I397" s="10">
        <f>IF(OR(E397="",F397=""),"",E397*F397-N(G397)+N(H397))</f>
        <v/>
      </c>
      <c r="J397" s="10" t="n"/>
      <c r="K397" s="10">
        <f>IF(I397="","",I397-N(J397))</f>
        <v/>
      </c>
      <c r="L397">
        <f>IF(I397="","",IF(K397&lt;=0,"Paid",IF(J397&gt;0,"Partial","Pending")))</f>
        <v/>
      </c>
    </row>
    <row r="398">
      <c r="B398" s="12" t="n"/>
      <c r="F398" s="10" t="n"/>
      <c r="G398" s="10" t="n"/>
      <c r="H398" s="10" t="n"/>
      <c r="I398" s="10">
        <f>IF(OR(E398="",F398=""),"",E398*F398-N(G398)+N(H398))</f>
        <v/>
      </c>
      <c r="J398" s="10" t="n"/>
      <c r="K398" s="10">
        <f>IF(I398="","",I398-N(J398))</f>
        <v/>
      </c>
      <c r="L398">
        <f>IF(I398="","",IF(K398&lt;=0,"Paid",IF(J398&gt;0,"Partial","Pending")))</f>
        <v/>
      </c>
    </row>
    <row r="399">
      <c r="B399" s="12" t="n"/>
      <c r="F399" s="10" t="n"/>
      <c r="G399" s="10" t="n"/>
      <c r="H399" s="10" t="n"/>
      <c r="I399" s="10">
        <f>IF(OR(E399="",F399=""),"",E399*F399-N(G399)+N(H399))</f>
        <v/>
      </c>
      <c r="J399" s="10" t="n"/>
      <c r="K399" s="10">
        <f>IF(I399="","",I399-N(J399))</f>
        <v/>
      </c>
      <c r="L399">
        <f>IF(I399="","",IF(K399&lt;=0,"Paid",IF(J399&gt;0,"Partial","Pending")))</f>
        <v/>
      </c>
    </row>
    <row r="400">
      <c r="B400" s="12" t="n"/>
      <c r="F400" s="10" t="n"/>
      <c r="G400" s="10" t="n"/>
      <c r="H400" s="10" t="n"/>
      <c r="I400" s="10">
        <f>IF(OR(E400="",F400=""),"",E400*F400-N(G400)+N(H400))</f>
        <v/>
      </c>
      <c r="J400" s="10" t="n"/>
      <c r="K400" s="10">
        <f>IF(I400="","",I400-N(J400))</f>
        <v/>
      </c>
      <c r="L400">
        <f>IF(I400="","",IF(K400&lt;=0,"Paid",IF(J400&gt;0,"Partial","Pending")))</f>
        <v/>
      </c>
    </row>
    <row r="401">
      <c r="B401" s="12" t="n"/>
      <c r="F401" s="10" t="n"/>
      <c r="G401" s="10" t="n"/>
      <c r="H401" s="10" t="n"/>
      <c r="I401" s="10">
        <f>IF(OR(E401="",F401=""),"",E401*F401-N(G401)+N(H401))</f>
        <v/>
      </c>
      <c r="J401" s="10" t="n"/>
      <c r="K401" s="10">
        <f>IF(I401="","",I401-N(J401))</f>
        <v/>
      </c>
      <c r="L401">
        <f>IF(I401="","",IF(K401&lt;=0,"Paid",IF(J401&gt;0,"Partial","Pending")))</f>
        <v/>
      </c>
    </row>
    <row r="402">
      <c r="B402" s="12" t="n"/>
      <c r="F402" s="10" t="n"/>
      <c r="G402" s="10" t="n"/>
      <c r="H402" s="10" t="n"/>
      <c r="I402" s="10">
        <f>IF(OR(E402="",F402=""),"",E402*F402-N(G402)+N(H402))</f>
        <v/>
      </c>
      <c r="J402" s="10" t="n"/>
      <c r="K402" s="10">
        <f>IF(I402="","",I402-N(J402))</f>
        <v/>
      </c>
      <c r="L402">
        <f>IF(I402="","",IF(K402&lt;=0,"Paid",IF(J402&gt;0,"Partial","Pending")))</f>
        <v/>
      </c>
    </row>
    <row r="403">
      <c r="B403" s="12" t="n"/>
      <c r="F403" s="10" t="n"/>
      <c r="G403" s="10" t="n"/>
      <c r="H403" s="10" t="n"/>
      <c r="I403" s="10">
        <f>IF(OR(E403="",F403=""),"",E403*F403-N(G403)+N(H403))</f>
        <v/>
      </c>
      <c r="J403" s="10" t="n"/>
      <c r="K403" s="10">
        <f>IF(I403="","",I403-N(J403))</f>
        <v/>
      </c>
      <c r="L403">
        <f>IF(I403="","",IF(K403&lt;=0,"Paid",IF(J403&gt;0,"Partial","Pending")))</f>
        <v/>
      </c>
    </row>
    <row r="404">
      <c r="B404" s="12" t="n"/>
      <c r="F404" s="10" t="n"/>
      <c r="G404" s="10" t="n"/>
      <c r="H404" s="10" t="n"/>
      <c r="I404" s="10">
        <f>IF(OR(E404="",F404=""),"",E404*F404-N(G404)+N(H404))</f>
        <v/>
      </c>
      <c r="J404" s="10" t="n"/>
      <c r="K404" s="10">
        <f>IF(I404="","",I404-N(J404))</f>
        <v/>
      </c>
      <c r="L404">
        <f>IF(I404="","",IF(K404&lt;=0,"Paid",IF(J404&gt;0,"Partial","Pending")))</f>
        <v/>
      </c>
    </row>
    <row r="405">
      <c r="B405" s="12" t="n"/>
      <c r="F405" s="10" t="n"/>
      <c r="G405" s="10" t="n"/>
      <c r="H405" s="10" t="n"/>
      <c r="I405" s="10">
        <f>IF(OR(E405="",F405=""),"",E405*F405-N(G405)+N(H405))</f>
        <v/>
      </c>
      <c r="J405" s="10" t="n"/>
      <c r="K405" s="10">
        <f>IF(I405="","",I405-N(J405))</f>
        <v/>
      </c>
      <c r="L405">
        <f>IF(I405="","",IF(K405&lt;=0,"Paid",IF(J405&gt;0,"Partial","Pending")))</f>
        <v/>
      </c>
    </row>
    <row r="406">
      <c r="B406" s="12" t="n"/>
      <c r="F406" s="10" t="n"/>
      <c r="G406" s="10" t="n"/>
      <c r="H406" s="10" t="n"/>
      <c r="I406" s="10">
        <f>IF(OR(E406="",F406=""),"",E406*F406-N(G406)+N(H406))</f>
        <v/>
      </c>
      <c r="J406" s="10" t="n"/>
      <c r="K406" s="10">
        <f>IF(I406="","",I406-N(J406))</f>
        <v/>
      </c>
      <c r="L406">
        <f>IF(I406="","",IF(K406&lt;=0,"Paid",IF(J406&gt;0,"Partial","Pending")))</f>
        <v/>
      </c>
    </row>
    <row r="407">
      <c r="B407" s="12" t="n"/>
      <c r="F407" s="10" t="n"/>
      <c r="G407" s="10" t="n"/>
      <c r="H407" s="10" t="n"/>
      <c r="I407" s="10">
        <f>IF(OR(E407="",F407=""),"",E407*F407-N(G407)+N(H407))</f>
        <v/>
      </c>
      <c r="J407" s="10" t="n"/>
      <c r="K407" s="10">
        <f>IF(I407="","",I407-N(J407))</f>
        <v/>
      </c>
      <c r="L407">
        <f>IF(I407="","",IF(K407&lt;=0,"Paid",IF(J407&gt;0,"Partial","Pending")))</f>
        <v/>
      </c>
    </row>
    <row r="408">
      <c r="B408" s="12" t="n"/>
      <c r="F408" s="10" t="n"/>
      <c r="G408" s="10" t="n"/>
      <c r="H408" s="10" t="n"/>
      <c r="I408" s="10">
        <f>IF(OR(E408="",F408=""),"",E408*F408-N(G408)+N(H408))</f>
        <v/>
      </c>
      <c r="J408" s="10" t="n"/>
      <c r="K408" s="10">
        <f>IF(I408="","",I408-N(J408))</f>
        <v/>
      </c>
      <c r="L408">
        <f>IF(I408="","",IF(K408&lt;=0,"Paid",IF(J408&gt;0,"Partial","Pending")))</f>
        <v/>
      </c>
    </row>
    <row r="409">
      <c r="B409" s="12" t="n"/>
      <c r="F409" s="10" t="n"/>
      <c r="G409" s="10" t="n"/>
      <c r="H409" s="10" t="n"/>
      <c r="I409" s="10">
        <f>IF(OR(E409="",F409=""),"",E409*F409-N(G409)+N(H409))</f>
        <v/>
      </c>
      <c r="J409" s="10" t="n"/>
      <c r="K409" s="10">
        <f>IF(I409="","",I409-N(J409))</f>
        <v/>
      </c>
      <c r="L409">
        <f>IF(I409="","",IF(K409&lt;=0,"Paid",IF(J409&gt;0,"Partial","Pending")))</f>
        <v/>
      </c>
    </row>
    <row r="410">
      <c r="B410" s="12" t="n"/>
      <c r="F410" s="10" t="n"/>
      <c r="G410" s="10" t="n"/>
      <c r="H410" s="10" t="n"/>
      <c r="I410" s="10">
        <f>IF(OR(E410="",F410=""),"",E410*F410-N(G410)+N(H410))</f>
        <v/>
      </c>
      <c r="J410" s="10" t="n"/>
      <c r="K410" s="10">
        <f>IF(I410="","",I410-N(J410))</f>
        <v/>
      </c>
      <c r="L410">
        <f>IF(I410="","",IF(K410&lt;=0,"Paid",IF(J410&gt;0,"Partial","Pending")))</f>
        <v/>
      </c>
    </row>
    <row r="411">
      <c r="B411" s="12" t="n"/>
      <c r="F411" s="10" t="n"/>
      <c r="G411" s="10" t="n"/>
      <c r="H411" s="10" t="n"/>
      <c r="I411" s="10">
        <f>IF(OR(E411="",F411=""),"",E411*F411-N(G411)+N(H411))</f>
        <v/>
      </c>
      <c r="J411" s="10" t="n"/>
      <c r="K411" s="10">
        <f>IF(I411="","",I411-N(J411))</f>
        <v/>
      </c>
      <c r="L411">
        <f>IF(I411="","",IF(K411&lt;=0,"Paid",IF(J411&gt;0,"Partial","Pending")))</f>
        <v/>
      </c>
    </row>
    <row r="412">
      <c r="B412" s="12" t="n"/>
      <c r="F412" s="10" t="n"/>
      <c r="G412" s="10" t="n"/>
      <c r="H412" s="10" t="n"/>
      <c r="I412" s="10">
        <f>IF(OR(E412="",F412=""),"",E412*F412-N(G412)+N(H412))</f>
        <v/>
      </c>
      <c r="J412" s="10" t="n"/>
      <c r="K412" s="10">
        <f>IF(I412="","",I412-N(J412))</f>
        <v/>
      </c>
      <c r="L412">
        <f>IF(I412="","",IF(K412&lt;=0,"Paid",IF(J412&gt;0,"Partial","Pending")))</f>
        <v/>
      </c>
    </row>
    <row r="413">
      <c r="B413" s="12" t="n"/>
      <c r="F413" s="10" t="n"/>
      <c r="G413" s="10" t="n"/>
      <c r="H413" s="10" t="n"/>
      <c r="I413" s="10">
        <f>IF(OR(E413="",F413=""),"",E413*F413-N(G413)+N(H413))</f>
        <v/>
      </c>
      <c r="J413" s="10" t="n"/>
      <c r="K413" s="10">
        <f>IF(I413="","",I413-N(J413))</f>
        <v/>
      </c>
      <c r="L413">
        <f>IF(I413="","",IF(K413&lt;=0,"Paid",IF(J413&gt;0,"Partial","Pending")))</f>
        <v/>
      </c>
    </row>
    <row r="414">
      <c r="B414" s="12" t="n"/>
      <c r="F414" s="10" t="n"/>
      <c r="G414" s="10" t="n"/>
      <c r="H414" s="10" t="n"/>
      <c r="I414" s="10">
        <f>IF(OR(E414="",F414=""),"",E414*F414-N(G414)+N(H414))</f>
        <v/>
      </c>
      <c r="J414" s="10" t="n"/>
      <c r="K414" s="10">
        <f>IF(I414="","",I414-N(J414))</f>
        <v/>
      </c>
      <c r="L414">
        <f>IF(I414="","",IF(K414&lt;=0,"Paid",IF(J414&gt;0,"Partial","Pending")))</f>
        <v/>
      </c>
    </row>
    <row r="415">
      <c r="B415" s="12" t="n"/>
      <c r="F415" s="10" t="n"/>
      <c r="G415" s="10" t="n"/>
      <c r="H415" s="10" t="n"/>
      <c r="I415" s="10">
        <f>IF(OR(E415="",F415=""),"",E415*F415-N(G415)+N(H415))</f>
        <v/>
      </c>
      <c r="J415" s="10" t="n"/>
      <c r="K415" s="10">
        <f>IF(I415="","",I415-N(J415))</f>
        <v/>
      </c>
      <c r="L415">
        <f>IF(I415="","",IF(K415&lt;=0,"Paid",IF(J415&gt;0,"Partial","Pending")))</f>
        <v/>
      </c>
    </row>
    <row r="416">
      <c r="B416" s="12" t="n"/>
      <c r="F416" s="10" t="n"/>
      <c r="G416" s="10" t="n"/>
      <c r="H416" s="10" t="n"/>
      <c r="I416" s="10">
        <f>IF(OR(E416="",F416=""),"",E416*F416-N(G416)+N(H416))</f>
        <v/>
      </c>
      <c r="J416" s="10" t="n"/>
      <c r="K416" s="10">
        <f>IF(I416="","",I416-N(J416))</f>
        <v/>
      </c>
      <c r="L416">
        <f>IF(I416="","",IF(K416&lt;=0,"Paid",IF(J416&gt;0,"Partial","Pending")))</f>
        <v/>
      </c>
    </row>
    <row r="417">
      <c r="B417" s="12" t="n"/>
      <c r="F417" s="10" t="n"/>
      <c r="G417" s="10" t="n"/>
      <c r="H417" s="10" t="n"/>
      <c r="I417" s="10">
        <f>IF(OR(E417="",F417=""),"",E417*F417-N(G417)+N(H417))</f>
        <v/>
      </c>
      <c r="J417" s="10" t="n"/>
      <c r="K417" s="10">
        <f>IF(I417="","",I417-N(J417))</f>
        <v/>
      </c>
      <c r="L417">
        <f>IF(I417="","",IF(K417&lt;=0,"Paid",IF(J417&gt;0,"Partial","Pending")))</f>
        <v/>
      </c>
    </row>
    <row r="418">
      <c r="B418" s="12" t="n"/>
      <c r="F418" s="10" t="n"/>
      <c r="G418" s="10" t="n"/>
      <c r="H418" s="10" t="n"/>
      <c r="I418" s="10">
        <f>IF(OR(E418="",F418=""),"",E418*F418-N(G418)+N(H418))</f>
        <v/>
      </c>
      <c r="J418" s="10" t="n"/>
      <c r="K418" s="10">
        <f>IF(I418="","",I418-N(J418))</f>
        <v/>
      </c>
      <c r="L418">
        <f>IF(I418="","",IF(K418&lt;=0,"Paid",IF(J418&gt;0,"Partial","Pending")))</f>
        <v/>
      </c>
    </row>
    <row r="419">
      <c r="B419" s="12" t="n"/>
      <c r="F419" s="10" t="n"/>
      <c r="G419" s="10" t="n"/>
      <c r="H419" s="10" t="n"/>
      <c r="I419" s="10">
        <f>IF(OR(E419="",F419=""),"",E419*F419-N(G419)+N(H419))</f>
        <v/>
      </c>
      <c r="J419" s="10" t="n"/>
      <c r="K419" s="10">
        <f>IF(I419="","",I419-N(J419))</f>
        <v/>
      </c>
      <c r="L419">
        <f>IF(I419="","",IF(K419&lt;=0,"Paid",IF(J419&gt;0,"Partial","Pending")))</f>
        <v/>
      </c>
    </row>
    <row r="420">
      <c r="B420" s="12" t="n"/>
      <c r="F420" s="10" t="n"/>
      <c r="G420" s="10" t="n"/>
      <c r="H420" s="10" t="n"/>
      <c r="I420" s="10">
        <f>IF(OR(E420="",F420=""),"",E420*F420-N(G420)+N(H420))</f>
        <v/>
      </c>
      <c r="J420" s="10" t="n"/>
      <c r="K420" s="10">
        <f>IF(I420="","",I420-N(J420))</f>
        <v/>
      </c>
      <c r="L420">
        <f>IF(I420="","",IF(K420&lt;=0,"Paid",IF(J420&gt;0,"Partial","Pending")))</f>
        <v/>
      </c>
    </row>
    <row r="421">
      <c r="B421" s="12" t="n"/>
      <c r="F421" s="10" t="n"/>
      <c r="G421" s="10" t="n"/>
      <c r="H421" s="10" t="n"/>
      <c r="I421" s="10">
        <f>IF(OR(E421="",F421=""),"",E421*F421-N(G421)+N(H421))</f>
        <v/>
      </c>
      <c r="J421" s="10" t="n"/>
      <c r="K421" s="10">
        <f>IF(I421="","",I421-N(J421))</f>
        <v/>
      </c>
      <c r="L421">
        <f>IF(I421="","",IF(K421&lt;=0,"Paid",IF(J421&gt;0,"Partial","Pending")))</f>
        <v/>
      </c>
    </row>
    <row r="422">
      <c r="B422" s="12" t="n"/>
      <c r="F422" s="10" t="n"/>
      <c r="G422" s="10" t="n"/>
      <c r="H422" s="10" t="n"/>
      <c r="I422" s="10">
        <f>IF(OR(E422="",F422=""),"",E422*F422-N(G422)+N(H422))</f>
        <v/>
      </c>
      <c r="J422" s="10" t="n"/>
      <c r="K422" s="10">
        <f>IF(I422="","",I422-N(J422))</f>
        <v/>
      </c>
      <c r="L422">
        <f>IF(I422="","",IF(K422&lt;=0,"Paid",IF(J422&gt;0,"Partial","Pending")))</f>
        <v/>
      </c>
    </row>
    <row r="423">
      <c r="B423" s="12" t="n"/>
      <c r="F423" s="10" t="n"/>
      <c r="G423" s="10" t="n"/>
      <c r="H423" s="10" t="n"/>
      <c r="I423" s="10">
        <f>IF(OR(E423="",F423=""),"",E423*F423-N(G423)+N(H423))</f>
        <v/>
      </c>
      <c r="J423" s="10" t="n"/>
      <c r="K423" s="10">
        <f>IF(I423="","",I423-N(J423))</f>
        <v/>
      </c>
      <c r="L423">
        <f>IF(I423="","",IF(K423&lt;=0,"Paid",IF(J423&gt;0,"Partial","Pending")))</f>
        <v/>
      </c>
    </row>
    <row r="424">
      <c r="B424" s="12" t="n"/>
      <c r="F424" s="10" t="n"/>
      <c r="G424" s="10" t="n"/>
      <c r="H424" s="10" t="n"/>
      <c r="I424" s="10">
        <f>IF(OR(E424="",F424=""),"",E424*F424-N(G424)+N(H424))</f>
        <v/>
      </c>
      <c r="J424" s="10" t="n"/>
      <c r="K424" s="10">
        <f>IF(I424="","",I424-N(J424))</f>
        <v/>
      </c>
      <c r="L424">
        <f>IF(I424="","",IF(K424&lt;=0,"Paid",IF(J424&gt;0,"Partial","Pending")))</f>
        <v/>
      </c>
    </row>
    <row r="425">
      <c r="B425" s="12" t="n"/>
      <c r="F425" s="10" t="n"/>
      <c r="G425" s="10" t="n"/>
      <c r="H425" s="10" t="n"/>
      <c r="I425" s="10">
        <f>IF(OR(E425="",F425=""),"",E425*F425-N(G425)+N(H425))</f>
        <v/>
      </c>
      <c r="J425" s="10" t="n"/>
      <c r="K425" s="10">
        <f>IF(I425="","",I425-N(J425))</f>
        <v/>
      </c>
      <c r="L425">
        <f>IF(I425="","",IF(K425&lt;=0,"Paid",IF(J425&gt;0,"Partial","Pending")))</f>
        <v/>
      </c>
    </row>
    <row r="426">
      <c r="B426" s="12" t="n"/>
      <c r="F426" s="10" t="n"/>
      <c r="G426" s="10" t="n"/>
      <c r="H426" s="10" t="n"/>
      <c r="I426" s="10">
        <f>IF(OR(E426="",F426=""),"",E426*F426-N(G426)+N(H426))</f>
        <v/>
      </c>
      <c r="J426" s="10" t="n"/>
      <c r="K426" s="10">
        <f>IF(I426="","",I426-N(J426))</f>
        <v/>
      </c>
      <c r="L426">
        <f>IF(I426="","",IF(K426&lt;=0,"Paid",IF(J426&gt;0,"Partial","Pending")))</f>
        <v/>
      </c>
    </row>
    <row r="427">
      <c r="B427" s="12" t="n"/>
      <c r="F427" s="10" t="n"/>
      <c r="G427" s="10" t="n"/>
      <c r="H427" s="10" t="n"/>
      <c r="I427" s="10">
        <f>IF(OR(E427="",F427=""),"",E427*F427-N(G427)+N(H427))</f>
        <v/>
      </c>
      <c r="J427" s="10" t="n"/>
      <c r="K427" s="10">
        <f>IF(I427="","",I427-N(J427))</f>
        <v/>
      </c>
      <c r="L427">
        <f>IF(I427="","",IF(K427&lt;=0,"Paid",IF(J427&gt;0,"Partial","Pending")))</f>
        <v/>
      </c>
    </row>
    <row r="428">
      <c r="B428" s="12" t="n"/>
      <c r="F428" s="10" t="n"/>
      <c r="G428" s="10" t="n"/>
      <c r="H428" s="10" t="n"/>
      <c r="I428" s="10">
        <f>IF(OR(E428="",F428=""),"",E428*F428-N(G428)+N(H428))</f>
        <v/>
      </c>
      <c r="J428" s="10" t="n"/>
      <c r="K428" s="10">
        <f>IF(I428="","",I428-N(J428))</f>
        <v/>
      </c>
      <c r="L428">
        <f>IF(I428="","",IF(K428&lt;=0,"Paid",IF(J428&gt;0,"Partial","Pending")))</f>
        <v/>
      </c>
    </row>
    <row r="429">
      <c r="B429" s="12" t="n"/>
      <c r="F429" s="10" t="n"/>
      <c r="G429" s="10" t="n"/>
      <c r="H429" s="10" t="n"/>
      <c r="I429" s="10">
        <f>IF(OR(E429="",F429=""),"",E429*F429-N(G429)+N(H429))</f>
        <v/>
      </c>
      <c r="J429" s="10" t="n"/>
      <c r="K429" s="10">
        <f>IF(I429="","",I429-N(J429))</f>
        <v/>
      </c>
      <c r="L429">
        <f>IF(I429="","",IF(K429&lt;=0,"Paid",IF(J429&gt;0,"Partial","Pending")))</f>
        <v/>
      </c>
    </row>
    <row r="430">
      <c r="B430" s="12" t="n"/>
      <c r="F430" s="10" t="n"/>
      <c r="G430" s="10" t="n"/>
      <c r="H430" s="10" t="n"/>
      <c r="I430" s="10">
        <f>IF(OR(E430="",F430=""),"",E430*F430-N(G430)+N(H430))</f>
        <v/>
      </c>
      <c r="J430" s="10" t="n"/>
      <c r="K430" s="10">
        <f>IF(I430="","",I430-N(J430))</f>
        <v/>
      </c>
      <c r="L430">
        <f>IF(I430="","",IF(K430&lt;=0,"Paid",IF(J430&gt;0,"Partial","Pending")))</f>
        <v/>
      </c>
    </row>
    <row r="431">
      <c r="B431" s="12" t="n"/>
      <c r="F431" s="10" t="n"/>
      <c r="G431" s="10" t="n"/>
      <c r="H431" s="10" t="n"/>
      <c r="I431" s="10">
        <f>IF(OR(E431="",F431=""),"",E431*F431-N(G431)+N(H431))</f>
        <v/>
      </c>
      <c r="J431" s="10" t="n"/>
      <c r="K431" s="10">
        <f>IF(I431="","",I431-N(J431))</f>
        <v/>
      </c>
      <c r="L431">
        <f>IF(I431="","",IF(K431&lt;=0,"Paid",IF(J431&gt;0,"Partial","Pending")))</f>
        <v/>
      </c>
    </row>
    <row r="432">
      <c r="B432" s="12" t="n"/>
      <c r="F432" s="10" t="n"/>
      <c r="G432" s="10" t="n"/>
      <c r="H432" s="10" t="n"/>
      <c r="I432" s="10">
        <f>IF(OR(E432="",F432=""),"",E432*F432-N(G432)+N(H432))</f>
        <v/>
      </c>
      <c r="J432" s="10" t="n"/>
      <c r="K432" s="10">
        <f>IF(I432="","",I432-N(J432))</f>
        <v/>
      </c>
      <c r="L432">
        <f>IF(I432="","",IF(K432&lt;=0,"Paid",IF(J432&gt;0,"Partial","Pending")))</f>
        <v/>
      </c>
    </row>
    <row r="433">
      <c r="B433" s="12" t="n"/>
      <c r="F433" s="10" t="n"/>
      <c r="G433" s="10" t="n"/>
      <c r="H433" s="10" t="n"/>
      <c r="I433" s="10">
        <f>IF(OR(E433="",F433=""),"",E433*F433-N(G433)+N(H433))</f>
        <v/>
      </c>
      <c r="J433" s="10" t="n"/>
      <c r="K433" s="10">
        <f>IF(I433="","",I433-N(J433))</f>
        <v/>
      </c>
      <c r="L433">
        <f>IF(I433="","",IF(K433&lt;=0,"Paid",IF(J433&gt;0,"Partial","Pending")))</f>
        <v/>
      </c>
    </row>
    <row r="434">
      <c r="B434" s="12" t="n"/>
      <c r="F434" s="10" t="n"/>
      <c r="G434" s="10" t="n"/>
      <c r="H434" s="10" t="n"/>
      <c r="I434" s="10">
        <f>IF(OR(E434="",F434=""),"",E434*F434-N(G434)+N(H434))</f>
        <v/>
      </c>
      <c r="J434" s="10" t="n"/>
      <c r="K434" s="10">
        <f>IF(I434="","",I434-N(J434))</f>
        <v/>
      </c>
      <c r="L434">
        <f>IF(I434="","",IF(K434&lt;=0,"Paid",IF(J434&gt;0,"Partial","Pending")))</f>
        <v/>
      </c>
    </row>
    <row r="435">
      <c r="B435" s="12" t="n"/>
      <c r="F435" s="10" t="n"/>
      <c r="G435" s="10" t="n"/>
      <c r="H435" s="10" t="n"/>
      <c r="I435" s="10">
        <f>IF(OR(E435="",F435=""),"",E435*F435-N(G435)+N(H435))</f>
        <v/>
      </c>
      <c r="J435" s="10" t="n"/>
      <c r="K435" s="10">
        <f>IF(I435="","",I435-N(J435))</f>
        <v/>
      </c>
      <c r="L435">
        <f>IF(I435="","",IF(K435&lt;=0,"Paid",IF(J435&gt;0,"Partial","Pending")))</f>
        <v/>
      </c>
    </row>
    <row r="436">
      <c r="B436" s="12" t="n"/>
      <c r="F436" s="10" t="n"/>
      <c r="G436" s="10" t="n"/>
      <c r="H436" s="10" t="n"/>
      <c r="I436" s="10">
        <f>IF(OR(E436="",F436=""),"",E436*F436-N(G436)+N(H436))</f>
        <v/>
      </c>
      <c r="J436" s="10" t="n"/>
      <c r="K436" s="10">
        <f>IF(I436="","",I436-N(J436))</f>
        <v/>
      </c>
      <c r="L436">
        <f>IF(I436="","",IF(K436&lt;=0,"Paid",IF(J436&gt;0,"Partial","Pending")))</f>
        <v/>
      </c>
    </row>
    <row r="437">
      <c r="B437" s="12" t="n"/>
      <c r="F437" s="10" t="n"/>
      <c r="G437" s="10" t="n"/>
      <c r="H437" s="10" t="n"/>
      <c r="I437" s="10">
        <f>IF(OR(E437="",F437=""),"",E437*F437-N(G437)+N(H437))</f>
        <v/>
      </c>
      <c r="J437" s="10" t="n"/>
      <c r="K437" s="10">
        <f>IF(I437="","",I437-N(J437))</f>
        <v/>
      </c>
      <c r="L437">
        <f>IF(I437="","",IF(K437&lt;=0,"Paid",IF(J437&gt;0,"Partial","Pending")))</f>
        <v/>
      </c>
    </row>
    <row r="438">
      <c r="B438" s="12" t="n"/>
      <c r="F438" s="10" t="n"/>
      <c r="G438" s="10" t="n"/>
      <c r="H438" s="10" t="n"/>
      <c r="I438" s="10">
        <f>IF(OR(E438="",F438=""),"",E438*F438-N(G438)+N(H438))</f>
        <v/>
      </c>
      <c r="J438" s="10" t="n"/>
      <c r="K438" s="10">
        <f>IF(I438="","",I438-N(J438))</f>
        <v/>
      </c>
      <c r="L438">
        <f>IF(I438="","",IF(K438&lt;=0,"Paid",IF(J438&gt;0,"Partial","Pending")))</f>
        <v/>
      </c>
    </row>
    <row r="439">
      <c r="B439" s="12" t="n"/>
      <c r="F439" s="10" t="n"/>
      <c r="G439" s="10" t="n"/>
      <c r="H439" s="10" t="n"/>
      <c r="I439" s="10">
        <f>IF(OR(E439="",F439=""),"",E439*F439-N(G439)+N(H439))</f>
        <v/>
      </c>
      <c r="J439" s="10" t="n"/>
      <c r="K439" s="10">
        <f>IF(I439="","",I439-N(J439))</f>
        <v/>
      </c>
      <c r="L439">
        <f>IF(I439="","",IF(K439&lt;=0,"Paid",IF(J439&gt;0,"Partial","Pending")))</f>
        <v/>
      </c>
    </row>
    <row r="440">
      <c r="B440" s="12" t="n"/>
      <c r="F440" s="10" t="n"/>
      <c r="G440" s="10" t="n"/>
      <c r="H440" s="10" t="n"/>
      <c r="I440" s="10">
        <f>IF(OR(E440="",F440=""),"",E440*F440-N(G440)+N(H440))</f>
        <v/>
      </c>
      <c r="J440" s="10" t="n"/>
      <c r="K440" s="10">
        <f>IF(I440="","",I440-N(J440))</f>
        <v/>
      </c>
      <c r="L440">
        <f>IF(I440="","",IF(K440&lt;=0,"Paid",IF(J440&gt;0,"Partial","Pending")))</f>
        <v/>
      </c>
    </row>
    <row r="441">
      <c r="B441" s="12" t="n"/>
      <c r="F441" s="10" t="n"/>
      <c r="G441" s="10" t="n"/>
      <c r="H441" s="10" t="n"/>
      <c r="I441" s="10">
        <f>IF(OR(E441="",F441=""),"",E441*F441-N(G441)+N(H441))</f>
        <v/>
      </c>
      <c r="J441" s="10" t="n"/>
      <c r="K441" s="10">
        <f>IF(I441="","",I441-N(J441))</f>
        <v/>
      </c>
      <c r="L441">
        <f>IF(I441="","",IF(K441&lt;=0,"Paid",IF(J441&gt;0,"Partial","Pending")))</f>
        <v/>
      </c>
    </row>
    <row r="442">
      <c r="B442" s="12" t="n"/>
      <c r="F442" s="10" t="n"/>
      <c r="G442" s="10" t="n"/>
      <c r="H442" s="10" t="n"/>
      <c r="I442" s="10">
        <f>IF(OR(E442="",F442=""),"",E442*F442-N(G442)+N(H442))</f>
        <v/>
      </c>
      <c r="J442" s="10" t="n"/>
      <c r="K442" s="10">
        <f>IF(I442="","",I442-N(J442))</f>
        <v/>
      </c>
      <c r="L442">
        <f>IF(I442="","",IF(K442&lt;=0,"Paid",IF(J442&gt;0,"Partial","Pending")))</f>
        <v/>
      </c>
    </row>
    <row r="443">
      <c r="B443" s="12" t="n"/>
      <c r="F443" s="10" t="n"/>
      <c r="G443" s="10" t="n"/>
      <c r="H443" s="10" t="n"/>
      <c r="I443" s="10">
        <f>IF(OR(E443="",F443=""),"",E443*F443-N(G443)+N(H443))</f>
        <v/>
      </c>
      <c r="J443" s="10" t="n"/>
      <c r="K443" s="10">
        <f>IF(I443="","",I443-N(J443))</f>
        <v/>
      </c>
      <c r="L443">
        <f>IF(I443="","",IF(K443&lt;=0,"Paid",IF(J443&gt;0,"Partial","Pending")))</f>
        <v/>
      </c>
    </row>
    <row r="444">
      <c r="B444" s="12" t="n"/>
      <c r="F444" s="10" t="n"/>
      <c r="G444" s="10" t="n"/>
      <c r="H444" s="10" t="n"/>
      <c r="I444" s="10">
        <f>IF(OR(E444="",F444=""),"",E444*F444-N(G444)+N(H444))</f>
        <v/>
      </c>
      <c r="J444" s="10" t="n"/>
      <c r="K444" s="10">
        <f>IF(I444="","",I444-N(J444))</f>
        <v/>
      </c>
      <c r="L444">
        <f>IF(I444="","",IF(K444&lt;=0,"Paid",IF(J444&gt;0,"Partial","Pending")))</f>
        <v/>
      </c>
    </row>
    <row r="445">
      <c r="B445" s="12" t="n"/>
      <c r="F445" s="10" t="n"/>
      <c r="G445" s="10" t="n"/>
      <c r="H445" s="10" t="n"/>
      <c r="I445" s="10">
        <f>IF(OR(E445="",F445=""),"",E445*F445-N(G445)+N(H445))</f>
        <v/>
      </c>
      <c r="J445" s="10" t="n"/>
      <c r="K445" s="10">
        <f>IF(I445="","",I445-N(J445))</f>
        <v/>
      </c>
      <c r="L445">
        <f>IF(I445="","",IF(K445&lt;=0,"Paid",IF(J445&gt;0,"Partial","Pending")))</f>
        <v/>
      </c>
    </row>
    <row r="446">
      <c r="B446" s="12" t="n"/>
      <c r="F446" s="10" t="n"/>
      <c r="G446" s="10" t="n"/>
      <c r="H446" s="10" t="n"/>
      <c r="I446" s="10">
        <f>IF(OR(E446="",F446=""),"",E446*F446-N(G446)+N(H446))</f>
        <v/>
      </c>
      <c r="J446" s="10" t="n"/>
      <c r="K446" s="10">
        <f>IF(I446="","",I446-N(J446))</f>
        <v/>
      </c>
      <c r="L446">
        <f>IF(I446="","",IF(K446&lt;=0,"Paid",IF(J446&gt;0,"Partial","Pending")))</f>
        <v/>
      </c>
    </row>
    <row r="447">
      <c r="B447" s="12" t="n"/>
      <c r="F447" s="10" t="n"/>
      <c r="G447" s="10" t="n"/>
      <c r="H447" s="10" t="n"/>
      <c r="I447" s="10">
        <f>IF(OR(E447="",F447=""),"",E447*F447-N(G447)+N(H447))</f>
        <v/>
      </c>
      <c r="J447" s="10" t="n"/>
      <c r="K447" s="10">
        <f>IF(I447="","",I447-N(J447))</f>
        <v/>
      </c>
      <c r="L447">
        <f>IF(I447="","",IF(K447&lt;=0,"Paid",IF(J447&gt;0,"Partial","Pending")))</f>
        <v/>
      </c>
    </row>
    <row r="448">
      <c r="B448" s="12" t="n"/>
      <c r="F448" s="10" t="n"/>
      <c r="G448" s="10" t="n"/>
      <c r="H448" s="10" t="n"/>
      <c r="I448" s="10">
        <f>IF(OR(E448="",F448=""),"",E448*F448-N(G448)+N(H448))</f>
        <v/>
      </c>
      <c r="J448" s="10" t="n"/>
      <c r="K448" s="10">
        <f>IF(I448="","",I448-N(J448))</f>
        <v/>
      </c>
      <c r="L448">
        <f>IF(I448="","",IF(K448&lt;=0,"Paid",IF(J448&gt;0,"Partial","Pending")))</f>
        <v/>
      </c>
    </row>
    <row r="449">
      <c r="B449" s="12" t="n"/>
      <c r="F449" s="10" t="n"/>
      <c r="G449" s="10" t="n"/>
      <c r="H449" s="10" t="n"/>
      <c r="I449" s="10">
        <f>IF(OR(E449="",F449=""),"",E449*F449-N(G449)+N(H449))</f>
        <v/>
      </c>
      <c r="J449" s="10" t="n"/>
      <c r="K449" s="10">
        <f>IF(I449="","",I449-N(J449))</f>
        <v/>
      </c>
      <c r="L449">
        <f>IF(I449="","",IF(K449&lt;=0,"Paid",IF(J449&gt;0,"Partial","Pending")))</f>
        <v/>
      </c>
    </row>
    <row r="450">
      <c r="B450" s="12" t="n"/>
      <c r="F450" s="10" t="n"/>
      <c r="G450" s="10" t="n"/>
      <c r="H450" s="10" t="n"/>
      <c r="I450" s="10">
        <f>IF(OR(E450="",F450=""),"",E450*F450-N(G450)+N(H450))</f>
        <v/>
      </c>
      <c r="J450" s="10" t="n"/>
      <c r="K450" s="10">
        <f>IF(I450="","",I450-N(J450))</f>
        <v/>
      </c>
      <c r="L450">
        <f>IF(I450="","",IF(K450&lt;=0,"Paid",IF(J450&gt;0,"Partial","Pending")))</f>
        <v/>
      </c>
    </row>
    <row r="451">
      <c r="B451" s="12" t="n"/>
      <c r="F451" s="10" t="n"/>
      <c r="G451" s="10" t="n"/>
      <c r="H451" s="10" t="n"/>
      <c r="I451" s="10">
        <f>IF(OR(E451="",F451=""),"",E451*F451-N(G451)+N(H451))</f>
        <v/>
      </c>
      <c r="J451" s="10" t="n"/>
      <c r="K451" s="10">
        <f>IF(I451="","",I451-N(J451))</f>
        <v/>
      </c>
      <c r="L451">
        <f>IF(I451="","",IF(K451&lt;=0,"Paid",IF(J451&gt;0,"Partial","Pending")))</f>
        <v/>
      </c>
    </row>
    <row r="452">
      <c r="B452" s="12" t="n"/>
      <c r="F452" s="10" t="n"/>
      <c r="G452" s="10" t="n"/>
      <c r="H452" s="10" t="n"/>
      <c r="I452" s="10">
        <f>IF(OR(E452="",F452=""),"",E452*F452-N(G452)+N(H452))</f>
        <v/>
      </c>
      <c r="J452" s="10" t="n"/>
      <c r="K452" s="10">
        <f>IF(I452="","",I452-N(J452))</f>
        <v/>
      </c>
      <c r="L452">
        <f>IF(I452="","",IF(K452&lt;=0,"Paid",IF(J452&gt;0,"Partial","Pending")))</f>
        <v/>
      </c>
    </row>
    <row r="453">
      <c r="B453" s="12" t="n"/>
      <c r="F453" s="10" t="n"/>
      <c r="G453" s="10" t="n"/>
      <c r="H453" s="10" t="n"/>
      <c r="I453" s="10">
        <f>IF(OR(E453="",F453=""),"",E453*F453-N(G453)+N(H453))</f>
        <v/>
      </c>
      <c r="J453" s="10" t="n"/>
      <c r="K453" s="10">
        <f>IF(I453="","",I453-N(J453))</f>
        <v/>
      </c>
      <c r="L453">
        <f>IF(I453="","",IF(K453&lt;=0,"Paid",IF(J453&gt;0,"Partial","Pending")))</f>
        <v/>
      </c>
    </row>
    <row r="454">
      <c r="B454" s="12" t="n"/>
      <c r="F454" s="10" t="n"/>
      <c r="G454" s="10" t="n"/>
      <c r="H454" s="10" t="n"/>
      <c r="I454" s="10">
        <f>IF(OR(E454="",F454=""),"",E454*F454-N(G454)+N(H454))</f>
        <v/>
      </c>
      <c r="J454" s="10" t="n"/>
      <c r="K454" s="10">
        <f>IF(I454="","",I454-N(J454))</f>
        <v/>
      </c>
      <c r="L454">
        <f>IF(I454="","",IF(K454&lt;=0,"Paid",IF(J454&gt;0,"Partial","Pending")))</f>
        <v/>
      </c>
    </row>
    <row r="455">
      <c r="B455" s="12" t="n"/>
      <c r="F455" s="10" t="n"/>
      <c r="G455" s="10" t="n"/>
      <c r="H455" s="10" t="n"/>
      <c r="I455" s="10">
        <f>IF(OR(E455="",F455=""),"",E455*F455-N(G455)+N(H455))</f>
        <v/>
      </c>
      <c r="J455" s="10" t="n"/>
      <c r="K455" s="10">
        <f>IF(I455="","",I455-N(J455))</f>
        <v/>
      </c>
      <c r="L455">
        <f>IF(I455="","",IF(K455&lt;=0,"Paid",IF(J455&gt;0,"Partial","Pending")))</f>
        <v/>
      </c>
    </row>
    <row r="456">
      <c r="B456" s="12" t="n"/>
      <c r="F456" s="10" t="n"/>
      <c r="G456" s="10" t="n"/>
      <c r="H456" s="10" t="n"/>
      <c r="I456" s="10">
        <f>IF(OR(E456="",F456=""),"",E456*F456-N(G456)+N(H456))</f>
        <v/>
      </c>
      <c r="J456" s="10" t="n"/>
      <c r="K456" s="10">
        <f>IF(I456="","",I456-N(J456))</f>
        <v/>
      </c>
      <c r="L456">
        <f>IF(I456="","",IF(K456&lt;=0,"Paid",IF(J456&gt;0,"Partial","Pending")))</f>
        <v/>
      </c>
    </row>
    <row r="457">
      <c r="B457" s="12" t="n"/>
      <c r="F457" s="10" t="n"/>
      <c r="G457" s="10" t="n"/>
      <c r="H457" s="10" t="n"/>
      <c r="I457" s="10">
        <f>IF(OR(E457="",F457=""),"",E457*F457-N(G457)+N(H457))</f>
        <v/>
      </c>
      <c r="J457" s="10" t="n"/>
      <c r="K457" s="10">
        <f>IF(I457="","",I457-N(J457))</f>
        <v/>
      </c>
      <c r="L457">
        <f>IF(I457="","",IF(K457&lt;=0,"Paid",IF(J457&gt;0,"Partial","Pending")))</f>
        <v/>
      </c>
    </row>
    <row r="458">
      <c r="B458" s="12" t="n"/>
      <c r="F458" s="10" t="n"/>
      <c r="G458" s="10" t="n"/>
      <c r="H458" s="10" t="n"/>
      <c r="I458" s="10">
        <f>IF(OR(E458="",F458=""),"",E458*F458-N(G458)+N(H458))</f>
        <v/>
      </c>
      <c r="J458" s="10" t="n"/>
      <c r="K458" s="10">
        <f>IF(I458="","",I458-N(J458))</f>
        <v/>
      </c>
      <c r="L458">
        <f>IF(I458="","",IF(K458&lt;=0,"Paid",IF(J458&gt;0,"Partial","Pending")))</f>
        <v/>
      </c>
    </row>
    <row r="459">
      <c r="B459" s="12" t="n"/>
      <c r="F459" s="10" t="n"/>
      <c r="G459" s="10" t="n"/>
      <c r="H459" s="10" t="n"/>
      <c r="I459" s="10">
        <f>IF(OR(E459="",F459=""),"",E459*F459-N(G459)+N(H459))</f>
        <v/>
      </c>
      <c r="J459" s="10" t="n"/>
      <c r="K459" s="10">
        <f>IF(I459="","",I459-N(J459))</f>
        <v/>
      </c>
      <c r="L459">
        <f>IF(I459="","",IF(K459&lt;=0,"Paid",IF(J459&gt;0,"Partial","Pending")))</f>
        <v/>
      </c>
    </row>
    <row r="460">
      <c r="B460" s="12" t="n"/>
      <c r="F460" s="10" t="n"/>
      <c r="G460" s="10" t="n"/>
      <c r="H460" s="10" t="n"/>
      <c r="I460" s="10">
        <f>IF(OR(E460="",F460=""),"",E460*F460-N(G460)+N(H460))</f>
        <v/>
      </c>
      <c r="J460" s="10" t="n"/>
      <c r="K460" s="10">
        <f>IF(I460="","",I460-N(J460))</f>
        <v/>
      </c>
      <c r="L460">
        <f>IF(I460="","",IF(K460&lt;=0,"Paid",IF(J460&gt;0,"Partial","Pending")))</f>
        <v/>
      </c>
    </row>
    <row r="461">
      <c r="B461" s="12" t="n"/>
      <c r="F461" s="10" t="n"/>
      <c r="G461" s="10" t="n"/>
      <c r="H461" s="10" t="n"/>
      <c r="I461" s="10">
        <f>IF(OR(E461="",F461=""),"",E461*F461-N(G461)+N(H461))</f>
        <v/>
      </c>
      <c r="J461" s="10" t="n"/>
      <c r="K461" s="10">
        <f>IF(I461="","",I461-N(J461))</f>
        <v/>
      </c>
      <c r="L461">
        <f>IF(I461="","",IF(K461&lt;=0,"Paid",IF(J461&gt;0,"Partial","Pending")))</f>
        <v/>
      </c>
    </row>
    <row r="462">
      <c r="B462" s="12" t="n"/>
      <c r="F462" s="10" t="n"/>
      <c r="G462" s="10" t="n"/>
      <c r="H462" s="10" t="n"/>
      <c r="I462" s="10">
        <f>IF(OR(E462="",F462=""),"",E462*F462-N(G462)+N(H462))</f>
        <v/>
      </c>
      <c r="J462" s="10" t="n"/>
      <c r="K462" s="10">
        <f>IF(I462="","",I462-N(J462))</f>
        <v/>
      </c>
      <c r="L462">
        <f>IF(I462="","",IF(K462&lt;=0,"Paid",IF(J462&gt;0,"Partial","Pending")))</f>
        <v/>
      </c>
    </row>
    <row r="463">
      <c r="B463" s="12" t="n"/>
      <c r="F463" s="10" t="n"/>
      <c r="G463" s="10" t="n"/>
      <c r="H463" s="10" t="n"/>
      <c r="I463" s="10">
        <f>IF(OR(E463="",F463=""),"",E463*F463-N(G463)+N(H463))</f>
        <v/>
      </c>
      <c r="J463" s="10" t="n"/>
      <c r="K463" s="10">
        <f>IF(I463="","",I463-N(J463))</f>
        <v/>
      </c>
      <c r="L463">
        <f>IF(I463="","",IF(K463&lt;=0,"Paid",IF(J463&gt;0,"Partial","Pending")))</f>
        <v/>
      </c>
    </row>
    <row r="464">
      <c r="B464" s="12" t="n"/>
      <c r="F464" s="10" t="n"/>
      <c r="G464" s="10" t="n"/>
      <c r="H464" s="10" t="n"/>
      <c r="I464" s="10">
        <f>IF(OR(E464="",F464=""),"",E464*F464-N(G464)+N(H464))</f>
        <v/>
      </c>
      <c r="J464" s="10" t="n"/>
      <c r="K464" s="10">
        <f>IF(I464="","",I464-N(J464))</f>
        <v/>
      </c>
      <c r="L464">
        <f>IF(I464="","",IF(K464&lt;=0,"Paid",IF(J464&gt;0,"Partial","Pending")))</f>
        <v/>
      </c>
    </row>
    <row r="465">
      <c r="B465" s="12" t="n"/>
      <c r="F465" s="10" t="n"/>
      <c r="G465" s="10" t="n"/>
      <c r="H465" s="10" t="n"/>
      <c r="I465" s="10">
        <f>IF(OR(E465="",F465=""),"",E465*F465-N(G465)+N(H465))</f>
        <v/>
      </c>
      <c r="J465" s="10" t="n"/>
      <c r="K465" s="10">
        <f>IF(I465="","",I465-N(J465))</f>
        <v/>
      </c>
      <c r="L465">
        <f>IF(I465="","",IF(K465&lt;=0,"Paid",IF(J465&gt;0,"Partial","Pending")))</f>
        <v/>
      </c>
    </row>
    <row r="466">
      <c r="B466" s="12" t="n"/>
      <c r="F466" s="10" t="n"/>
      <c r="G466" s="10" t="n"/>
      <c r="H466" s="10" t="n"/>
      <c r="I466" s="10">
        <f>IF(OR(E466="",F466=""),"",E466*F466-N(G466)+N(H466))</f>
        <v/>
      </c>
      <c r="J466" s="10" t="n"/>
      <c r="K466" s="10">
        <f>IF(I466="","",I466-N(J466))</f>
        <v/>
      </c>
      <c r="L466">
        <f>IF(I466="","",IF(K466&lt;=0,"Paid",IF(J466&gt;0,"Partial","Pending")))</f>
        <v/>
      </c>
    </row>
    <row r="467">
      <c r="B467" s="12" t="n"/>
      <c r="F467" s="10" t="n"/>
      <c r="G467" s="10" t="n"/>
      <c r="H467" s="10" t="n"/>
      <c r="I467" s="10">
        <f>IF(OR(E467="",F467=""),"",E467*F467-N(G467)+N(H467))</f>
        <v/>
      </c>
      <c r="J467" s="10" t="n"/>
      <c r="K467" s="10">
        <f>IF(I467="","",I467-N(J467))</f>
        <v/>
      </c>
      <c r="L467">
        <f>IF(I467="","",IF(K467&lt;=0,"Paid",IF(J467&gt;0,"Partial","Pending")))</f>
        <v/>
      </c>
    </row>
    <row r="468">
      <c r="B468" s="12" t="n"/>
      <c r="F468" s="10" t="n"/>
      <c r="G468" s="10" t="n"/>
      <c r="H468" s="10" t="n"/>
      <c r="I468" s="10">
        <f>IF(OR(E468="",F468=""),"",E468*F468-N(G468)+N(H468))</f>
        <v/>
      </c>
      <c r="J468" s="10" t="n"/>
      <c r="K468" s="10">
        <f>IF(I468="","",I468-N(J468))</f>
        <v/>
      </c>
      <c r="L468">
        <f>IF(I468="","",IF(K468&lt;=0,"Paid",IF(J468&gt;0,"Partial","Pending")))</f>
        <v/>
      </c>
    </row>
    <row r="469">
      <c r="B469" s="12" t="n"/>
      <c r="F469" s="10" t="n"/>
      <c r="G469" s="10" t="n"/>
      <c r="H469" s="10" t="n"/>
      <c r="I469" s="10">
        <f>IF(OR(E469="",F469=""),"",E469*F469-N(G469)+N(H469))</f>
        <v/>
      </c>
      <c r="J469" s="10" t="n"/>
      <c r="K469" s="10">
        <f>IF(I469="","",I469-N(J469))</f>
        <v/>
      </c>
      <c r="L469">
        <f>IF(I469="","",IF(K469&lt;=0,"Paid",IF(J469&gt;0,"Partial","Pending")))</f>
        <v/>
      </c>
    </row>
    <row r="470">
      <c r="B470" s="12" t="n"/>
      <c r="F470" s="10" t="n"/>
      <c r="G470" s="10" t="n"/>
      <c r="H470" s="10" t="n"/>
      <c r="I470" s="10">
        <f>IF(OR(E470="",F470=""),"",E470*F470-N(G470)+N(H470))</f>
        <v/>
      </c>
      <c r="J470" s="10" t="n"/>
      <c r="K470" s="10">
        <f>IF(I470="","",I470-N(J470))</f>
        <v/>
      </c>
      <c r="L470">
        <f>IF(I470="","",IF(K470&lt;=0,"Paid",IF(J470&gt;0,"Partial","Pending")))</f>
        <v/>
      </c>
    </row>
    <row r="471">
      <c r="B471" s="12" t="n"/>
      <c r="F471" s="10" t="n"/>
      <c r="G471" s="10" t="n"/>
      <c r="H471" s="10" t="n"/>
      <c r="I471" s="10">
        <f>IF(OR(E471="",F471=""),"",E471*F471-N(G471)+N(H471))</f>
        <v/>
      </c>
      <c r="J471" s="10" t="n"/>
      <c r="K471" s="10">
        <f>IF(I471="","",I471-N(J471))</f>
        <v/>
      </c>
      <c r="L471">
        <f>IF(I471="","",IF(K471&lt;=0,"Paid",IF(J471&gt;0,"Partial","Pending")))</f>
        <v/>
      </c>
    </row>
    <row r="472">
      <c r="B472" s="12" t="n"/>
      <c r="F472" s="10" t="n"/>
      <c r="G472" s="10" t="n"/>
      <c r="H472" s="10" t="n"/>
      <c r="I472" s="10">
        <f>IF(OR(E472="",F472=""),"",E472*F472-N(G472)+N(H472))</f>
        <v/>
      </c>
      <c r="J472" s="10" t="n"/>
      <c r="K472" s="10">
        <f>IF(I472="","",I472-N(J472))</f>
        <v/>
      </c>
      <c r="L472">
        <f>IF(I472="","",IF(K472&lt;=0,"Paid",IF(J472&gt;0,"Partial","Pending")))</f>
        <v/>
      </c>
    </row>
    <row r="473">
      <c r="B473" s="12" t="n"/>
      <c r="F473" s="10" t="n"/>
      <c r="G473" s="10" t="n"/>
      <c r="H473" s="10" t="n"/>
      <c r="I473" s="10">
        <f>IF(OR(E473="",F473=""),"",E473*F473-N(G473)+N(H473))</f>
        <v/>
      </c>
      <c r="J473" s="10" t="n"/>
      <c r="K473" s="10">
        <f>IF(I473="","",I473-N(J473))</f>
        <v/>
      </c>
      <c r="L473">
        <f>IF(I473="","",IF(K473&lt;=0,"Paid",IF(J473&gt;0,"Partial","Pending")))</f>
        <v/>
      </c>
    </row>
    <row r="474">
      <c r="B474" s="12" t="n"/>
      <c r="F474" s="10" t="n"/>
      <c r="G474" s="10" t="n"/>
      <c r="H474" s="10" t="n"/>
      <c r="I474" s="10">
        <f>IF(OR(E474="",F474=""),"",E474*F474-N(G474)+N(H474))</f>
        <v/>
      </c>
      <c r="J474" s="10" t="n"/>
      <c r="K474" s="10">
        <f>IF(I474="","",I474-N(J474))</f>
        <v/>
      </c>
      <c r="L474">
        <f>IF(I474="","",IF(K474&lt;=0,"Paid",IF(J474&gt;0,"Partial","Pending")))</f>
        <v/>
      </c>
    </row>
    <row r="475">
      <c r="B475" s="12" t="n"/>
      <c r="F475" s="10" t="n"/>
      <c r="G475" s="10" t="n"/>
      <c r="H475" s="10" t="n"/>
      <c r="I475" s="10">
        <f>IF(OR(E475="",F475=""),"",E475*F475-N(G475)+N(H475))</f>
        <v/>
      </c>
      <c r="J475" s="10" t="n"/>
      <c r="K475" s="10">
        <f>IF(I475="","",I475-N(J475))</f>
        <v/>
      </c>
      <c r="L475">
        <f>IF(I475="","",IF(K475&lt;=0,"Paid",IF(J475&gt;0,"Partial","Pending")))</f>
        <v/>
      </c>
    </row>
    <row r="476">
      <c r="B476" s="12" t="n"/>
      <c r="F476" s="10" t="n"/>
      <c r="G476" s="10" t="n"/>
      <c r="H476" s="10" t="n"/>
      <c r="I476" s="10">
        <f>IF(OR(E476="",F476=""),"",E476*F476-N(G476)+N(H476))</f>
        <v/>
      </c>
      <c r="J476" s="10" t="n"/>
      <c r="K476" s="10">
        <f>IF(I476="","",I476-N(J476))</f>
        <v/>
      </c>
      <c r="L476">
        <f>IF(I476="","",IF(K476&lt;=0,"Paid",IF(J476&gt;0,"Partial","Pending")))</f>
        <v/>
      </c>
    </row>
    <row r="477">
      <c r="B477" s="12" t="n"/>
      <c r="F477" s="10" t="n"/>
      <c r="G477" s="10" t="n"/>
      <c r="H477" s="10" t="n"/>
      <c r="I477" s="10">
        <f>IF(OR(E477="",F477=""),"",E477*F477-N(G477)+N(H477))</f>
        <v/>
      </c>
      <c r="J477" s="10" t="n"/>
      <c r="K477" s="10">
        <f>IF(I477="","",I477-N(J477))</f>
        <v/>
      </c>
      <c r="L477">
        <f>IF(I477="","",IF(K477&lt;=0,"Paid",IF(J477&gt;0,"Partial","Pending")))</f>
        <v/>
      </c>
    </row>
    <row r="478">
      <c r="B478" s="12" t="n"/>
      <c r="F478" s="10" t="n"/>
      <c r="G478" s="10" t="n"/>
      <c r="H478" s="10" t="n"/>
      <c r="I478" s="10">
        <f>IF(OR(E478="",F478=""),"",E478*F478-N(G478)+N(H478))</f>
        <v/>
      </c>
      <c r="J478" s="10" t="n"/>
      <c r="K478" s="10">
        <f>IF(I478="","",I478-N(J478))</f>
        <v/>
      </c>
      <c r="L478">
        <f>IF(I478="","",IF(K478&lt;=0,"Paid",IF(J478&gt;0,"Partial","Pending")))</f>
        <v/>
      </c>
    </row>
    <row r="479">
      <c r="B479" s="12" t="n"/>
      <c r="F479" s="10" t="n"/>
      <c r="G479" s="10" t="n"/>
      <c r="H479" s="10" t="n"/>
      <c r="I479" s="10">
        <f>IF(OR(E479="",F479=""),"",E479*F479-N(G479)+N(H479))</f>
        <v/>
      </c>
      <c r="J479" s="10" t="n"/>
      <c r="K479" s="10">
        <f>IF(I479="","",I479-N(J479))</f>
        <v/>
      </c>
      <c r="L479">
        <f>IF(I479="","",IF(K479&lt;=0,"Paid",IF(J479&gt;0,"Partial","Pending")))</f>
        <v/>
      </c>
    </row>
    <row r="480">
      <c r="B480" s="12" t="n"/>
      <c r="F480" s="10" t="n"/>
      <c r="G480" s="10" t="n"/>
      <c r="H480" s="10" t="n"/>
      <c r="I480" s="10">
        <f>IF(OR(E480="",F480=""),"",E480*F480-N(G480)+N(H480))</f>
        <v/>
      </c>
      <c r="J480" s="10" t="n"/>
      <c r="K480" s="10">
        <f>IF(I480="","",I480-N(J480))</f>
        <v/>
      </c>
      <c r="L480">
        <f>IF(I480="","",IF(K480&lt;=0,"Paid",IF(J480&gt;0,"Partial","Pending")))</f>
        <v/>
      </c>
    </row>
    <row r="481">
      <c r="B481" s="12" t="n"/>
      <c r="F481" s="10" t="n"/>
      <c r="G481" s="10" t="n"/>
      <c r="H481" s="10" t="n"/>
      <c r="I481" s="10">
        <f>IF(OR(E481="",F481=""),"",E481*F481-N(G481)+N(H481))</f>
        <v/>
      </c>
      <c r="J481" s="10" t="n"/>
      <c r="K481" s="10">
        <f>IF(I481="","",I481-N(J481))</f>
        <v/>
      </c>
      <c r="L481">
        <f>IF(I481="","",IF(K481&lt;=0,"Paid",IF(J481&gt;0,"Partial","Pending")))</f>
        <v/>
      </c>
    </row>
    <row r="482">
      <c r="B482" s="12" t="n"/>
      <c r="F482" s="10" t="n"/>
      <c r="G482" s="10" t="n"/>
      <c r="H482" s="10" t="n"/>
      <c r="I482" s="10">
        <f>IF(OR(E482="",F482=""),"",E482*F482-N(G482)+N(H482))</f>
        <v/>
      </c>
      <c r="J482" s="10" t="n"/>
      <c r="K482" s="10">
        <f>IF(I482="","",I482-N(J482))</f>
        <v/>
      </c>
      <c r="L482">
        <f>IF(I482="","",IF(K482&lt;=0,"Paid",IF(J482&gt;0,"Partial","Pending")))</f>
        <v/>
      </c>
    </row>
    <row r="483">
      <c r="B483" s="12" t="n"/>
      <c r="F483" s="10" t="n"/>
      <c r="G483" s="10" t="n"/>
      <c r="H483" s="10" t="n"/>
      <c r="I483" s="10">
        <f>IF(OR(E483="",F483=""),"",E483*F483-N(G483)+N(H483))</f>
        <v/>
      </c>
      <c r="J483" s="10" t="n"/>
      <c r="K483" s="10">
        <f>IF(I483="","",I483-N(J483))</f>
        <v/>
      </c>
      <c r="L483">
        <f>IF(I483="","",IF(K483&lt;=0,"Paid",IF(J483&gt;0,"Partial","Pending")))</f>
        <v/>
      </c>
    </row>
    <row r="484">
      <c r="B484" s="12" t="n"/>
      <c r="F484" s="10" t="n"/>
      <c r="G484" s="10" t="n"/>
      <c r="H484" s="10" t="n"/>
      <c r="I484" s="10">
        <f>IF(OR(E484="",F484=""),"",E484*F484-N(G484)+N(H484))</f>
        <v/>
      </c>
      <c r="J484" s="10" t="n"/>
      <c r="K484" s="10">
        <f>IF(I484="","",I484-N(J484))</f>
        <v/>
      </c>
      <c r="L484">
        <f>IF(I484="","",IF(K484&lt;=0,"Paid",IF(J484&gt;0,"Partial","Pending")))</f>
        <v/>
      </c>
    </row>
    <row r="485">
      <c r="B485" s="12" t="n"/>
      <c r="F485" s="10" t="n"/>
      <c r="G485" s="10" t="n"/>
      <c r="H485" s="10" t="n"/>
      <c r="I485" s="10">
        <f>IF(OR(E485="",F485=""),"",E485*F485-N(G485)+N(H485))</f>
        <v/>
      </c>
      <c r="J485" s="10" t="n"/>
      <c r="K485" s="10">
        <f>IF(I485="","",I485-N(J485))</f>
        <v/>
      </c>
      <c r="L485">
        <f>IF(I485="","",IF(K485&lt;=0,"Paid",IF(J485&gt;0,"Partial","Pending")))</f>
        <v/>
      </c>
    </row>
    <row r="486">
      <c r="B486" s="12" t="n"/>
      <c r="F486" s="10" t="n"/>
      <c r="G486" s="10" t="n"/>
      <c r="H486" s="10" t="n"/>
      <c r="I486" s="10">
        <f>IF(OR(E486="",F486=""),"",E486*F486-N(G486)+N(H486))</f>
        <v/>
      </c>
      <c r="J486" s="10" t="n"/>
      <c r="K486" s="10">
        <f>IF(I486="","",I486-N(J486))</f>
        <v/>
      </c>
      <c r="L486">
        <f>IF(I486="","",IF(K486&lt;=0,"Paid",IF(J486&gt;0,"Partial","Pending")))</f>
        <v/>
      </c>
    </row>
    <row r="487">
      <c r="B487" s="12" t="n"/>
      <c r="F487" s="10" t="n"/>
      <c r="G487" s="10" t="n"/>
      <c r="H487" s="10" t="n"/>
      <c r="I487" s="10">
        <f>IF(OR(E487="",F487=""),"",E487*F487-N(G487)+N(H487))</f>
        <v/>
      </c>
      <c r="J487" s="10" t="n"/>
      <c r="K487" s="10">
        <f>IF(I487="","",I487-N(J487))</f>
        <v/>
      </c>
      <c r="L487">
        <f>IF(I487="","",IF(K487&lt;=0,"Paid",IF(J487&gt;0,"Partial","Pending")))</f>
        <v/>
      </c>
    </row>
    <row r="488">
      <c r="B488" s="12" t="n"/>
      <c r="F488" s="10" t="n"/>
      <c r="G488" s="10" t="n"/>
      <c r="H488" s="10" t="n"/>
      <c r="I488" s="10">
        <f>IF(OR(E488="",F488=""),"",E488*F488-N(G488)+N(H488))</f>
        <v/>
      </c>
      <c r="J488" s="10" t="n"/>
      <c r="K488" s="10">
        <f>IF(I488="","",I488-N(J488))</f>
        <v/>
      </c>
      <c r="L488">
        <f>IF(I488="","",IF(K488&lt;=0,"Paid",IF(J488&gt;0,"Partial","Pending")))</f>
        <v/>
      </c>
    </row>
    <row r="489">
      <c r="B489" s="12" t="n"/>
      <c r="F489" s="10" t="n"/>
      <c r="G489" s="10" t="n"/>
      <c r="H489" s="10" t="n"/>
      <c r="I489" s="10">
        <f>IF(OR(E489="",F489=""),"",E489*F489-N(G489)+N(H489))</f>
        <v/>
      </c>
      <c r="J489" s="10" t="n"/>
      <c r="K489" s="10">
        <f>IF(I489="","",I489-N(J489))</f>
        <v/>
      </c>
      <c r="L489">
        <f>IF(I489="","",IF(K489&lt;=0,"Paid",IF(J489&gt;0,"Partial","Pending")))</f>
        <v/>
      </c>
    </row>
    <row r="490">
      <c r="B490" s="12" t="n"/>
      <c r="F490" s="10" t="n"/>
      <c r="G490" s="10" t="n"/>
      <c r="H490" s="10" t="n"/>
      <c r="I490" s="10">
        <f>IF(OR(E490="",F490=""),"",E490*F490-N(G490)+N(H490))</f>
        <v/>
      </c>
      <c r="J490" s="10" t="n"/>
      <c r="K490" s="10">
        <f>IF(I490="","",I490-N(J490))</f>
        <v/>
      </c>
      <c r="L490">
        <f>IF(I490="","",IF(K490&lt;=0,"Paid",IF(J490&gt;0,"Partial","Pending")))</f>
        <v/>
      </c>
    </row>
    <row r="491">
      <c r="B491" s="12" t="n"/>
      <c r="F491" s="10" t="n"/>
      <c r="G491" s="10" t="n"/>
      <c r="H491" s="10" t="n"/>
      <c r="I491" s="10">
        <f>IF(OR(E491="",F491=""),"",E491*F491-N(G491)+N(H491))</f>
        <v/>
      </c>
      <c r="J491" s="10" t="n"/>
      <c r="K491" s="10">
        <f>IF(I491="","",I491-N(J491))</f>
        <v/>
      </c>
      <c r="L491">
        <f>IF(I491="","",IF(K491&lt;=0,"Paid",IF(J491&gt;0,"Partial","Pending")))</f>
        <v/>
      </c>
    </row>
    <row r="492">
      <c r="B492" s="12" t="n"/>
      <c r="F492" s="10" t="n"/>
      <c r="G492" s="10" t="n"/>
      <c r="H492" s="10" t="n"/>
      <c r="I492" s="10">
        <f>IF(OR(E492="",F492=""),"",E492*F492-N(G492)+N(H492))</f>
        <v/>
      </c>
      <c r="J492" s="10" t="n"/>
      <c r="K492" s="10">
        <f>IF(I492="","",I492-N(J492))</f>
        <v/>
      </c>
      <c r="L492">
        <f>IF(I492="","",IF(K492&lt;=0,"Paid",IF(J492&gt;0,"Partial","Pending")))</f>
        <v/>
      </c>
    </row>
    <row r="493">
      <c r="B493" s="12" t="n"/>
      <c r="F493" s="10" t="n"/>
      <c r="G493" s="10" t="n"/>
      <c r="H493" s="10" t="n"/>
      <c r="I493" s="10">
        <f>IF(OR(E493="",F493=""),"",E493*F493-N(G493)+N(H493))</f>
        <v/>
      </c>
      <c r="J493" s="10" t="n"/>
      <c r="K493" s="10">
        <f>IF(I493="","",I493-N(J493))</f>
        <v/>
      </c>
      <c r="L493">
        <f>IF(I493="","",IF(K493&lt;=0,"Paid",IF(J493&gt;0,"Partial","Pending")))</f>
        <v/>
      </c>
    </row>
    <row r="494">
      <c r="B494" s="12" t="n"/>
      <c r="F494" s="10" t="n"/>
      <c r="G494" s="10" t="n"/>
      <c r="H494" s="10" t="n"/>
      <c r="I494" s="10">
        <f>IF(OR(E494="",F494=""),"",E494*F494-N(G494)+N(H494))</f>
        <v/>
      </c>
      <c r="J494" s="10" t="n"/>
      <c r="K494" s="10">
        <f>IF(I494="","",I494-N(J494))</f>
        <v/>
      </c>
      <c r="L494">
        <f>IF(I494="","",IF(K494&lt;=0,"Paid",IF(J494&gt;0,"Partial","Pending")))</f>
        <v/>
      </c>
    </row>
    <row r="495">
      <c r="B495" s="12" t="n"/>
      <c r="F495" s="10" t="n"/>
      <c r="G495" s="10" t="n"/>
      <c r="H495" s="10" t="n"/>
      <c r="I495" s="10">
        <f>IF(OR(E495="",F495=""),"",E495*F495-N(G495)+N(H495))</f>
        <v/>
      </c>
      <c r="J495" s="10" t="n"/>
      <c r="K495" s="10">
        <f>IF(I495="","",I495-N(J495))</f>
        <v/>
      </c>
      <c r="L495">
        <f>IF(I495="","",IF(K495&lt;=0,"Paid",IF(J495&gt;0,"Partial","Pending")))</f>
        <v/>
      </c>
    </row>
    <row r="496">
      <c r="B496" s="12" t="n"/>
      <c r="F496" s="10" t="n"/>
      <c r="G496" s="10" t="n"/>
      <c r="H496" s="10" t="n"/>
      <c r="I496" s="10">
        <f>IF(OR(E496="",F496=""),"",E496*F496-N(G496)+N(H496))</f>
        <v/>
      </c>
      <c r="J496" s="10" t="n"/>
      <c r="K496" s="10">
        <f>IF(I496="","",I496-N(J496))</f>
        <v/>
      </c>
      <c r="L496">
        <f>IF(I496="","",IF(K496&lt;=0,"Paid",IF(J496&gt;0,"Partial","Pending")))</f>
        <v/>
      </c>
    </row>
    <row r="497">
      <c r="B497" s="12" t="n"/>
      <c r="F497" s="10" t="n"/>
      <c r="G497" s="10" t="n"/>
      <c r="H497" s="10" t="n"/>
      <c r="I497" s="10">
        <f>IF(OR(E497="",F497=""),"",E497*F497-N(G497)+N(H497))</f>
        <v/>
      </c>
      <c r="J497" s="10" t="n"/>
      <c r="K497" s="10">
        <f>IF(I497="","",I497-N(J497))</f>
        <v/>
      </c>
      <c r="L497">
        <f>IF(I497="","",IF(K497&lt;=0,"Paid",IF(J497&gt;0,"Partial","Pending")))</f>
        <v/>
      </c>
    </row>
    <row r="498">
      <c r="B498" s="12" t="n"/>
      <c r="F498" s="10" t="n"/>
      <c r="G498" s="10" t="n"/>
      <c r="H498" s="10" t="n"/>
      <c r="I498" s="10">
        <f>IF(OR(E498="",F498=""),"",E498*F498-N(G498)+N(H498))</f>
        <v/>
      </c>
      <c r="J498" s="10" t="n"/>
      <c r="K498" s="10">
        <f>IF(I498="","",I498-N(J498))</f>
        <v/>
      </c>
      <c r="L498">
        <f>IF(I498="","",IF(K498&lt;=0,"Paid",IF(J498&gt;0,"Partial","Pending")))</f>
        <v/>
      </c>
    </row>
    <row r="499">
      <c r="B499" s="12" t="n"/>
      <c r="F499" s="10" t="n"/>
      <c r="G499" s="10" t="n"/>
      <c r="H499" s="10" t="n"/>
      <c r="I499" s="10">
        <f>IF(OR(E499="",F499=""),"",E499*F499-N(G499)+N(H499))</f>
        <v/>
      </c>
      <c r="J499" s="10" t="n"/>
      <c r="K499" s="10">
        <f>IF(I499="","",I499-N(J499))</f>
        <v/>
      </c>
      <c r="L499">
        <f>IF(I499="","",IF(K499&lt;=0,"Paid",IF(J499&gt;0,"Partial","Pending")))</f>
        <v/>
      </c>
    </row>
    <row r="500">
      <c r="B500" s="12" t="n"/>
      <c r="F500" s="10" t="n"/>
      <c r="G500" s="10" t="n"/>
      <c r="H500" s="10" t="n"/>
      <c r="I500" s="10">
        <f>IF(OR(E500="",F500=""),"",E500*F500-N(G500)+N(H500))</f>
        <v/>
      </c>
      <c r="J500" s="10" t="n"/>
      <c r="K500" s="10">
        <f>IF(I500="","",I500-N(J500))</f>
        <v/>
      </c>
      <c r="L500">
        <f>IF(I500="","",IF(K500&lt;=0,"Paid",IF(J500&gt;0,"Partial","Pending")))</f>
        <v/>
      </c>
    </row>
    <row r="501">
      <c r="B501" s="12" t="n"/>
      <c r="F501" s="10" t="n"/>
      <c r="G501" s="10" t="n"/>
      <c r="H501" s="10" t="n"/>
      <c r="I501" s="10">
        <f>IF(OR(E501="",F501=""),"",E501*F501-N(G501)+N(H501))</f>
        <v/>
      </c>
      <c r="J501" s="10" t="n"/>
      <c r="K501" s="10">
        <f>IF(I501="","",I501-N(J501))</f>
        <v/>
      </c>
      <c r="L501">
        <f>IF(I501="","",IF(K501&lt;=0,"Paid",IF(J501&gt;0,"Partial","Pending")))</f>
        <v/>
      </c>
    </row>
    <row r="502">
      <c r="B502" s="12" t="n"/>
      <c r="F502" s="10" t="n"/>
      <c r="G502" s="10" t="n"/>
      <c r="H502" s="10" t="n"/>
      <c r="I502" s="10">
        <f>IF(OR(E502="",F502=""),"",E502*F502-N(G502)+N(H502))</f>
        <v/>
      </c>
      <c r="J502" s="10" t="n"/>
      <c r="K502" s="10">
        <f>IF(I502="","",I502-N(J502))</f>
        <v/>
      </c>
      <c r="L502">
        <f>IF(I502="","",IF(K502&lt;=0,"Paid",IF(J502&gt;0,"Partial","Pending")))</f>
        <v/>
      </c>
    </row>
    <row r="503">
      <c r="B503" s="12" t="n"/>
      <c r="F503" s="10" t="n"/>
      <c r="G503" s="10" t="n"/>
      <c r="H503" s="10" t="n"/>
      <c r="I503" s="10">
        <f>IF(OR(E503="",F503=""),"",E503*F503-N(G503)+N(H503))</f>
        <v/>
      </c>
      <c r="J503" s="10" t="n"/>
      <c r="K503" s="10">
        <f>IF(I503="","",I503-N(J503))</f>
        <v/>
      </c>
      <c r="L503">
        <f>IF(I503="","",IF(K503&lt;=0,"Paid",IF(J503&gt;0,"Partial","Pending")))</f>
        <v/>
      </c>
    </row>
    <row r="504">
      <c r="B504" s="12" t="n"/>
      <c r="F504" s="10" t="n"/>
      <c r="G504" s="10" t="n"/>
      <c r="H504" s="10" t="n"/>
      <c r="I504" s="10">
        <f>IF(OR(E504="",F504=""),"",E504*F504-N(G504)+N(H504))</f>
        <v/>
      </c>
      <c r="J504" s="10" t="n"/>
      <c r="K504" s="10">
        <f>IF(I504="","",I504-N(J504))</f>
        <v/>
      </c>
      <c r="L504">
        <f>IF(I504="","",IF(K504&lt;=0,"Paid",IF(J504&gt;0,"Partial","Pending")))</f>
        <v/>
      </c>
    </row>
    <row r="505">
      <c r="B505" s="12" t="n"/>
      <c r="F505" s="10" t="n"/>
      <c r="G505" s="10" t="n"/>
      <c r="H505" s="10" t="n"/>
      <c r="I505" s="10">
        <f>IF(OR(E505="",F505=""),"",E505*F505-N(G505)+N(H505))</f>
        <v/>
      </c>
      <c r="J505" s="10" t="n"/>
      <c r="K505" s="10">
        <f>IF(I505="","",I505-N(J505))</f>
        <v/>
      </c>
      <c r="L505">
        <f>IF(I505="","",IF(K505&lt;=0,"Paid",IF(J505&gt;0,"Partial","Pending")))</f>
        <v/>
      </c>
    </row>
    <row r="506">
      <c r="B506" s="12" t="n"/>
      <c r="F506" s="10" t="n"/>
      <c r="G506" s="10" t="n"/>
      <c r="H506" s="10" t="n"/>
      <c r="I506" s="10">
        <f>IF(OR(E506="",F506=""),"",E506*F506-N(G506)+N(H506))</f>
        <v/>
      </c>
      <c r="J506" s="10" t="n"/>
      <c r="K506" s="10">
        <f>IF(I506="","",I506-N(J506))</f>
        <v/>
      </c>
      <c r="L506">
        <f>IF(I506="","",IF(K506&lt;=0,"Paid",IF(J506&gt;0,"Partial","Pending")))</f>
        <v/>
      </c>
    </row>
    <row r="507">
      <c r="B507" s="12" t="n"/>
      <c r="F507" s="10" t="n"/>
      <c r="G507" s="10" t="n"/>
      <c r="H507" s="10" t="n"/>
      <c r="I507" s="10">
        <f>IF(OR(E507="",F507=""),"",E507*F507-N(G507)+N(H507))</f>
        <v/>
      </c>
      <c r="J507" s="10" t="n"/>
      <c r="K507" s="10">
        <f>IF(I507="","",I507-N(J507))</f>
        <v/>
      </c>
      <c r="L507">
        <f>IF(I507="","",IF(K507&lt;=0,"Paid",IF(J507&gt;0,"Partial","Pending")))</f>
        <v/>
      </c>
    </row>
    <row r="508">
      <c r="B508" s="12" t="n"/>
      <c r="F508" s="10" t="n"/>
      <c r="G508" s="10" t="n"/>
      <c r="H508" s="10" t="n"/>
      <c r="I508" s="10">
        <f>IF(OR(E508="",F508=""),"",E508*F508-N(G508)+N(H508))</f>
        <v/>
      </c>
      <c r="J508" s="10" t="n"/>
      <c r="K508" s="10">
        <f>IF(I508="","",I508-N(J508))</f>
        <v/>
      </c>
      <c r="L508">
        <f>IF(I508="","",IF(K508&lt;=0,"Paid",IF(J508&gt;0,"Partial","Pending")))</f>
        <v/>
      </c>
    </row>
    <row r="509">
      <c r="B509" s="12" t="n"/>
      <c r="F509" s="10" t="n"/>
      <c r="G509" s="10" t="n"/>
      <c r="H509" s="10" t="n"/>
      <c r="I509" s="10">
        <f>IF(OR(E509="",F509=""),"",E509*F509-N(G509)+N(H509))</f>
        <v/>
      </c>
      <c r="J509" s="10" t="n"/>
      <c r="K509" s="10">
        <f>IF(I509="","",I509-N(J509))</f>
        <v/>
      </c>
      <c r="L509">
        <f>IF(I509="","",IF(K509&lt;=0,"Paid",IF(J509&gt;0,"Partial","Pending")))</f>
        <v/>
      </c>
    </row>
    <row r="510">
      <c r="B510" s="12" t="n"/>
      <c r="F510" s="10" t="n"/>
      <c r="G510" s="10" t="n"/>
      <c r="H510" s="10" t="n"/>
      <c r="I510" s="10">
        <f>IF(OR(E510="",F510=""),"",E510*F510-N(G510)+N(H510))</f>
        <v/>
      </c>
      <c r="J510" s="10" t="n"/>
      <c r="K510" s="10">
        <f>IF(I510="","",I510-N(J510))</f>
        <v/>
      </c>
      <c r="L510">
        <f>IF(I510="","",IF(K510&lt;=0,"Paid",IF(J510&gt;0,"Partial","Pending")))</f>
        <v/>
      </c>
    </row>
    <row r="511">
      <c r="B511" s="12" t="n"/>
      <c r="F511" s="10" t="n"/>
      <c r="G511" s="10" t="n"/>
      <c r="H511" s="10" t="n"/>
      <c r="I511" s="10">
        <f>IF(OR(E511="",F511=""),"",E511*F511-N(G511)+N(H511))</f>
        <v/>
      </c>
      <c r="J511" s="10" t="n"/>
      <c r="K511" s="10">
        <f>IF(I511="","",I511-N(J511))</f>
        <v/>
      </c>
      <c r="L511">
        <f>IF(I511="","",IF(K511&lt;=0,"Paid",IF(J511&gt;0,"Partial","Pending")))</f>
        <v/>
      </c>
    </row>
    <row r="512">
      <c r="B512" s="12" t="n"/>
      <c r="F512" s="10" t="n"/>
      <c r="G512" s="10" t="n"/>
      <c r="H512" s="10" t="n"/>
      <c r="I512" s="10">
        <f>IF(OR(E512="",F512=""),"",E512*F512-N(G512)+N(H512))</f>
        <v/>
      </c>
      <c r="J512" s="10" t="n"/>
      <c r="K512" s="10">
        <f>IF(I512="","",I512-N(J512))</f>
        <v/>
      </c>
      <c r="L512">
        <f>IF(I512="","",IF(K512&lt;=0,"Paid",IF(J512&gt;0,"Partial","Pending")))</f>
        <v/>
      </c>
    </row>
    <row r="513">
      <c r="B513" s="12" t="n"/>
      <c r="F513" s="10" t="n"/>
      <c r="G513" s="10" t="n"/>
      <c r="H513" s="10" t="n"/>
      <c r="I513" s="10">
        <f>IF(OR(E513="",F513=""),"",E513*F513-N(G513)+N(H513))</f>
        <v/>
      </c>
      <c r="J513" s="10" t="n"/>
      <c r="K513" s="10">
        <f>IF(I513="","",I513-N(J513))</f>
        <v/>
      </c>
      <c r="L513">
        <f>IF(I513="","",IF(K513&lt;=0,"Paid",IF(J513&gt;0,"Partial","Pending")))</f>
        <v/>
      </c>
    </row>
    <row r="514">
      <c r="B514" s="12" t="n"/>
      <c r="F514" s="10" t="n"/>
      <c r="G514" s="10" t="n"/>
      <c r="H514" s="10" t="n"/>
      <c r="I514" s="10">
        <f>IF(OR(E514="",F514=""),"",E514*F514-N(G514)+N(H514))</f>
        <v/>
      </c>
      <c r="J514" s="10" t="n"/>
      <c r="K514" s="10">
        <f>IF(I514="","",I514-N(J514))</f>
        <v/>
      </c>
      <c r="L514">
        <f>IF(I514="","",IF(K514&lt;=0,"Paid",IF(J514&gt;0,"Partial","Pending")))</f>
        <v/>
      </c>
    </row>
    <row r="515">
      <c r="B515" s="12" t="n"/>
      <c r="F515" s="10" t="n"/>
      <c r="G515" s="10" t="n"/>
      <c r="H515" s="10" t="n"/>
      <c r="I515" s="10">
        <f>IF(OR(E515="",F515=""),"",E515*F515-N(G515)+N(H515))</f>
        <v/>
      </c>
      <c r="J515" s="10" t="n"/>
      <c r="K515" s="10">
        <f>IF(I515="","",I515-N(J515))</f>
        <v/>
      </c>
      <c r="L515">
        <f>IF(I515="","",IF(K515&lt;=0,"Paid",IF(J515&gt;0,"Partial","Pending")))</f>
        <v/>
      </c>
    </row>
    <row r="516">
      <c r="B516" s="12" t="n"/>
      <c r="F516" s="10" t="n"/>
      <c r="G516" s="10" t="n"/>
      <c r="H516" s="10" t="n"/>
      <c r="I516" s="10">
        <f>IF(OR(E516="",F516=""),"",E516*F516-N(G516)+N(H516))</f>
        <v/>
      </c>
      <c r="J516" s="10" t="n"/>
      <c r="K516" s="10">
        <f>IF(I516="","",I516-N(J516))</f>
        <v/>
      </c>
      <c r="L516">
        <f>IF(I516="","",IF(K516&lt;=0,"Paid",IF(J516&gt;0,"Partial","Pending")))</f>
        <v/>
      </c>
    </row>
    <row r="517">
      <c r="B517" s="12" t="n"/>
      <c r="F517" s="10" t="n"/>
      <c r="G517" s="10" t="n"/>
      <c r="H517" s="10" t="n"/>
      <c r="I517" s="10">
        <f>IF(OR(E517="",F517=""),"",E517*F517-N(G517)+N(H517))</f>
        <v/>
      </c>
      <c r="J517" s="10" t="n"/>
      <c r="K517" s="10">
        <f>IF(I517="","",I517-N(J517))</f>
        <v/>
      </c>
      <c r="L517">
        <f>IF(I517="","",IF(K517&lt;=0,"Paid",IF(J517&gt;0,"Partial","Pending")))</f>
        <v/>
      </c>
    </row>
    <row r="518">
      <c r="B518" s="12" t="n"/>
      <c r="F518" s="10" t="n"/>
      <c r="G518" s="10" t="n"/>
      <c r="H518" s="10" t="n"/>
      <c r="I518" s="10">
        <f>IF(OR(E518="",F518=""),"",E518*F518-N(G518)+N(H518))</f>
        <v/>
      </c>
      <c r="J518" s="10" t="n"/>
      <c r="K518" s="10">
        <f>IF(I518="","",I518-N(J518))</f>
        <v/>
      </c>
      <c r="L518">
        <f>IF(I518="","",IF(K518&lt;=0,"Paid",IF(J518&gt;0,"Partial","Pending")))</f>
        <v/>
      </c>
    </row>
    <row r="519">
      <c r="B519" s="12" t="n"/>
      <c r="F519" s="10" t="n"/>
      <c r="G519" s="10" t="n"/>
      <c r="H519" s="10" t="n"/>
      <c r="I519" s="10">
        <f>IF(OR(E519="",F519=""),"",E519*F519-N(G519)+N(H519))</f>
        <v/>
      </c>
      <c r="J519" s="10" t="n"/>
      <c r="K519" s="10">
        <f>IF(I519="","",I519-N(J519))</f>
        <v/>
      </c>
      <c r="L519">
        <f>IF(I519="","",IF(K519&lt;=0,"Paid",IF(J519&gt;0,"Partial","Pending")))</f>
        <v/>
      </c>
    </row>
    <row r="520">
      <c r="B520" s="12" t="n"/>
      <c r="F520" s="10" t="n"/>
      <c r="G520" s="10" t="n"/>
      <c r="H520" s="10" t="n"/>
      <c r="I520" s="10">
        <f>IF(OR(E520="",F520=""),"",E520*F520-N(G520)+N(H520))</f>
        <v/>
      </c>
      <c r="J520" s="10" t="n"/>
      <c r="K520" s="10">
        <f>IF(I520="","",I520-N(J520))</f>
        <v/>
      </c>
      <c r="L520">
        <f>IF(I520="","",IF(K520&lt;=0,"Paid",IF(J520&gt;0,"Partial","Pending")))</f>
        <v/>
      </c>
    </row>
    <row r="521">
      <c r="B521" s="12" t="n"/>
      <c r="F521" s="10" t="n"/>
      <c r="G521" s="10" t="n"/>
      <c r="H521" s="10" t="n"/>
      <c r="I521" s="10">
        <f>IF(OR(E521="",F521=""),"",E521*F521-N(G521)+N(H521))</f>
        <v/>
      </c>
      <c r="J521" s="10" t="n"/>
      <c r="K521" s="10">
        <f>IF(I521="","",I521-N(J521))</f>
        <v/>
      </c>
      <c r="L521">
        <f>IF(I521="","",IF(K521&lt;=0,"Paid",IF(J521&gt;0,"Partial","Pending")))</f>
        <v/>
      </c>
    </row>
    <row r="522">
      <c r="B522" s="12" t="n"/>
      <c r="F522" s="10" t="n"/>
      <c r="G522" s="10" t="n"/>
      <c r="H522" s="10" t="n"/>
      <c r="I522" s="10">
        <f>IF(OR(E522="",F522=""),"",E522*F522-N(G522)+N(H522))</f>
        <v/>
      </c>
      <c r="J522" s="10" t="n"/>
      <c r="K522" s="10">
        <f>IF(I522="","",I522-N(J522))</f>
        <v/>
      </c>
      <c r="L522">
        <f>IF(I522="","",IF(K522&lt;=0,"Paid",IF(J522&gt;0,"Partial","Pending")))</f>
        <v/>
      </c>
    </row>
    <row r="523">
      <c r="B523" s="12" t="n"/>
      <c r="F523" s="10" t="n"/>
      <c r="G523" s="10" t="n"/>
      <c r="H523" s="10" t="n"/>
      <c r="I523" s="10">
        <f>IF(OR(E523="",F523=""),"",E523*F523-N(G523)+N(H523))</f>
        <v/>
      </c>
      <c r="J523" s="10" t="n"/>
      <c r="K523" s="10">
        <f>IF(I523="","",I523-N(J523))</f>
        <v/>
      </c>
      <c r="L523">
        <f>IF(I523="","",IF(K523&lt;=0,"Paid",IF(J523&gt;0,"Partial","Pending")))</f>
        <v/>
      </c>
    </row>
    <row r="524">
      <c r="B524" s="12" t="n"/>
      <c r="F524" s="10" t="n"/>
      <c r="G524" s="10" t="n"/>
      <c r="H524" s="10" t="n"/>
      <c r="I524" s="10">
        <f>IF(OR(E524="",F524=""),"",E524*F524-N(G524)+N(H524))</f>
        <v/>
      </c>
      <c r="J524" s="10" t="n"/>
      <c r="K524" s="10">
        <f>IF(I524="","",I524-N(J524))</f>
        <v/>
      </c>
      <c r="L524">
        <f>IF(I524="","",IF(K524&lt;=0,"Paid",IF(J524&gt;0,"Partial","Pending")))</f>
        <v/>
      </c>
    </row>
    <row r="525">
      <c r="B525" s="12" t="n"/>
      <c r="F525" s="10" t="n"/>
      <c r="G525" s="10" t="n"/>
      <c r="H525" s="10" t="n"/>
      <c r="I525" s="10">
        <f>IF(OR(E525="",F525=""),"",E525*F525-N(G525)+N(H525))</f>
        <v/>
      </c>
      <c r="J525" s="10" t="n"/>
      <c r="K525" s="10">
        <f>IF(I525="","",I525-N(J525))</f>
        <v/>
      </c>
      <c r="L525">
        <f>IF(I525="","",IF(K525&lt;=0,"Paid",IF(J525&gt;0,"Partial","Pending")))</f>
        <v/>
      </c>
    </row>
    <row r="526">
      <c r="B526" s="12" t="n"/>
      <c r="F526" s="10" t="n"/>
      <c r="G526" s="10" t="n"/>
      <c r="H526" s="10" t="n"/>
      <c r="I526" s="10">
        <f>IF(OR(E526="",F526=""),"",E526*F526-N(G526)+N(H526))</f>
        <v/>
      </c>
      <c r="J526" s="10" t="n"/>
      <c r="K526" s="10">
        <f>IF(I526="","",I526-N(J526))</f>
        <v/>
      </c>
      <c r="L526">
        <f>IF(I526="","",IF(K526&lt;=0,"Paid",IF(J526&gt;0,"Partial","Pending")))</f>
        <v/>
      </c>
    </row>
    <row r="527">
      <c r="B527" s="12" t="n"/>
      <c r="F527" s="10" t="n"/>
      <c r="G527" s="10" t="n"/>
      <c r="H527" s="10" t="n"/>
      <c r="I527" s="10">
        <f>IF(OR(E527="",F527=""),"",E527*F527-N(G527)+N(H527))</f>
        <v/>
      </c>
      <c r="J527" s="10" t="n"/>
      <c r="K527" s="10">
        <f>IF(I527="","",I527-N(J527))</f>
        <v/>
      </c>
      <c r="L527">
        <f>IF(I527="","",IF(K527&lt;=0,"Paid",IF(J527&gt;0,"Partial","Pending")))</f>
        <v/>
      </c>
    </row>
    <row r="528">
      <c r="B528" s="12" t="n"/>
      <c r="F528" s="10" t="n"/>
      <c r="G528" s="10" t="n"/>
      <c r="H528" s="10" t="n"/>
      <c r="I528" s="10">
        <f>IF(OR(E528="",F528=""),"",E528*F528-N(G528)+N(H528))</f>
        <v/>
      </c>
      <c r="J528" s="10" t="n"/>
      <c r="K528" s="10">
        <f>IF(I528="","",I528-N(J528))</f>
        <v/>
      </c>
      <c r="L528">
        <f>IF(I528="","",IF(K528&lt;=0,"Paid",IF(J528&gt;0,"Partial","Pending")))</f>
        <v/>
      </c>
    </row>
    <row r="529">
      <c r="B529" s="12" t="n"/>
      <c r="F529" s="10" t="n"/>
      <c r="G529" s="10" t="n"/>
      <c r="H529" s="10" t="n"/>
      <c r="I529" s="10">
        <f>IF(OR(E529="",F529=""),"",E529*F529-N(G529)+N(H529))</f>
        <v/>
      </c>
      <c r="J529" s="10" t="n"/>
      <c r="K529" s="10">
        <f>IF(I529="","",I529-N(J529))</f>
        <v/>
      </c>
      <c r="L529">
        <f>IF(I529="","",IF(K529&lt;=0,"Paid",IF(J529&gt;0,"Partial","Pending")))</f>
        <v/>
      </c>
    </row>
    <row r="530">
      <c r="B530" s="12" t="n"/>
      <c r="F530" s="10" t="n"/>
      <c r="G530" s="10" t="n"/>
      <c r="H530" s="10" t="n"/>
      <c r="I530" s="10">
        <f>IF(OR(E530="",F530=""),"",E530*F530-N(G530)+N(H530))</f>
        <v/>
      </c>
      <c r="J530" s="10" t="n"/>
      <c r="K530" s="10">
        <f>IF(I530="","",I530-N(J530))</f>
        <v/>
      </c>
      <c r="L530">
        <f>IF(I530="","",IF(K530&lt;=0,"Paid",IF(J530&gt;0,"Partial","Pending")))</f>
        <v/>
      </c>
    </row>
    <row r="531">
      <c r="B531" s="12" t="n"/>
      <c r="F531" s="10" t="n"/>
      <c r="G531" s="10" t="n"/>
      <c r="H531" s="10" t="n"/>
      <c r="I531" s="10">
        <f>IF(OR(E531="",F531=""),"",E531*F531-N(G531)+N(H531))</f>
        <v/>
      </c>
      <c r="J531" s="10" t="n"/>
      <c r="K531" s="10">
        <f>IF(I531="","",I531-N(J531))</f>
        <v/>
      </c>
      <c r="L531">
        <f>IF(I531="","",IF(K531&lt;=0,"Paid",IF(J531&gt;0,"Partial","Pending")))</f>
        <v/>
      </c>
    </row>
    <row r="532">
      <c r="B532" s="12" t="n"/>
      <c r="F532" s="10" t="n"/>
      <c r="G532" s="10" t="n"/>
      <c r="H532" s="10" t="n"/>
      <c r="I532" s="10">
        <f>IF(OR(E532="",F532=""),"",E532*F532-N(G532)+N(H532))</f>
        <v/>
      </c>
      <c r="J532" s="10" t="n"/>
      <c r="K532" s="10">
        <f>IF(I532="","",I532-N(J532))</f>
        <v/>
      </c>
      <c r="L532">
        <f>IF(I532="","",IF(K532&lt;=0,"Paid",IF(J532&gt;0,"Partial","Pending")))</f>
        <v/>
      </c>
    </row>
    <row r="533">
      <c r="B533" s="12" t="n"/>
      <c r="F533" s="10" t="n"/>
      <c r="G533" s="10" t="n"/>
      <c r="H533" s="10" t="n"/>
      <c r="I533" s="10">
        <f>IF(OR(E533="",F533=""),"",E533*F533-N(G533)+N(H533))</f>
        <v/>
      </c>
      <c r="J533" s="10" t="n"/>
      <c r="K533" s="10">
        <f>IF(I533="","",I533-N(J533))</f>
        <v/>
      </c>
      <c r="L533">
        <f>IF(I533="","",IF(K533&lt;=0,"Paid",IF(J533&gt;0,"Partial","Pending")))</f>
        <v/>
      </c>
    </row>
    <row r="534">
      <c r="B534" s="12" t="n"/>
      <c r="F534" s="10" t="n"/>
      <c r="G534" s="10" t="n"/>
      <c r="H534" s="10" t="n"/>
      <c r="I534" s="10">
        <f>IF(OR(E534="",F534=""),"",E534*F534-N(G534)+N(H534))</f>
        <v/>
      </c>
      <c r="J534" s="10" t="n"/>
      <c r="K534" s="10">
        <f>IF(I534="","",I534-N(J534))</f>
        <v/>
      </c>
      <c r="L534">
        <f>IF(I534="","",IF(K534&lt;=0,"Paid",IF(J534&gt;0,"Partial","Pending")))</f>
        <v/>
      </c>
    </row>
    <row r="535">
      <c r="B535" s="12" t="n"/>
      <c r="F535" s="10" t="n"/>
      <c r="G535" s="10" t="n"/>
      <c r="H535" s="10" t="n"/>
      <c r="I535" s="10">
        <f>IF(OR(E535="",F535=""),"",E535*F535-N(G535)+N(H535))</f>
        <v/>
      </c>
      <c r="J535" s="10" t="n"/>
      <c r="K535" s="10">
        <f>IF(I535="","",I535-N(J535))</f>
        <v/>
      </c>
      <c r="L535">
        <f>IF(I535="","",IF(K535&lt;=0,"Paid",IF(J535&gt;0,"Partial","Pending")))</f>
        <v/>
      </c>
    </row>
    <row r="536">
      <c r="B536" s="12" t="n"/>
      <c r="F536" s="10" t="n"/>
      <c r="G536" s="10" t="n"/>
      <c r="H536" s="10" t="n"/>
      <c r="I536" s="10">
        <f>IF(OR(E536="",F536=""),"",E536*F536-N(G536)+N(H536))</f>
        <v/>
      </c>
      <c r="J536" s="10" t="n"/>
      <c r="K536" s="10">
        <f>IF(I536="","",I536-N(J536))</f>
        <v/>
      </c>
      <c r="L536">
        <f>IF(I536="","",IF(K536&lt;=0,"Paid",IF(J536&gt;0,"Partial","Pending")))</f>
        <v/>
      </c>
    </row>
    <row r="537">
      <c r="B537" s="12" t="n"/>
      <c r="F537" s="10" t="n"/>
      <c r="G537" s="10" t="n"/>
      <c r="H537" s="10" t="n"/>
      <c r="I537" s="10">
        <f>IF(OR(E537="",F537=""),"",E537*F537-N(G537)+N(H537))</f>
        <v/>
      </c>
      <c r="J537" s="10" t="n"/>
      <c r="K537" s="10">
        <f>IF(I537="","",I537-N(J537))</f>
        <v/>
      </c>
      <c r="L537">
        <f>IF(I537="","",IF(K537&lt;=0,"Paid",IF(J537&gt;0,"Partial","Pending")))</f>
        <v/>
      </c>
    </row>
    <row r="538">
      <c r="B538" s="12" t="n"/>
      <c r="F538" s="10" t="n"/>
      <c r="G538" s="10" t="n"/>
      <c r="H538" s="10" t="n"/>
      <c r="I538" s="10">
        <f>IF(OR(E538="",F538=""),"",E538*F538-N(G538)+N(H538))</f>
        <v/>
      </c>
      <c r="J538" s="10" t="n"/>
      <c r="K538" s="10">
        <f>IF(I538="","",I538-N(J538))</f>
        <v/>
      </c>
      <c r="L538">
        <f>IF(I538="","",IF(K538&lt;=0,"Paid",IF(J538&gt;0,"Partial","Pending")))</f>
        <v/>
      </c>
    </row>
    <row r="539">
      <c r="B539" s="12" t="n"/>
      <c r="F539" s="10" t="n"/>
      <c r="G539" s="10" t="n"/>
      <c r="H539" s="10" t="n"/>
      <c r="I539" s="10">
        <f>IF(OR(E539="",F539=""),"",E539*F539-N(G539)+N(H539))</f>
        <v/>
      </c>
      <c r="J539" s="10" t="n"/>
      <c r="K539" s="10">
        <f>IF(I539="","",I539-N(J539))</f>
        <v/>
      </c>
      <c r="L539">
        <f>IF(I539="","",IF(K539&lt;=0,"Paid",IF(J539&gt;0,"Partial","Pending")))</f>
        <v/>
      </c>
    </row>
    <row r="540">
      <c r="B540" s="12" t="n"/>
      <c r="F540" s="10" t="n"/>
      <c r="G540" s="10" t="n"/>
      <c r="H540" s="10" t="n"/>
      <c r="I540" s="10">
        <f>IF(OR(E540="",F540=""),"",E540*F540-N(G540)+N(H540))</f>
        <v/>
      </c>
      <c r="J540" s="10" t="n"/>
      <c r="K540" s="10">
        <f>IF(I540="","",I540-N(J540))</f>
        <v/>
      </c>
      <c r="L540">
        <f>IF(I540="","",IF(K540&lt;=0,"Paid",IF(J540&gt;0,"Partial","Pending")))</f>
        <v/>
      </c>
    </row>
    <row r="541">
      <c r="B541" s="12" t="n"/>
      <c r="F541" s="10" t="n"/>
      <c r="G541" s="10" t="n"/>
      <c r="H541" s="10" t="n"/>
      <c r="I541" s="10">
        <f>IF(OR(E541="",F541=""),"",E541*F541-N(G541)+N(H541))</f>
        <v/>
      </c>
      <c r="J541" s="10" t="n"/>
      <c r="K541" s="10">
        <f>IF(I541="","",I541-N(J541))</f>
        <v/>
      </c>
      <c r="L541">
        <f>IF(I541="","",IF(K541&lt;=0,"Paid",IF(J541&gt;0,"Partial","Pending")))</f>
        <v/>
      </c>
    </row>
    <row r="542">
      <c r="B542" s="12" t="n"/>
      <c r="F542" s="10" t="n"/>
      <c r="G542" s="10" t="n"/>
      <c r="H542" s="10" t="n"/>
      <c r="I542" s="10">
        <f>IF(OR(E542="",F542=""),"",E542*F542-N(G542)+N(H542))</f>
        <v/>
      </c>
      <c r="J542" s="10" t="n"/>
      <c r="K542" s="10">
        <f>IF(I542="","",I542-N(J542))</f>
        <v/>
      </c>
      <c r="L542">
        <f>IF(I542="","",IF(K542&lt;=0,"Paid",IF(J542&gt;0,"Partial","Pending")))</f>
        <v/>
      </c>
    </row>
    <row r="543">
      <c r="B543" s="12" t="n"/>
      <c r="F543" s="10" t="n"/>
      <c r="G543" s="10" t="n"/>
      <c r="H543" s="10" t="n"/>
      <c r="I543" s="10">
        <f>IF(OR(E543="",F543=""),"",E543*F543-N(G543)+N(H543))</f>
        <v/>
      </c>
      <c r="J543" s="10" t="n"/>
      <c r="K543" s="10">
        <f>IF(I543="","",I543-N(J543))</f>
        <v/>
      </c>
      <c r="L543">
        <f>IF(I543="","",IF(K543&lt;=0,"Paid",IF(J543&gt;0,"Partial","Pending")))</f>
        <v/>
      </c>
    </row>
    <row r="544">
      <c r="B544" s="12" t="n"/>
      <c r="F544" s="10" t="n"/>
      <c r="G544" s="10" t="n"/>
      <c r="H544" s="10" t="n"/>
      <c r="I544" s="10">
        <f>IF(OR(E544="",F544=""),"",E544*F544-N(G544)+N(H544))</f>
        <v/>
      </c>
      <c r="J544" s="10" t="n"/>
      <c r="K544" s="10">
        <f>IF(I544="","",I544-N(J544))</f>
        <v/>
      </c>
      <c r="L544">
        <f>IF(I544="","",IF(K544&lt;=0,"Paid",IF(J544&gt;0,"Partial","Pending")))</f>
        <v/>
      </c>
    </row>
    <row r="545">
      <c r="B545" s="12" t="n"/>
      <c r="F545" s="10" t="n"/>
      <c r="G545" s="10" t="n"/>
      <c r="H545" s="10" t="n"/>
      <c r="I545" s="10">
        <f>IF(OR(E545="",F545=""),"",E545*F545-N(G545)+N(H545))</f>
        <v/>
      </c>
      <c r="J545" s="10" t="n"/>
      <c r="K545" s="10">
        <f>IF(I545="","",I545-N(J545))</f>
        <v/>
      </c>
      <c r="L545">
        <f>IF(I545="","",IF(K545&lt;=0,"Paid",IF(J545&gt;0,"Partial","Pending")))</f>
        <v/>
      </c>
    </row>
    <row r="546">
      <c r="B546" s="12" t="n"/>
      <c r="F546" s="10" t="n"/>
      <c r="G546" s="10" t="n"/>
      <c r="H546" s="10" t="n"/>
      <c r="I546" s="10">
        <f>IF(OR(E546="",F546=""),"",E546*F546-N(G546)+N(H546))</f>
        <v/>
      </c>
      <c r="J546" s="10" t="n"/>
      <c r="K546" s="10">
        <f>IF(I546="","",I546-N(J546))</f>
        <v/>
      </c>
      <c r="L546">
        <f>IF(I546="","",IF(K546&lt;=0,"Paid",IF(J546&gt;0,"Partial","Pending")))</f>
        <v/>
      </c>
    </row>
    <row r="547">
      <c r="B547" s="12" t="n"/>
      <c r="F547" s="10" t="n"/>
      <c r="G547" s="10" t="n"/>
      <c r="H547" s="10" t="n"/>
      <c r="I547" s="10">
        <f>IF(OR(E547="",F547=""),"",E547*F547-N(G547)+N(H547))</f>
        <v/>
      </c>
      <c r="J547" s="10" t="n"/>
      <c r="K547" s="10">
        <f>IF(I547="","",I547-N(J547))</f>
        <v/>
      </c>
      <c r="L547">
        <f>IF(I547="","",IF(K547&lt;=0,"Paid",IF(J547&gt;0,"Partial","Pending")))</f>
        <v/>
      </c>
    </row>
    <row r="548">
      <c r="B548" s="12" t="n"/>
      <c r="F548" s="10" t="n"/>
      <c r="G548" s="10" t="n"/>
      <c r="H548" s="10" t="n"/>
      <c r="I548" s="10">
        <f>IF(OR(E548="",F548=""),"",E548*F548-N(G548)+N(H548))</f>
        <v/>
      </c>
      <c r="J548" s="10" t="n"/>
      <c r="K548" s="10">
        <f>IF(I548="","",I548-N(J548))</f>
        <v/>
      </c>
      <c r="L548">
        <f>IF(I548="","",IF(K548&lt;=0,"Paid",IF(J548&gt;0,"Partial","Pending")))</f>
        <v/>
      </c>
    </row>
    <row r="549">
      <c r="B549" s="12" t="n"/>
      <c r="F549" s="10" t="n"/>
      <c r="G549" s="10" t="n"/>
      <c r="H549" s="10" t="n"/>
      <c r="I549" s="10">
        <f>IF(OR(E549="",F549=""),"",E549*F549-N(G549)+N(H549))</f>
        <v/>
      </c>
      <c r="J549" s="10" t="n"/>
      <c r="K549" s="10">
        <f>IF(I549="","",I549-N(J549))</f>
        <v/>
      </c>
      <c r="L549">
        <f>IF(I549="","",IF(K549&lt;=0,"Paid",IF(J549&gt;0,"Partial","Pending")))</f>
        <v/>
      </c>
    </row>
    <row r="550">
      <c r="B550" s="12" t="n"/>
      <c r="F550" s="10" t="n"/>
      <c r="G550" s="10" t="n"/>
      <c r="H550" s="10" t="n"/>
      <c r="I550" s="10">
        <f>IF(OR(E550="",F550=""),"",E550*F550-N(G550)+N(H550))</f>
        <v/>
      </c>
      <c r="J550" s="10" t="n"/>
      <c r="K550" s="10">
        <f>IF(I550="","",I550-N(J550))</f>
        <v/>
      </c>
      <c r="L550">
        <f>IF(I550="","",IF(K550&lt;=0,"Paid",IF(J550&gt;0,"Partial","Pending")))</f>
        <v/>
      </c>
    </row>
    <row r="551">
      <c r="B551" s="12" t="n"/>
      <c r="F551" s="10" t="n"/>
      <c r="G551" s="10" t="n"/>
      <c r="H551" s="10" t="n"/>
      <c r="I551" s="10">
        <f>IF(OR(E551="",F551=""),"",E551*F551-N(G551)+N(H551))</f>
        <v/>
      </c>
      <c r="J551" s="10" t="n"/>
      <c r="K551" s="10">
        <f>IF(I551="","",I551-N(J551))</f>
        <v/>
      </c>
      <c r="L551">
        <f>IF(I551="","",IF(K551&lt;=0,"Paid",IF(J551&gt;0,"Partial","Pending")))</f>
        <v/>
      </c>
    </row>
    <row r="552">
      <c r="B552" s="12" t="n"/>
      <c r="F552" s="10" t="n"/>
      <c r="G552" s="10" t="n"/>
      <c r="H552" s="10" t="n"/>
      <c r="I552" s="10">
        <f>IF(OR(E552="",F552=""),"",E552*F552-N(G552)+N(H552))</f>
        <v/>
      </c>
      <c r="J552" s="10" t="n"/>
      <c r="K552" s="10">
        <f>IF(I552="","",I552-N(J552))</f>
        <v/>
      </c>
      <c r="L552">
        <f>IF(I552="","",IF(K552&lt;=0,"Paid",IF(J552&gt;0,"Partial","Pending")))</f>
        <v/>
      </c>
    </row>
    <row r="553">
      <c r="B553" s="12" t="n"/>
      <c r="F553" s="10" t="n"/>
      <c r="G553" s="10" t="n"/>
      <c r="H553" s="10" t="n"/>
      <c r="I553" s="10">
        <f>IF(OR(E553="",F553=""),"",E553*F553-N(G553)+N(H553))</f>
        <v/>
      </c>
      <c r="J553" s="10" t="n"/>
      <c r="K553" s="10">
        <f>IF(I553="","",I553-N(J553))</f>
        <v/>
      </c>
      <c r="L553">
        <f>IF(I553="","",IF(K553&lt;=0,"Paid",IF(J553&gt;0,"Partial","Pending")))</f>
        <v/>
      </c>
    </row>
    <row r="554">
      <c r="B554" s="12" t="n"/>
      <c r="F554" s="10" t="n"/>
      <c r="G554" s="10" t="n"/>
      <c r="H554" s="10" t="n"/>
      <c r="I554" s="10">
        <f>IF(OR(E554="",F554=""),"",E554*F554-N(G554)+N(H554))</f>
        <v/>
      </c>
      <c r="J554" s="10" t="n"/>
      <c r="K554" s="10">
        <f>IF(I554="","",I554-N(J554))</f>
        <v/>
      </c>
      <c r="L554">
        <f>IF(I554="","",IF(K554&lt;=0,"Paid",IF(J554&gt;0,"Partial","Pending")))</f>
        <v/>
      </c>
    </row>
    <row r="555">
      <c r="B555" s="12" t="n"/>
      <c r="F555" s="10" t="n"/>
      <c r="G555" s="10" t="n"/>
      <c r="H555" s="10" t="n"/>
      <c r="I555" s="10">
        <f>IF(OR(E555="",F555=""),"",E555*F555-N(G555)+N(H555))</f>
        <v/>
      </c>
      <c r="J555" s="10" t="n"/>
      <c r="K555" s="10">
        <f>IF(I555="","",I555-N(J555))</f>
        <v/>
      </c>
      <c r="L555">
        <f>IF(I555="","",IF(K555&lt;=0,"Paid",IF(J555&gt;0,"Partial","Pending")))</f>
        <v/>
      </c>
    </row>
    <row r="556">
      <c r="B556" s="12" t="n"/>
      <c r="F556" s="10" t="n"/>
      <c r="G556" s="10" t="n"/>
      <c r="H556" s="10" t="n"/>
      <c r="I556" s="10">
        <f>IF(OR(E556="",F556=""),"",E556*F556-N(G556)+N(H556))</f>
        <v/>
      </c>
      <c r="J556" s="10" t="n"/>
      <c r="K556" s="10">
        <f>IF(I556="","",I556-N(J556))</f>
        <v/>
      </c>
      <c r="L556">
        <f>IF(I556="","",IF(K556&lt;=0,"Paid",IF(J556&gt;0,"Partial","Pending")))</f>
        <v/>
      </c>
    </row>
    <row r="557">
      <c r="B557" s="12" t="n"/>
      <c r="F557" s="10" t="n"/>
      <c r="G557" s="10" t="n"/>
      <c r="H557" s="10" t="n"/>
      <c r="I557" s="10">
        <f>IF(OR(E557="",F557=""),"",E557*F557-N(G557)+N(H557))</f>
        <v/>
      </c>
      <c r="J557" s="10" t="n"/>
      <c r="K557" s="10">
        <f>IF(I557="","",I557-N(J557))</f>
        <v/>
      </c>
      <c r="L557">
        <f>IF(I557="","",IF(K557&lt;=0,"Paid",IF(J557&gt;0,"Partial","Pending")))</f>
        <v/>
      </c>
    </row>
    <row r="558">
      <c r="B558" s="12" t="n"/>
      <c r="F558" s="10" t="n"/>
      <c r="G558" s="10" t="n"/>
      <c r="H558" s="10" t="n"/>
      <c r="I558" s="10">
        <f>IF(OR(E558="",F558=""),"",E558*F558-N(G558)+N(H558))</f>
        <v/>
      </c>
      <c r="J558" s="10" t="n"/>
      <c r="K558" s="10">
        <f>IF(I558="","",I558-N(J558))</f>
        <v/>
      </c>
      <c r="L558">
        <f>IF(I558="","",IF(K558&lt;=0,"Paid",IF(J558&gt;0,"Partial","Pending")))</f>
        <v/>
      </c>
    </row>
    <row r="559">
      <c r="B559" s="12" t="n"/>
      <c r="F559" s="10" t="n"/>
      <c r="G559" s="10" t="n"/>
      <c r="H559" s="10" t="n"/>
      <c r="I559" s="10">
        <f>IF(OR(E559="",F559=""),"",E559*F559-N(G559)+N(H559))</f>
        <v/>
      </c>
      <c r="J559" s="10" t="n"/>
      <c r="K559" s="10">
        <f>IF(I559="","",I559-N(J559))</f>
        <v/>
      </c>
      <c r="L559">
        <f>IF(I559="","",IF(K559&lt;=0,"Paid",IF(J559&gt;0,"Partial","Pending")))</f>
        <v/>
      </c>
    </row>
    <row r="560">
      <c r="B560" s="12" t="n"/>
      <c r="F560" s="10" t="n"/>
      <c r="G560" s="10" t="n"/>
      <c r="H560" s="10" t="n"/>
      <c r="I560" s="10">
        <f>IF(OR(E560="",F560=""),"",E560*F560-N(G560)+N(H560))</f>
        <v/>
      </c>
      <c r="J560" s="10" t="n"/>
      <c r="K560" s="10">
        <f>IF(I560="","",I560-N(J560))</f>
        <v/>
      </c>
      <c r="L560">
        <f>IF(I560="","",IF(K560&lt;=0,"Paid",IF(J560&gt;0,"Partial","Pending")))</f>
        <v/>
      </c>
    </row>
    <row r="561">
      <c r="B561" s="12" t="n"/>
      <c r="F561" s="10" t="n"/>
      <c r="G561" s="10" t="n"/>
      <c r="H561" s="10" t="n"/>
      <c r="I561" s="10">
        <f>IF(OR(E561="",F561=""),"",E561*F561-N(G561)+N(H561))</f>
        <v/>
      </c>
      <c r="J561" s="10" t="n"/>
      <c r="K561" s="10">
        <f>IF(I561="","",I561-N(J561))</f>
        <v/>
      </c>
      <c r="L561">
        <f>IF(I561="","",IF(K561&lt;=0,"Paid",IF(J561&gt;0,"Partial","Pending")))</f>
        <v/>
      </c>
    </row>
    <row r="562">
      <c r="B562" s="12" t="n"/>
      <c r="F562" s="10" t="n"/>
      <c r="G562" s="10" t="n"/>
      <c r="H562" s="10" t="n"/>
      <c r="I562" s="10">
        <f>IF(OR(E562="",F562=""),"",E562*F562-N(G562)+N(H562))</f>
        <v/>
      </c>
      <c r="J562" s="10" t="n"/>
      <c r="K562" s="10">
        <f>IF(I562="","",I562-N(J562))</f>
        <v/>
      </c>
      <c r="L562">
        <f>IF(I562="","",IF(K562&lt;=0,"Paid",IF(J562&gt;0,"Partial","Pending")))</f>
        <v/>
      </c>
    </row>
    <row r="563">
      <c r="B563" s="12" t="n"/>
      <c r="F563" s="10" t="n"/>
      <c r="G563" s="10" t="n"/>
      <c r="H563" s="10" t="n"/>
      <c r="I563" s="10">
        <f>IF(OR(E563="",F563=""),"",E563*F563-N(G563)+N(H563))</f>
        <v/>
      </c>
      <c r="J563" s="10" t="n"/>
      <c r="K563" s="10">
        <f>IF(I563="","",I563-N(J563))</f>
        <v/>
      </c>
      <c r="L563">
        <f>IF(I563="","",IF(K563&lt;=0,"Paid",IF(J563&gt;0,"Partial","Pending")))</f>
        <v/>
      </c>
    </row>
    <row r="564">
      <c r="B564" s="12" t="n"/>
      <c r="F564" s="10" t="n"/>
      <c r="G564" s="10" t="n"/>
      <c r="H564" s="10" t="n"/>
      <c r="I564" s="10">
        <f>IF(OR(E564="",F564=""),"",E564*F564-N(G564)+N(H564))</f>
        <v/>
      </c>
      <c r="J564" s="10" t="n"/>
      <c r="K564" s="10">
        <f>IF(I564="","",I564-N(J564))</f>
        <v/>
      </c>
      <c r="L564">
        <f>IF(I564="","",IF(K564&lt;=0,"Paid",IF(J564&gt;0,"Partial","Pending")))</f>
        <v/>
      </c>
    </row>
    <row r="565">
      <c r="B565" s="12" t="n"/>
      <c r="F565" s="10" t="n"/>
      <c r="G565" s="10" t="n"/>
      <c r="H565" s="10" t="n"/>
      <c r="I565" s="10">
        <f>IF(OR(E565="",F565=""),"",E565*F565-N(G565)+N(H565))</f>
        <v/>
      </c>
      <c r="J565" s="10" t="n"/>
      <c r="K565" s="10">
        <f>IF(I565="","",I565-N(J565))</f>
        <v/>
      </c>
      <c r="L565">
        <f>IF(I565="","",IF(K565&lt;=0,"Paid",IF(J565&gt;0,"Partial","Pending")))</f>
        <v/>
      </c>
    </row>
    <row r="566">
      <c r="B566" s="12" t="n"/>
      <c r="F566" s="10" t="n"/>
      <c r="G566" s="10" t="n"/>
      <c r="H566" s="10" t="n"/>
      <c r="I566" s="10">
        <f>IF(OR(E566="",F566=""),"",E566*F566-N(G566)+N(H566))</f>
        <v/>
      </c>
      <c r="J566" s="10" t="n"/>
      <c r="K566" s="10">
        <f>IF(I566="","",I566-N(J566))</f>
        <v/>
      </c>
      <c r="L566">
        <f>IF(I566="","",IF(K566&lt;=0,"Paid",IF(J566&gt;0,"Partial","Pending")))</f>
        <v/>
      </c>
    </row>
    <row r="567">
      <c r="B567" s="12" t="n"/>
      <c r="F567" s="10" t="n"/>
      <c r="G567" s="10" t="n"/>
      <c r="H567" s="10" t="n"/>
      <c r="I567" s="10">
        <f>IF(OR(E567="",F567=""),"",E567*F567-N(G567)+N(H567))</f>
        <v/>
      </c>
      <c r="J567" s="10" t="n"/>
      <c r="K567" s="10">
        <f>IF(I567="","",I567-N(J567))</f>
        <v/>
      </c>
      <c r="L567">
        <f>IF(I567="","",IF(K567&lt;=0,"Paid",IF(J567&gt;0,"Partial","Pending")))</f>
        <v/>
      </c>
    </row>
    <row r="568">
      <c r="B568" s="12" t="n"/>
      <c r="F568" s="10" t="n"/>
      <c r="G568" s="10" t="n"/>
      <c r="H568" s="10" t="n"/>
      <c r="I568" s="10">
        <f>IF(OR(E568="",F568=""),"",E568*F568-N(G568)+N(H568))</f>
        <v/>
      </c>
      <c r="J568" s="10" t="n"/>
      <c r="K568" s="10">
        <f>IF(I568="","",I568-N(J568))</f>
        <v/>
      </c>
      <c r="L568">
        <f>IF(I568="","",IF(K568&lt;=0,"Paid",IF(J568&gt;0,"Partial","Pending")))</f>
        <v/>
      </c>
    </row>
    <row r="569">
      <c r="B569" s="12" t="n"/>
      <c r="F569" s="10" t="n"/>
      <c r="G569" s="10" t="n"/>
      <c r="H569" s="10" t="n"/>
      <c r="I569" s="10">
        <f>IF(OR(E569="",F569=""),"",E569*F569-N(G569)+N(H569))</f>
        <v/>
      </c>
      <c r="J569" s="10" t="n"/>
      <c r="K569" s="10">
        <f>IF(I569="","",I569-N(J569))</f>
        <v/>
      </c>
      <c r="L569">
        <f>IF(I569="","",IF(K569&lt;=0,"Paid",IF(J569&gt;0,"Partial","Pending")))</f>
        <v/>
      </c>
    </row>
    <row r="570">
      <c r="B570" s="12" t="n"/>
      <c r="F570" s="10" t="n"/>
      <c r="G570" s="10" t="n"/>
      <c r="H570" s="10" t="n"/>
      <c r="I570" s="10">
        <f>IF(OR(E570="",F570=""),"",E570*F570-N(G570)+N(H570))</f>
        <v/>
      </c>
      <c r="J570" s="10" t="n"/>
      <c r="K570" s="10">
        <f>IF(I570="","",I570-N(J570))</f>
        <v/>
      </c>
      <c r="L570">
        <f>IF(I570="","",IF(K570&lt;=0,"Paid",IF(J570&gt;0,"Partial","Pending")))</f>
        <v/>
      </c>
    </row>
    <row r="571">
      <c r="B571" s="12" t="n"/>
      <c r="F571" s="10" t="n"/>
      <c r="G571" s="10" t="n"/>
      <c r="H571" s="10" t="n"/>
      <c r="I571" s="10">
        <f>IF(OR(E571="",F571=""),"",E571*F571-N(G571)+N(H571))</f>
        <v/>
      </c>
      <c r="J571" s="10" t="n"/>
      <c r="K571" s="10">
        <f>IF(I571="","",I571-N(J571))</f>
        <v/>
      </c>
      <c r="L571">
        <f>IF(I571="","",IF(K571&lt;=0,"Paid",IF(J571&gt;0,"Partial","Pending")))</f>
        <v/>
      </c>
    </row>
    <row r="572">
      <c r="B572" s="12" t="n"/>
      <c r="F572" s="10" t="n"/>
      <c r="G572" s="10" t="n"/>
      <c r="H572" s="10" t="n"/>
      <c r="I572" s="10">
        <f>IF(OR(E572="",F572=""),"",E572*F572-N(G572)+N(H572))</f>
        <v/>
      </c>
      <c r="J572" s="10" t="n"/>
      <c r="K572" s="10">
        <f>IF(I572="","",I572-N(J572))</f>
        <v/>
      </c>
      <c r="L572">
        <f>IF(I572="","",IF(K572&lt;=0,"Paid",IF(J572&gt;0,"Partial","Pending")))</f>
        <v/>
      </c>
    </row>
    <row r="573">
      <c r="B573" s="12" t="n"/>
      <c r="F573" s="10" t="n"/>
      <c r="G573" s="10" t="n"/>
      <c r="H573" s="10" t="n"/>
      <c r="I573" s="10">
        <f>IF(OR(E573="",F573=""),"",E573*F573-N(G573)+N(H573))</f>
        <v/>
      </c>
      <c r="J573" s="10" t="n"/>
      <c r="K573" s="10">
        <f>IF(I573="","",I573-N(J573))</f>
        <v/>
      </c>
      <c r="L573">
        <f>IF(I573="","",IF(K573&lt;=0,"Paid",IF(J573&gt;0,"Partial","Pending")))</f>
        <v/>
      </c>
    </row>
    <row r="574">
      <c r="B574" s="12" t="n"/>
      <c r="F574" s="10" t="n"/>
      <c r="G574" s="10" t="n"/>
      <c r="H574" s="10" t="n"/>
      <c r="I574" s="10">
        <f>IF(OR(E574="",F574=""),"",E574*F574-N(G574)+N(H574))</f>
        <v/>
      </c>
      <c r="J574" s="10" t="n"/>
      <c r="K574" s="10">
        <f>IF(I574="","",I574-N(J574))</f>
        <v/>
      </c>
      <c r="L574">
        <f>IF(I574="","",IF(K574&lt;=0,"Paid",IF(J574&gt;0,"Partial","Pending")))</f>
        <v/>
      </c>
    </row>
    <row r="575">
      <c r="B575" s="12" t="n"/>
      <c r="F575" s="10" t="n"/>
      <c r="G575" s="10" t="n"/>
      <c r="H575" s="10" t="n"/>
      <c r="I575" s="10">
        <f>IF(OR(E575="",F575=""),"",E575*F575-N(G575)+N(H575))</f>
        <v/>
      </c>
      <c r="J575" s="10" t="n"/>
      <c r="K575" s="10">
        <f>IF(I575="","",I575-N(J575))</f>
        <v/>
      </c>
      <c r="L575">
        <f>IF(I575="","",IF(K575&lt;=0,"Paid",IF(J575&gt;0,"Partial","Pending")))</f>
        <v/>
      </c>
    </row>
    <row r="576">
      <c r="B576" s="12" t="n"/>
      <c r="F576" s="10" t="n"/>
      <c r="G576" s="10" t="n"/>
      <c r="H576" s="10" t="n"/>
      <c r="I576" s="10">
        <f>IF(OR(E576="",F576=""),"",E576*F576-N(G576)+N(H576))</f>
        <v/>
      </c>
      <c r="J576" s="10" t="n"/>
      <c r="K576" s="10">
        <f>IF(I576="","",I576-N(J576))</f>
        <v/>
      </c>
      <c r="L576">
        <f>IF(I576="","",IF(K576&lt;=0,"Paid",IF(J576&gt;0,"Partial","Pending")))</f>
        <v/>
      </c>
    </row>
    <row r="577">
      <c r="B577" s="12" t="n"/>
      <c r="F577" s="10" t="n"/>
      <c r="G577" s="10" t="n"/>
      <c r="H577" s="10" t="n"/>
      <c r="I577" s="10">
        <f>IF(OR(E577="",F577=""),"",E577*F577-N(G577)+N(H577))</f>
        <v/>
      </c>
      <c r="J577" s="10" t="n"/>
      <c r="K577" s="10">
        <f>IF(I577="","",I577-N(J577))</f>
        <v/>
      </c>
      <c r="L577">
        <f>IF(I577="","",IF(K577&lt;=0,"Paid",IF(J577&gt;0,"Partial","Pending")))</f>
        <v/>
      </c>
    </row>
    <row r="578">
      <c r="B578" s="12" t="n"/>
      <c r="F578" s="10" t="n"/>
      <c r="G578" s="10" t="n"/>
      <c r="H578" s="10" t="n"/>
      <c r="I578" s="10">
        <f>IF(OR(E578="",F578=""),"",E578*F578-N(G578)+N(H578))</f>
        <v/>
      </c>
      <c r="J578" s="10" t="n"/>
      <c r="K578" s="10">
        <f>IF(I578="","",I578-N(J578))</f>
        <v/>
      </c>
      <c r="L578">
        <f>IF(I578="","",IF(K578&lt;=0,"Paid",IF(J578&gt;0,"Partial","Pending")))</f>
        <v/>
      </c>
    </row>
    <row r="579">
      <c r="B579" s="12" t="n"/>
      <c r="F579" s="10" t="n"/>
      <c r="G579" s="10" t="n"/>
      <c r="H579" s="10" t="n"/>
      <c r="I579" s="10">
        <f>IF(OR(E579="",F579=""),"",E579*F579-N(G579)+N(H579))</f>
        <v/>
      </c>
      <c r="J579" s="10" t="n"/>
      <c r="K579" s="10">
        <f>IF(I579="","",I579-N(J579))</f>
        <v/>
      </c>
      <c r="L579">
        <f>IF(I579="","",IF(K579&lt;=0,"Paid",IF(J579&gt;0,"Partial","Pending")))</f>
        <v/>
      </c>
    </row>
    <row r="580">
      <c r="B580" s="12" t="n"/>
      <c r="F580" s="10" t="n"/>
      <c r="G580" s="10" t="n"/>
      <c r="H580" s="10" t="n"/>
      <c r="I580" s="10">
        <f>IF(OR(E580="",F580=""),"",E580*F580-N(G580)+N(H580))</f>
        <v/>
      </c>
      <c r="J580" s="10" t="n"/>
      <c r="K580" s="10">
        <f>IF(I580="","",I580-N(J580))</f>
        <v/>
      </c>
      <c r="L580">
        <f>IF(I580="","",IF(K580&lt;=0,"Paid",IF(J580&gt;0,"Partial","Pending")))</f>
        <v/>
      </c>
    </row>
    <row r="581">
      <c r="B581" s="12" t="n"/>
      <c r="F581" s="10" t="n"/>
      <c r="G581" s="10" t="n"/>
      <c r="H581" s="10" t="n"/>
      <c r="I581" s="10">
        <f>IF(OR(E581="",F581=""),"",E581*F581-N(G581)+N(H581))</f>
        <v/>
      </c>
      <c r="J581" s="10" t="n"/>
      <c r="K581" s="10">
        <f>IF(I581="","",I581-N(J581))</f>
        <v/>
      </c>
      <c r="L581">
        <f>IF(I581="","",IF(K581&lt;=0,"Paid",IF(J581&gt;0,"Partial","Pending")))</f>
        <v/>
      </c>
    </row>
    <row r="582">
      <c r="B582" s="12" t="n"/>
      <c r="F582" s="10" t="n"/>
      <c r="G582" s="10" t="n"/>
      <c r="H582" s="10" t="n"/>
      <c r="I582" s="10">
        <f>IF(OR(E582="",F582=""),"",E582*F582-N(G582)+N(H582))</f>
        <v/>
      </c>
      <c r="J582" s="10" t="n"/>
      <c r="K582" s="10">
        <f>IF(I582="","",I582-N(J582))</f>
        <v/>
      </c>
      <c r="L582">
        <f>IF(I582="","",IF(K582&lt;=0,"Paid",IF(J582&gt;0,"Partial","Pending")))</f>
        <v/>
      </c>
    </row>
    <row r="583">
      <c r="B583" s="12" t="n"/>
      <c r="F583" s="10" t="n"/>
      <c r="G583" s="10" t="n"/>
      <c r="H583" s="10" t="n"/>
      <c r="I583" s="10">
        <f>IF(OR(E583="",F583=""),"",E583*F583-N(G583)+N(H583))</f>
        <v/>
      </c>
      <c r="J583" s="10" t="n"/>
      <c r="K583" s="10">
        <f>IF(I583="","",I583-N(J583))</f>
        <v/>
      </c>
      <c r="L583">
        <f>IF(I583="","",IF(K583&lt;=0,"Paid",IF(J583&gt;0,"Partial","Pending")))</f>
        <v/>
      </c>
    </row>
    <row r="584">
      <c r="B584" s="12" t="n"/>
      <c r="F584" s="10" t="n"/>
      <c r="G584" s="10" t="n"/>
      <c r="H584" s="10" t="n"/>
      <c r="I584" s="10">
        <f>IF(OR(E584="",F584=""),"",E584*F584-N(G584)+N(H584))</f>
        <v/>
      </c>
      <c r="J584" s="10" t="n"/>
      <c r="K584" s="10">
        <f>IF(I584="","",I584-N(J584))</f>
        <v/>
      </c>
      <c r="L584">
        <f>IF(I584="","",IF(K584&lt;=0,"Paid",IF(J584&gt;0,"Partial","Pending")))</f>
        <v/>
      </c>
    </row>
    <row r="585">
      <c r="B585" s="12" t="n"/>
      <c r="F585" s="10" t="n"/>
      <c r="G585" s="10" t="n"/>
      <c r="H585" s="10" t="n"/>
      <c r="I585" s="10">
        <f>IF(OR(E585="",F585=""),"",E585*F585-N(G585)+N(H585))</f>
        <v/>
      </c>
      <c r="J585" s="10" t="n"/>
      <c r="K585" s="10">
        <f>IF(I585="","",I585-N(J585))</f>
        <v/>
      </c>
      <c r="L585">
        <f>IF(I585="","",IF(K585&lt;=0,"Paid",IF(J585&gt;0,"Partial","Pending")))</f>
        <v/>
      </c>
    </row>
    <row r="586">
      <c r="B586" s="12" t="n"/>
      <c r="F586" s="10" t="n"/>
      <c r="G586" s="10" t="n"/>
      <c r="H586" s="10" t="n"/>
      <c r="I586" s="10">
        <f>IF(OR(E586="",F586=""),"",E586*F586-N(G586)+N(H586))</f>
        <v/>
      </c>
      <c r="J586" s="10" t="n"/>
      <c r="K586" s="10">
        <f>IF(I586="","",I586-N(J586))</f>
        <v/>
      </c>
      <c r="L586">
        <f>IF(I586="","",IF(K586&lt;=0,"Paid",IF(J586&gt;0,"Partial","Pending")))</f>
        <v/>
      </c>
    </row>
    <row r="587">
      <c r="B587" s="12" t="n"/>
      <c r="F587" s="10" t="n"/>
      <c r="G587" s="10" t="n"/>
      <c r="H587" s="10" t="n"/>
      <c r="I587" s="10">
        <f>IF(OR(E587="",F587=""),"",E587*F587-N(G587)+N(H587))</f>
        <v/>
      </c>
      <c r="J587" s="10" t="n"/>
      <c r="K587" s="10">
        <f>IF(I587="","",I587-N(J587))</f>
        <v/>
      </c>
      <c r="L587">
        <f>IF(I587="","",IF(K587&lt;=0,"Paid",IF(J587&gt;0,"Partial","Pending")))</f>
        <v/>
      </c>
    </row>
    <row r="588">
      <c r="B588" s="12" t="n"/>
      <c r="F588" s="10" t="n"/>
      <c r="G588" s="10" t="n"/>
      <c r="H588" s="10" t="n"/>
      <c r="I588" s="10">
        <f>IF(OR(E588="",F588=""),"",E588*F588-N(G588)+N(H588))</f>
        <v/>
      </c>
      <c r="J588" s="10" t="n"/>
      <c r="K588" s="10">
        <f>IF(I588="","",I588-N(J588))</f>
        <v/>
      </c>
      <c r="L588">
        <f>IF(I588="","",IF(K588&lt;=0,"Paid",IF(J588&gt;0,"Partial","Pending")))</f>
        <v/>
      </c>
    </row>
    <row r="589">
      <c r="B589" s="12" t="n"/>
      <c r="F589" s="10" t="n"/>
      <c r="G589" s="10" t="n"/>
      <c r="H589" s="10" t="n"/>
      <c r="I589" s="10">
        <f>IF(OR(E589="",F589=""),"",E589*F589-N(G589)+N(H589))</f>
        <v/>
      </c>
      <c r="J589" s="10" t="n"/>
      <c r="K589" s="10">
        <f>IF(I589="","",I589-N(J589))</f>
        <v/>
      </c>
      <c r="L589">
        <f>IF(I589="","",IF(K589&lt;=0,"Paid",IF(J589&gt;0,"Partial","Pending")))</f>
        <v/>
      </c>
    </row>
    <row r="590">
      <c r="B590" s="12" t="n"/>
      <c r="F590" s="10" t="n"/>
      <c r="G590" s="10" t="n"/>
      <c r="H590" s="10" t="n"/>
      <c r="I590" s="10">
        <f>IF(OR(E590="",F590=""),"",E590*F590-N(G590)+N(H590))</f>
        <v/>
      </c>
      <c r="J590" s="10" t="n"/>
      <c r="K590" s="10">
        <f>IF(I590="","",I590-N(J590))</f>
        <v/>
      </c>
      <c r="L590">
        <f>IF(I590="","",IF(K590&lt;=0,"Paid",IF(J590&gt;0,"Partial","Pending")))</f>
        <v/>
      </c>
    </row>
    <row r="591">
      <c r="B591" s="12" t="n"/>
      <c r="F591" s="10" t="n"/>
      <c r="G591" s="10" t="n"/>
      <c r="H591" s="10" t="n"/>
      <c r="I591" s="10">
        <f>IF(OR(E591="",F591=""),"",E591*F591-N(G591)+N(H591))</f>
        <v/>
      </c>
      <c r="J591" s="10" t="n"/>
      <c r="K591" s="10">
        <f>IF(I591="","",I591-N(J591))</f>
        <v/>
      </c>
      <c r="L591">
        <f>IF(I591="","",IF(K591&lt;=0,"Paid",IF(J591&gt;0,"Partial","Pending")))</f>
        <v/>
      </c>
    </row>
    <row r="592">
      <c r="B592" s="12" t="n"/>
      <c r="F592" s="10" t="n"/>
      <c r="G592" s="10" t="n"/>
      <c r="H592" s="10" t="n"/>
      <c r="I592" s="10">
        <f>IF(OR(E592="",F592=""),"",E592*F592-N(G592)+N(H592))</f>
        <v/>
      </c>
      <c r="J592" s="10" t="n"/>
      <c r="K592" s="10">
        <f>IF(I592="","",I592-N(J592))</f>
        <v/>
      </c>
      <c r="L592">
        <f>IF(I592="","",IF(K592&lt;=0,"Paid",IF(J592&gt;0,"Partial","Pending")))</f>
        <v/>
      </c>
    </row>
    <row r="593">
      <c r="B593" s="12" t="n"/>
      <c r="F593" s="10" t="n"/>
      <c r="G593" s="10" t="n"/>
      <c r="H593" s="10" t="n"/>
      <c r="I593" s="10">
        <f>IF(OR(E593="",F593=""),"",E593*F593-N(G593)+N(H593))</f>
        <v/>
      </c>
      <c r="J593" s="10" t="n"/>
      <c r="K593" s="10">
        <f>IF(I593="","",I593-N(J593))</f>
        <v/>
      </c>
      <c r="L593">
        <f>IF(I593="","",IF(K593&lt;=0,"Paid",IF(J593&gt;0,"Partial","Pending")))</f>
        <v/>
      </c>
    </row>
    <row r="594">
      <c r="B594" s="12" t="n"/>
      <c r="F594" s="10" t="n"/>
      <c r="G594" s="10" t="n"/>
      <c r="H594" s="10" t="n"/>
      <c r="I594" s="10">
        <f>IF(OR(E594="",F594=""),"",E594*F594-N(G594)+N(H594))</f>
        <v/>
      </c>
      <c r="J594" s="10" t="n"/>
      <c r="K594" s="10">
        <f>IF(I594="","",I594-N(J594))</f>
        <v/>
      </c>
      <c r="L594">
        <f>IF(I594="","",IF(K594&lt;=0,"Paid",IF(J594&gt;0,"Partial","Pending")))</f>
        <v/>
      </c>
    </row>
    <row r="595">
      <c r="B595" s="12" t="n"/>
      <c r="F595" s="10" t="n"/>
      <c r="G595" s="10" t="n"/>
      <c r="H595" s="10" t="n"/>
      <c r="I595" s="10">
        <f>IF(OR(E595="",F595=""),"",E595*F595-N(G595)+N(H595))</f>
        <v/>
      </c>
      <c r="J595" s="10" t="n"/>
      <c r="K595" s="10">
        <f>IF(I595="","",I595-N(J595))</f>
        <v/>
      </c>
      <c r="L595">
        <f>IF(I595="","",IF(K595&lt;=0,"Paid",IF(J595&gt;0,"Partial","Pending")))</f>
        <v/>
      </c>
    </row>
    <row r="596">
      <c r="B596" s="12" t="n"/>
      <c r="F596" s="10" t="n"/>
      <c r="G596" s="10" t="n"/>
      <c r="H596" s="10" t="n"/>
      <c r="I596" s="10">
        <f>IF(OR(E596="",F596=""),"",E596*F596-N(G596)+N(H596))</f>
        <v/>
      </c>
      <c r="J596" s="10" t="n"/>
      <c r="K596" s="10">
        <f>IF(I596="","",I596-N(J596))</f>
        <v/>
      </c>
      <c r="L596">
        <f>IF(I596="","",IF(K596&lt;=0,"Paid",IF(J596&gt;0,"Partial","Pending")))</f>
        <v/>
      </c>
    </row>
    <row r="597">
      <c r="B597" s="12" t="n"/>
      <c r="F597" s="10" t="n"/>
      <c r="G597" s="10" t="n"/>
      <c r="H597" s="10" t="n"/>
      <c r="I597" s="10">
        <f>IF(OR(E597="",F597=""),"",E597*F597-N(G597)+N(H597))</f>
        <v/>
      </c>
      <c r="J597" s="10" t="n"/>
      <c r="K597" s="10">
        <f>IF(I597="","",I597-N(J597))</f>
        <v/>
      </c>
      <c r="L597">
        <f>IF(I597="","",IF(K597&lt;=0,"Paid",IF(J597&gt;0,"Partial","Pending")))</f>
        <v/>
      </c>
    </row>
    <row r="598">
      <c r="B598" s="12" t="n"/>
      <c r="F598" s="10" t="n"/>
      <c r="G598" s="10" t="n"/>
      <c r="H598" s="10" t="n"/>
      <c r="I598" s="10">
        <f>IF(OR(E598="",F598=""),"",E598*F598-N(G598)+N(H598))</f>
        <v/>
      </c>
      <c r="J598" s="10" t="n"/>
      <c r="K598" s="10">
        <f>IF(I598="","",I598-N(J598))</f>
        <v/>
      </c>
      <c r="L598">
        <f>IF(I598="","",IF(K598&lt;=0,"Paid",IF(J598&gt;0,"Partial","Pending")))</f>
        <v/>
      </c>
    </row>
    <row r="599">
      <c r="B599" s="12" t="n"/>
      <c r="F599" s="10" t="n"/>
      <c r="G599" s="10" t="n"/>
      <c r="H599" s="10" t="n"/>
      <c r="I599" s="10">
        <f>IF(OR(E599="",F599=""),"",E599*F599-N(G599)+N(H599))</f>
        <v/>
      </c>
      <c r="J599" s="10" t="n"/>
      <c r="K599" s="10">
        <f>IF(I599="","",I599-N(J599))</f>
        <v/>
      </c>
      <c r="L599">
        <f>IF(I599="","",IF(K599&lt;=0,"Paid",IF(J599&gt;0,"Partial","Pending")))</f>
        <v/>
      </c>
    </row>
    <row r="600">
      <c r="B600" s="12" t="n"/>
      <c r="F600" s="10" t="n"/>
      <c r="G600" s="10" t="n"/>
      <c r="H600" s="10" t="n"/>
      <c r="I600" s="10">
        <f>IF(OR(E600="",F600=""),"",E600*F600-N(G600)+N(H600))</f>
        <v/>
      </c>
      <c r="J600" s="10" t="n"/>
      <c r="K600" s="10">
        <f>IF(I600="","",I600-N(J600))</f>
        <v/>
      </c>
      <c r="L600">
        <f>IF(I600="","",IF(K600&lt;=0,"Paid",IF(J600&gt;0,"Partial","Pending")))</f>
        <v/>
      </c>
    </row>
    <row r="601">
      <c r="B601" s="12" t="n"/>
      <c r="F601" s="10" t="n"/>
      <c r="G601" s="10" t="n"/>
      <c r="H601" s="10" t="n"/>
      <c r="I601" s="10">
        <f>IF(OR(E601="",F601=""),"",E601*F601-N(G601)+N(H601))</f>
        <v/>
      </c>
      <c r="J601" s="10" t="n"/>
      <c r="K601" s="10">
        <f>IF(I601="","",I601-N(J601))</f>
        <v/>
      </c>
      <c r="L601">
        <f>IF(I601="","",IF(K601&lt;=0,"Paid",IF(J601&gt;0,"Partial","Pending")))</f>
        <v/>
      </c>
    </row>
    <row r="602">
      <c r="B602" s="12" t="n"/>
      <c r="F602" s="10" t="n"/>
      <c r="G602" s="10" t="n"/>
      <c r="H602" s="10" t="n"/>
      <c r="I602" s="10">
        <f>IF(OR(E602="",F602=""),"",E602*F602-N(G602)+N(H602))</f>
        <v/>
      </c>
      <c r="J602" s="10" t="n"/>
      <c r="K602" s="10">
        <f>IF(I602="","",I602-N(J602))</f>
        <v/>
      </c>
      <c r="L602">
        <f>IF(I602="","",IF(K602&lt;=0,"Paid",IF(J602&gt;0,"Partial","Pending")))</f>
        <v/>
      </c>
    </row>
    <row r="603">
      <c r="B603" s="12" t="n"/>
      <c r="F603" s="10" t="n"/>
      <c r="G603" s="10" t="n"/>
      <c r="H603" s="10" t="n"/>
      <c r="I603" s="10">
        <f>IF(OR(E603="",F603=""),"",E603*F603-N(G603)+N(H603))</f>
        <v/>
      </c>
      <c r="J603" s="10" t="n"/>
      <c r="K603" s="10">
        <f>IF(I603="","",I603-N(J603))</f>
        <v/>
      </c>
      <c r="L603">
        <f>IF(I603="","",IF(K603&lt;=0,"Paid",IF(J603&gt;0,"Partial","Pending")))</f>
        <v/>
      </c>
    </row>
    <row r="604">
      <c r="B604" s="12" t="n"/>
      <c r="F604" s="10" t="n"/>
      <c r="G604" s="10" t="n"/>
      <c r="H604" s="10" t="n"/>
      <c r="I604" s="10">
        <f>IF(OR(E604="",F604=""),"",E604*F604-N(G604)+N(H604))</f>
        <v/>
      </c>
      <c r="J604" s="10" t="n"/>
      <c r="K604" s="10">
        <f>IF(I604="","",I604-N(J604))</f>
        <v/>
      </c>
      <c r="L604">
        <f>IF(I604="","",IF(K604&lt;=0,"Paid",IF(J604&gt;0,"Partial","Pending")))</f>
        <v/>
      </c>
    </row>
    <row r="605">
      <c r="B605" s="12" t="n"/>
      <c r="F605" s="10" t="n"/>
      <c r="G605" s="10" t="n"/>
      <c r="H605" s="10" t="n"/>
      <c r="I605" s="10">
        <f>IF(OR(E605="",F605=""),"",E605*F605-N(G605)+N(H605))</f>
        <v/>
      </c>
      <c r="J605" s="10" t="n"/>
      <c r="K605" s="10">
        <f>IF(I605="","",I605-N(J605))</f>
        <v/>
      </c>
      <c r="L605">
        <f>IF(I605="","",IF(K605&lt;=0,"Paid",IF(J605&gt;0,"Partial","Pending")))</f>
        <v/>
      </c>
    </row>
    <row r="606">
      <c r="B606" s="12" t="n"/>
      <c r="F606" s="10" t="n"/>
      <c r="G606" s="10" t="n"/>
      <c r="H606" s="10" t="n"/>
      <c r="I606" s="10">
        <f>IF(OR(E606="",F606=""),"",E606*F606-N(G606)+N(H606))</f>
        <v/>
      </c>
      <c r="J606" s="10" t="n"/>
      <c r="K606" s="10">
        <f>IF(I606="","",I606-N(J606))</f>
        <v/>
      </c>
      <c r="L606">
        <f>IF(I606="","",IF(K606&lt;=0,"Paid",IF(J606&gt;0,"Partial","Pending")))</f>
        <v/>
      </c>
    </row>
    <row r="607">
      <c r="B607" s="12" t="n"/>
      <c r="F607" s="10" t="n"/>
      <c r="G607" s="10" t="n"/>
      <c r="H607" s="10" t="n"/>
      <c r="I607" s="10">
        <f>IF(OR(E607="",F607=""),"",E607*F607-N(G607)+N(H607))</f>
        <v/>
      </c>
      <c r="J607" s="10" t="n"/>
      <c r="K607" s="10">
        <f>IF(I607="","",I607-N(J607))</f>
        <v/>
      </c>
      <c r="L607">
        <f>IF(I607="","",IF(K607&lt;=0,"Paid",IF(J607&gt;0,"Partial","Pending")))</f>
        <v/>
      </c>
    </row>
    <row r="608">
      <c r="B608" s="12" t="n"/>
      <c r="F608" s="10" t="n"/>
      <c r="G608" s="10" t="n"/>
      <c r="H608" s="10" t="n"/>
      <c r="I608" s="10">
        <f>IF(OR(E608="",F608=""),"",E608*F608-N(G608)+N(H608))</f>
        <v/>
      </c>
      <c r="J608" s="10" t="n"/>
      <c r="K608" s="10">
        <f>IF(I608="","",I608-N(J608))</f>
        <v/>
      </c>
      <c r="L608">
        <f>IF(I608="","",IF(K608&lt;=0,"Paid",IF(J608&gt;0,"Partial","Pending")))</f>
        <v/>
      </c>
    </row>
    <row r="609">
      <c r="B609" s="12" t="n"/>
      <c r="F609" s="10" t="n"/>
      <c r="G609" s="10" t="n"/>
      <c r="H609" s="10" t="n"/>
      <c r="I609" s="10">
        <f>IF(OR(E609="",F609=""),"",E609*F609-N(G609)+N(H609))</f>
        <v/>
      </c>
      <c r="J609" s="10" t="n"/>
      <c r="K609" s="10">
        <f>IF(I609="","",I609-N(J609))</f>
        <v/>
      </c>
      <c r="L609">
        <f>IF(I609="","",IF(K609&lt;=0,"Paid",IF(J609&gt;0,"Partial","Pending")))</f>
        <v/>
      </c>
    </row>
    <row r="610">
      <c r="B610" s="12" t="n"/>
      <c r="F610" s="10" t="n"/>
      <c r="G610" s="10" t="n"/>
      <c r="H610" s="10" t="n"/>
      <c r="I610" s="10">
        <f>IF(OR(E610="",F610=""),"",E610*F610-N(G610)+N(H610))</f>
        <v/>
      </c>
      <c r="J610" s="10" t="n"/>
      <c r="K610" s="10">
        <f>IF(I610="","",I610-N(J610))</f>
        <v/>
      </c>
      <c r="L610">
        <f>IF(I610="","",IF(K610&lt;=0,"Paid",IF(J610&gt;0,"Partial","Pending")))</f>
        <v/>
      </c>
    </row>
    <row r="611">
      <c r="B611" s="12" t="n"/>
      <c r="F611" s="10" t="n"/>
      <c r="G611" s="10" t="n"/>
      <c r="H611" s="10" t="n"/>
      <c r="I611" s="10">
        <f>IF(OR(E611="",F611=""),"",E611*F611-N(G611)+N(H611))</f>
        <v/>
      </c>
      <c r="J611" s="10" t="n"/>
      <c r="K611" s="10">
        <f>IF(I611="","",I611-N(J611))</f>
        <v/>
      </c>
      <c r="L611">
        <f>IF(I611="","",IF(K611&lt;=0,"Paid",IF(J611&gt;0,"Partial","Pending")))</f>
        <v/>
      </c>
    </row>
    <row r="612">
      <c r="B612" s="12" t="n"/>
      <c r="F612" s="10" t="n"/>
      <c r="G612" s="10" t="n"/>
      <c r="H612" s="10" t="n"/>
      <c r="I612" s="10">
        <f>IF(OR(E612="",F612=""),"",E612*F612-N(G612)+N(H612))</f>
        <v/>
      </c>
      <c r="J612" s="10" t="n"/>
      <c r="K612" s="10">
        <f>IF(I612="","",I612-N(J612))</f>
        <v/>
      </c>
      <c r="L612">
        <f>IF(I612="","",IF(K612&lt;=0,"Paid",IF(J612&gt;0,"Partial","Pending")))</f>
        <v/>
      </c>
    </row>
    <row r="613">
      <c r="B613" s="12" t="n"/>
      <c r="F613" s="10" t="n"/>
      <c r="G613" s="10" t="n"/>
      <c r="H613" s="10" t="n"/>
      <c r="I613" s="10">
        <f>IF(OR(E613="",F613=""),"",E613*F613-N(G613)+N(H613))</f>
        <v/>
      </c>
      <c r="J613" s="10" t="n"/>
      <c r="K613" s="10">
        <f>IF(I613="","",I613-N(J613))</f>
        <v/>
      </c>
      <c r="L613">
        <f>IF(I613="","",IF(K613&lt;=0,"Paid",IF(J613&gt;0,"Partial","Pending")))</f>
        <v/>
      </c>
    </row>
    <row r="614">
      <c r="B614" s="12" t="n"/>
      <c r="F614" s="10" t="n"/>
      <c r="G614" s="10" t="n"/>
      <c r="H614" s="10" t="n"/>
      <c r="I614" s="10">
        <f>IF(OR(E614="",F614=""),"",E614*F614-N(G614)+N(H614))</f>
        <v/>
      </c>
      <c r="J614" s="10" t="n"/>
      <c r="K614" s="10">
        <f>IF(I614="","",I614-N(J614))</f>
        <v/>
      </c>
      <c r="L614">
        <f>IF(I614="","",IF(K614&lt;=0,"Paid",IF(J614&gt;0,"Partial","Pending")))</f>
        <v/>
      </c>
    </row>
    <row r="615">
      <c r="B615" s="12" t="n"/>
      <c r="F615" s="10" t="n"/>
      <c r="G615" s="10" t="n"/>
      <c r="H615" s="10" t="n"/>
      <c r="I615" s="10">
        <f>IF(OR(E615="",F615=""),"",E615*F615-N(G615)+N(H615))</f>
        <v/>
      </c>
      <c r="J615" s="10" t="n"/>
      <c r="K615" s="10">
        <f>IF(I615="","",I615-N(J615))</f>
        <v/>
      </c>
      <c r="L615">
        <f>IF(I615="","",IF(K615&lt;=0,"Paid",IF(J615&gt;0,"Partial","Pending")))</f>
        <v/>
      </c>
    </row>
    <row r="616">
      <c r="B616" s="12" t="n"/>
      <c r="F616" s="10" t="n"/>
      <c r="G616" s="10" t="n"/>
      <c r="H616" s="10" t="n"/>
      <c r="I616" s="10">
        <f>IF(OR(E616="",F616=""),"",E616*F616-N(G616)+N(H616))</f>
        <v/>
      </c>
      <c r="J616" s="10" t="n"/>
      <c r="K616" s="10">
        <f>IF(I616="","",I616-N(J616))</f>
        <v/>
      </c>
      <c r="L616">
        <f>IF(I616="","",IF(K616&lt;=0,"Paid",IF(J616&gt;0,"Partial","Pending")))</f>
        <v/>
      </c>
    </row>
    <row r="617">
      <c r="B617" s="12" t="n"/>
      <c r="F617" s="10" t="n"/>
      <c r="G617" s="10" t="n"/>
      <c r="H617" s="10" t="n"/>
      <c r="I617" s="10">
        <f>IF(OR(E617="",F617=""),"",E617*F617-N(G617)+N(H617))</f>
        <v/>
      </c>
      <c r="J617" s="10" t="n"/>
      <c r="K617" s="10">
        <f>IF(I617="","",I617-N(J617))</f>
        <v/>
      </c>
      <c r="L617">
        <f>IF(I617="","",IF(K617&lt;=0,"Paid",IF(J617&gt;0,"Partial","Pending")))</f>
        <v/>
      </c>
    </row>
    <row r="618">
      <c r="B618" s="12" t="n"/>
      <c r="F618" s="10" t="n"/>
      <c r="G618" s="10" t="n"/>
      <c r="H618" s="10" t="n"/>
      <c r="I618" s="10">
        <f>IF(OR(E618="",F618=""),"",E618*F618-N(G618)+N(H618))</f>
        <v/>
      </c>
      <c r="J618" s="10" t="n"/>
      <c r="K618" s="10">
        <f>IF(I618="","",I618-N(J618))</f>
        <v/>
      </c>
      <c r="L618">
        <f>IF(I618="","",IF(K618&lt;=0,"Paid",IF(J618&gt;0,"Partial","Pending")))</f>
        <v/>
      </c>
    </row>
    <row r="619">
      <c r="B619" s="12" t="n"/>
      <c r="F619" s="10" t="n"/>
      <c r="G619" s="10" t="n"/>
      <c r="H619" s="10" t="n"/>
      <c r="I619" s="10">
        <f>IF(OR(E619="",F619=""),"",E619*F619-N(G619)+N(H619))</f>
        <v/>
      </c>
      <c r="J619" s="10" t="n"/>
      <c r="K619" s="10">
        <f>IF(I619="","",I619-N(J619))</f>
        <v/>
      </c>
      <c r="L619">
        <f>IF(I619="","",IF(K619&lt;=0,"Paid",IF(J619&gt;0,"Partial","Pending")))</f>
        <v/>
      </c>
    </row>
    <row r="620">
      <c r="B620" s="12" t="n"/>
      <c r="F620" s="10" t="n"/>
      <c r="G620" s="10" t="n"/>
      <c r="H620" s="10" t="n"/>
      <c r="I620" s="10">
        <f>IF(OR(E620="",F620=""),"",E620*F620-N(G620)+N(H620))</f>
        <v/>
      </c>
      <c r="J620" s="10" t="n"/>
      <c r="K620" s="10">
        <f>IF(I620="","",I620-N(J620))</f>
        <v/>
      </c>
      <c r="L620">
        <f>IF(I620="","",IF(K620&lt;=0,"Paid",IF(J620&gt;0,"Partial","Pending")))</f>
        <v/>
      </c>
    </row>
    <row r="621">
      <c r="B621" s="12" t="n"/>
      <c r="F621" s="10" t="n"/>
      <c r="G621" s="10" t="n"/>
      <c r="H621" s="10" t="n"/>
      <c r="I621" s="10">
        <f>IF(OR(E621="",F621=""),"",E621*F621-N(G621)+N(H621))</f>
        <v/>
      </c>
      <c r="J621" s="10" t="n"/>
      <c r="K621" s="10">
        <f>IF(I621="","",I621-N(J621))</f>
        <v/>
      </c>
      <c r="L621">
        <f>IF(I621="","",IF(K621&lt;=0,"Paid",IF(J621&gt;0,"Partial","Pending")))</f>
        <v/>
      </c>
    </row>
    <row r="622">
      <c r="B622" s="12" t="n"/>
      <c r="F622" s="10" t="n"/>
      <c r="G622" s="10" t="n"/>
      <c r="H622" s="10" t="n"/>
      <c r="I622" s="10">
        <f>IF(OR(E622="",F622=""),"",E622*F622-N(G622)+N(H622))</f>
        <v/>
      </c>
      <c r="J622" s="10" t="n"/>
      <c r="K622" s="10">
        <f>IF(I622="","",I622-N(J622))</f>
        <v/>
      </c>
      <c r="L622">
        <f>IF(I622="","",IF(K622&lt;=0,"Paid",IF(J622&gt;0,"Partial","Pending")))</f>
        <v/>
      </c>
    </row>
    <row r="623">
      <c r="B623" s="12" t="n"/>
      <c r="F623" s="10" t="n"/>
      <c r="G623" s="10" t="n"/>
      <c r="H623" s="10" t="n"/>
      <c r="I623" s="10">
        <f>IF(OR(E623="",F623=""),"",E623*F623-N(G623)+N(H623))</f>
        <v/>
      </c>
      <c r="J623" s="10" t="n"/>
      <c r="K623" s="10">
        <f>IF(I623="","",I623-N(J623))</f>
        <v/>
      </c>
      <c r="L623">
        <f>IF(I623="","",IF(K623&lt;=0,"Paid",IF(J623&gt;0,"Partial","Pending")))</f>
        <v/>
      </c>
    </row>
    <row r="624">
      <c r="B624" s="12" t="n"/>
      <c r="F624" s="10" t="n"/>
      <c r="G624" s="10" t="n"/>
      <c r="H624" s="10" t="n"/>
      <c r="I624" s="10">
        <f>IF(OR(E624="",F624=""),"",E624*F624-N(G624)+N(H624))</f>
        <v/>
      </c>
      <c r="J624" s="10" t="n"/>
      <c r="K624" s="10">
        <f>IF(I624="","",I624-N(J624))</f>
        <v/>
      </c>
      <c r="L624">
        <f>IF(I624="","",IF(K624&lt;=0,"Paid",IF(J624&gt;0,"Partial","Pending")))</f>
        <v/>
      </c>
    </row>
    <row r="625">
      <c r="B625" s="12" t="n"/>
      <c r="F625" s="10" t="n"/>
      <c r="G625" s="10" t="n"/>
      <c r="H625" s="10" t="n"/>
      <c r="I625" s="10">
        <f>IF(OR(E625="",F625=""),"",E625*F625-N(G625)+N(H625))</f>
        <v/>
      </c>
      <c r="J625" s="10" t="n"/>
      <c r="K625" s="10">
        <f>IF(I625="","",I625-N(J625))</f>
        <v/>
      </c>
      <c r="L625">
        <f>IF(I625="","",IF(K625&lt;=0,"Paid",IF(J625&gt;0,"Partial","Pending")))</f>
        <v/>
      </c>
    </row>
    <row r="626">
      <c r="B626" s="12" t="n"/>
      <c r="F626" s="10" t="n"/>
      <c r="G626" s="10" t="n"/>
      <c r="H626" s="10" t="n"/>
      <c r="I626" s="10">
        <f>IF(OR(E626="",F626=""),"",E626*F626-N(G626)+N(H626))</f>
        <v/>
      </c>
      <c r="J626" s="10" t="n"/>
      <c r="K626" s="10">
        <f>IF(I626="","",I626-N(J626))</f>
        <v/>
      </c>
      <c r="L626">
        <f>IF(I626="","",IF(K626&lt;=0,"Paid",IF(J626&gt;0,"Partial","Pending")))</f>
        <v/>
      </c>
    </row>
    <row r="627">
      <c r="B627" s="12" t="n"/>
      <c r="F627" s="10" t="n"/>
      <c r="G627" s="10" t="n"/>
      <c r="H627" s="10" t="n"/>
      <c r="I627" s="10">
        <f>IF(OR(E627="",F627=""),"",E627*F627-N(G627)+N(H627))</f>
        <v/>
      </c>
      <c r="J627" s="10" t="n"/>
      <c r="K627" s="10">
        <f>IF(I627="","",I627-N(J627))</f>
        <v/>
      </c>
      <c r="L627">
        <f>IF(I627="","",IF(K627&lt;=0,"Paid",IF(J627&gt;0,"Partial","Pending")))</f>
        <v/>
      </c>
    </row>
    <row r="628">
      <c r="B628" s="12" t="n"/>
      <c r="F628" s="10" t="n"/>
      <c r="G628" s="10" t="n"/>
      <c r="H628" s="10" t="n"/>
      <c r="I628" s="10">
        <f>IF(OR(E628="",F628=""),"",E628*F628-N(G628)+N(H628))</f>
        <v/>
      </c>
      <c r="J628" s="10" t="n"/>
      <c r="K628" s="10">
        <f>IF(I628="","",I628-N(J628))</f>
        <v/>
      </c>
      <c r="L628">
        <f>IF(I628="","",IF(K628&lt;=0,"Paid",IF(J628&gt;0,"Partial","Pending")))</f>
        <v/>
      </c>
    </row>
    <row r="629">
      <c r="B629" s="12" t="n"/>
      <c r="F629" s="10" t="n"/>
      <c r="G629" s="10" t="n"/>
      <c r="H629" s="10" t="n"/>
      <c r="I629" s="10">
        <f>IF(OR(E629="",F629=""),"",E629*F629-N(G629)+N(H629))</f>
        <v/>
      </c>
      <c r="J629" s="10" t="n"/>
      <c r="K629" s="10">
        <f>IF(I629="","",I629-N(J629))</f>
        <v/>
      </c>
      <c r="L629">
        <f>IF(I629="","",IF(K629&lt;=0,"Paid",IF(J629&gt;0,"Partial","Pending")))</f>
        <v/>
      </c>
    </row>
    <row r="630">
      <c r="B630" s="12" t="n"/>
      <c r="F630" s="10" t="n"/>
      <c r="G630" s="10" t="n"/>
      <c r="H630" s="10" t="n"/>
      <c r="I630" s="10">
        <f>IF(OR(E630="",F630=""),"",E630*F630-N(G630)+N(H630))</f>
        <v/>
      </c>
      <c r="J630" s="10" t="n"/>
      <c r="K630" s="10">
        <f>IF(I630="","",I630-N(J630))</f>
        <v/>
      </c>
      <c r="L630">
        <f>IF(I630="","",IF(K630&lt;=0,"Paid",IF(J630&gt;0,"Partial","Pending")))</f>
        <v/>
      </c>
    </row>
    <row r="631">
      <c r="B631" s="12" t="n"/>
      <c r="F631" s="10" t="n"/>
      <c r="G631" s="10" t="n"/>
      <c r="H631" s="10" t="n"/>
      <c r="I631" s="10">
        <f>IF(OR(E631="",F631=""),"",E631*F631-N(G631)+N(H631))</f>
        <v/>
      </c>
      <c r="J631" s="10" t="n"/>
      <c r="K631" s="10">
        <f>IF(I631="","",I631-N(J631))</f>
        <v/>
      </c>
      <c r="L631">
        <f>IF(I631="","",IF(K631&lt;=0,"Paid",IF(J631&gt;0,"Partial","Pending")))</f>
        <v/>
      </c>
    </row>
    <row r="632">
      <c r="B632" s="12" t="n"/>
      <c r="F632" s="10" t="n"/>
      <c r="G632" s="10" t="n"/>
      <c r="H632" s="10" t="n"/>
      <c r="I632" s="10">
        <f>IF(OR(E632="",F632=""),"",E632*F632-N(G632)+N(H632))</f>
        <v/>
      </c>
      <c r="J632" s="10" t="n"/>
      <c r="K632" s="10">
        <f>IF(I632="","",I632-N(J632))</f>
        <v/>
      </c>
      <c r="L632">
        <f>IF(I632="","",IF(K632&lt;=0,"Paid",IF(J632&gt;0,"Partial","Pending")))</f>
        <v/>
      </c>
    </row>
    <row r="633">
      <c r="B633" s="12" t="n"/>
      <c r="F633" s="10" t="n"/>
      <c r="G633" s="10" t="n"/>
      <c r="H633" s="10" t="n"/>
      <c r="I633" s="10">
        <f>IF(OR(E633="",F633=""),"",E633*F633-N(G633)+N(H633))</f>
        <v/>
      </c>
      <c r="J633" s="10" t="n"/>
      <c r="K633" s="10">
        <f>IF(I633="","",I633-N(J633))</f>
        <v/>
      </c>
      <c r="L633">
        <f>IF(I633="","",IF(K633&lt;=0,"Paid",IF(J633&gt;0,"Partial","Pending")))</f>
        <v/>
      </c>
    </row>
    <row r="634">
      <c r="B634" s="12" t="n"/>
      <c r="F634" s="10" t="n"/>
      <c r="G634" s="10" t="n"/>
      <c r="H634" s="10" t="n"/>
      <c r="I634" s="10">
        <f>IF(OR(E634="",F634=""),"",E634*F634-N(G634)+N(H634))</f>
        <v/>
      </c>
      <c r="J634" s="10" t="n"/>
      <c r="K634" s="10">
        <f>IF(I634="","",I634-N(J634))</f>
        <v/>
      </c>
      <c r="L634">
        <f>IF(I634="","",IF(K634&lt;=0,"Paid",IF(J634&gt;0,"Partial","Pending")))</f>
        <v/>
      </c>
    </row>
    <row r="635">
      <c r="B635" s="12" t="n"/>
      <c r="F635" s="10" t="n"/>
      <c r="G635" s="10" t="n"/>
      <c r="H635" s="10" t="n"/>
      <c r="I635" s="10">
        <f>IF(OR(E635="",F635=""),"",E635*F635-N(G635)+N(H635))</f>
        <v/>
      </c>
      <c r="J635" s="10" t="n"/>
      <c r="K635" s="10">
        <f>IF(I635="","",I635-N(J635))</f>
        <v/>
      </c>
      <c r="L635">
        <f>IF(I635="","",IF(K635&lt;=0,"Paid",IF(J635&gt;0,"Partial","Pending")))</f>
        <v/>
      </c>
    </row>
    <row r="636">
      <c r="B636" s="12" t="n"/>
      <c r="F636" s="10" t="n"/>
      <c r="G636" s="10" t="n"/>
      <c r="H636" s="10" t="n"/>
      <c r="I636" s="10">
        <f>IF(OR(E636="",F636=""),"",E636*F636-N(G636)+N(H636))</f>
        <v/>
      </c>
      <c r="J636" s="10" t="n"/>
      <c r="K636" s="10">
        <f>IF(I636="","",I636-N(J636))</f>
        <v/>
      </c>
      <c r="L636">
        <f>IF(I636="","",IF(K636&lt;=0,"Paid",IF(J636&gt;0,"Partial","Pending")))</f>
        <v/>
      </c>
    </row>
    <row r="637">
      <c r="B637" s="12" t="n"/>
      <c r="F637" s="10" t="n"/>
      <c r="G637" s="10" t="n"/>
      <c r="H637" s="10" t="n"/>
      <c r="I637" s="10">
        <f>IF(OR(E637="",F637=""),"",E637*F637-N(G637)+N(H637))</f>
        <v/>
      </c>
      <c r="J637" s="10" t="n"/>
      <c r="K637" s="10">
        <f>IF(I637="","",I637-N(J637))</f>
        <v/>
      </c>
      <c r="L637">
        <f>IF(I637="","",IF(K637&lt;=0,"Paid",IF(J637&gt;0,"Partial","Pending")))</f>
        <v/>
      </c>
    </row>
    <row r="638">
      <c r="B638" s="12" t="n"/>
      <c r="F638" s="10" t="n"/>
      <c r="G638" s="10" t="n"/>
      <c r="H638" s="10" t="n"/>
      <c r="I638" s="10">
        <f>IF(OR(E638="",F638=""),"",E638*F638-N(G638)+N(H638))</f>
        <v/>
      </c>
      <c r="J638" s="10" t="n"/>
      <c r="K638" s="10">
        <f>IF(I638="","",I638-N(J638))</f>
        <v/>
      </c>
      <c r="L638">
        <f>IF(I638="","",IF(K638&lt;=0,"Paid",IF(J638&gt;0,"Partial","Pending")))</f>
        <v/>
      </c>
    </row>
    <row r="639">
      <c r="B639" s="12" t="n"/>
      <c r="F639" s="10" t="n"/>
      <c r="G639" s="10" t="n"/>
      <c r="H639" s="10" t="n"/>
      <c r="I639" s="10">
        <f>IF(OR(E639="",F639=""),"",E639*F639-N(G639)+N(H639))</f>
        <v/>
      </c>
      <c r="J639" s="10" t="n"/>
      <c r="K639" s="10">
        <f>IF(I639="","",I639-N(J639))</f>
        <v/>
      </c>
      <c r="L639">
        <f>IF(I639="","",IF(K639&lt;=0,"Paid",IF(J639&gt;0,"Partial","Pending")))</f>
        <v/>
      </c>
    </row>
    <row r="640">
      <c r="B640" s="12" t="n"/>
      <c r="F640" s="10" t="n"/>
      <c r="G640" s="10" t="n"/>
      <c r="H640" s="10" t="n"/>
      <c r="I640" s="10">
        <f>IF(OR(E640="",F640=""),"",E640*F640-N(G640)+N(H640))</f>
        <v/>
      </c>
      <c r="J640" s="10" t="n"/>
      <c r="K640" s="10">
        <f>IF(I640="","",I640-N(J640))</f>
        <v/>
      </c>
      <c r="L640">
        <f>IF(I640="","",IF(K640&lt;=0,"Paid",IF(J640&gt;0,"Partial","Pending")))</f>
        <v/>
      </c>
    </row>
    <row r="641">
      <c r="B641" s="12" t="n"/>
      <c r="F641" s="10" t="n"/>
      <c r="G641" s="10" t="n"/>
      <c r="H641" s="10" t="n"/>
      <c r="I641" s="10">
        <f>IF(OR(E641="",F641=""),"",E641*F641-N(G641)+N(H641))</f>
        <v/>
      </c>
      <c r="J641" s="10" t="n"/>
      <c r="K641" s="10">
        <f>IF(I641="","",I641-N(J641))</f>
        <v/>
      </c>
      <c r="L641">
        <f>IF(I641="","",IF(K641&lt;=0,"Paid",IF(J641&gt;0,"Partial","Pending")))</f>
        <v/>
      </c>
    </row>
    <row r="642">
      <c r="B642" s="12" t="n"/>
      <c r="F642" s="10" t="n"/>
      <c r="G642" s="10" t="n"/>
      <c r="H642" s="10" t="n"/>
      <c r="I642" s="10">
        <f>IF(OR(E642="",F642=""),"",E642*F642-N(G642)+N(H642))</f>
        <v/>
      </c>
      <c r="J642" s="10" t="n"/>
      <c r="K642" s="10">
        <f>IF(I642="","",I642-N(J642))</f>
        <v/>
      </c>
      <c r="L642">
        <f>IF(I642="","",IF(K642&lt;=0,"Paid",IF(J642&gt;0,"Partial","Pending")))</f>
        <v/>
      </c>
    </row>
    <row r="643">
      <c r="B643" s="12" t="n"/>
      <c r="F643" s="10" t="n"/>
      <c r="G643" s="10" t="n"/>
      <c r="H643" s="10" t="n"/>
      <c r="I643" s="10">
        <f>IF(OR(E643="",F643=""),"",E643*F643-N(G643)+N(H643))</f>
        <v/>
      </c>
      <c r="J643" s="10" t="n"/>
      <c r="K643" s="10">
        <f>IF(I643="","",I643-N(J643))</f>
        <v/>
      </c>
      <c r="L643">
        <f>IF(I643="","",IF(K643&lt;=0,"Paid",IF(J643&gt;0,"Partial","Pending")))</f>
        <v/>
      </c>
    </row>
    <row r="644">
      <c r="B644" s="12" t="n"/>
      <c r="F644" s="10" t="n"/>
      <c r="G644" s="10" t="n"/>
      <c r="H644" s="10" t="n"/>
      <c r="I644" s="10">
        <f>IF(OR(E644="",F644=""),"",E644*F644-N(G644)+N(H644))</f>
        <v/>
      </c>
      <c r="J644" s="10" t="n"/>
      <c r="K644" s="10">
        <f>IF(I644="","",I644-N(J644))</f>
        <v/>
      </c>
      <c r="L644">
        <f>IF(I644="","",IF(K644&lt;=0,"Paid",IF(J644&gt;0,"Partial","Pending")))</f>
        <v/>
      </c>
    </row>
    <row r="645">
      <c r="B645" s="12" t="n"/>
      <c r="F645" s="10" t="n"/>
      <c r="G645" s="10" t="n"/>
      <c r="H645" s="10" t="n"/>
      <c r="I645" s="10">
        <f>IF(OR(E645="",F645=""),"",E645*F645-N(G645)+N(H645))</f>
        <v/>
      </c>
      <c r="J645" s="10" t="n"/>
      <c r="K645" s="10">
        <f>IF(I645="","",I645-N(J645))</f>
        <v/>
      </c>
      <c r="L645">
        <f>IF(I645="","",IF(K645&lt;=0,"Paid",IF(J645&gt;0,"Partial","Pending")))</f>
        <v/>
      </c>
    </row>
    <row r="646">
      <c r="B646" s="12" t="n"/>
      <c r="F646" s="10" t="n"/>
      <c r="G646" s="10" t="n"/>
      <c r="H646" s="10" t="n"/>
      <c r="I646" s="10">
        <f>IF(OR(E646="",F646=""),"",E646*F646-N(G646)+N(H646))</f>
        <v/>
      </c>
      <c r="J646" s="10" t="n"/>
      <c r="K646" s="10">
        <f>IF(I646="","",I646-N(J646))</f>
        <v/>
      </c>
      <c r="L646">
        <f>IF(I646="","",IF(K646&lt;=0,"Paid",IF(J646&gt;0,"Partial","Pending")))</f>
        <v/>
      </c>
    </row>
    <row r="647">
      <c r="B647" s="12" t="n"/>
      <c r="F647" s="10" t="n"/>
      <c r="G647" s="10" t="n"/>
      <c r="H647" s="10" t="n"/>
      <c r="I647" s="10">
        <f>IF(OR(E647="",F647=""),"",E647*F647-N(G647)+N(H647))</f>
        <v/>
      </c>
      <c r="J647" s="10" t="n"/>
      <c r="K647" s="10">
        <f>IF(I647="","",I647-N(J647))</f>
        <v/>
      </c>
      <c r="L647">
        <f>IF(I647="","",IF(K647&lt;=0,"Paid",IF(J647&gt;0,"Partial","Pending")))</f>
        <v/>
      </c>
    </row>
    <row r="648">
      <c r="B648" s="12" t="n"/>
      <c r="F648" s="10" t="n"/>
      <c r="G648" s="10" t="n"/>
      <c r="H648" s="10" t="n"/>
      <c r="I648" s="10">
        <f>IF(OR(E648="",F648=""),"",E648*F648-N(G648)+N(H648))</f>
        <v/>
      </c>
      <c r="J648" s="10" t="n"/>
      <c r="K648" s="10">
        <f>IF(I648="","",I648-N(J648))</f>
        <v/>
      </c>
      <c r="L648">
        <f>IF(I648="","",IF(K648&lt;=0,"Paid",IF(J648&gt;0,"Partial","Pending")))</f>
        <v/>
      </c>
    </row>
    <row r="649">
      <c r="B649" s="12" t="n"/>
      <c r="F649" s="10" t="n"/>
      <c r="G649" s="10" t="n"/>
      <c r="H649" s="10" t="n"/>
      <c r="I649" s="10">
        <f>IF(OR(E649="",F649=""),"",E649*F649-N(G649)+N(H649))</f>
        <v/>
      </c>
      <c r="J649" s="10" t="n"/>
      <c r="K649" s="10">
        <f>IF(I649="","",I649-N(J649))</f>
        <v/>
      </c>
      <c r="L649">
        <f>IF(I649="","",IF(K649&lt;=0,"Paid",IF(J649&gt;0,"Partial","Pending")))</f>
        <v/>
      </c>
    </row>
    <row r="650">
      <c r="B650" s="12" t="n"/>
      <c r="F650" s="10" t="n"/>
      <c r="G650" s="10" t="n"/>
      <c r="H650" s="10" t="n"/>
      <c r="I650" s="10">
        <f>IF(OR(E650="",F650=""),"",E650*F650-N(G650)+N(H650))</f>
        <v/>
      </c>
      <c r="J650" s="10" t="n"/>
      <c r="K650" s="10">
        <f>IF(I650="","",I650-N(J650))</f>
        <v/>
      </c>
      <c r="L650">
        <f>IF(I650="","",IF(K650&lt;=0,"Paid",IF(J650&gt;0,"Partial","Pending")))</f>
        <v/>
      </c>
    </row>
    <row r="651">
      <c r="B651" s="12" t="n"/>
      <c r="F651" s="10" t="n"/>
      <c r="G651" s="10" t="n"/>
      <c r="H651" s="10" t="n"/>
      <c r="I651" s="10">
        <f>IF(OR(E651="",F651=""),"",E651*F651-N(G651)+N(H651))</f>
        <v/>
      </c>
      <c r="J651" s="10" t="n"/>
      <c r="K651" s="10">
        <f>IF(I651="","",I651-N(J651))</f>
        <v/>
      </c>
      <c r="L651">
        <f>IF(I651="","",IF(K651&lt;=0,"Paid",IF(J651&gt;0,"Partial","Pending")))</f>
        <v/>
      </c>
    </row>
    <row r="652">
      <c r="B652" s="12" t="n"/>
      <c r="F652" s="10" t="n"/>
      <c r="G652" s="10" t="n"/>
      <c r="H652" s="10" t="n"/>
      <c r="I652" s="10">
        <f>IF(OR(E652="",F652=""),"",E652*F652-N(G652)+N(H652))</f>
        <v/>
      </c>
      <c r="J652" s="10" t="n"/>
      <c r="K652" s="10">
        <f>IF(I652="","",I652-N(J652))</f>
        <v/>
      </c>
      <c r="L652">
        <f>IF(I652="","",IF(K652&lt;=0,"Paid",IF(J652&gt;0,"Partial","Pending")))</f>
        <v/>
      </c>
    </row>
    <row r="653">
      <c r="B653" s="12" t="n"/>
      <c r="F653" s="10" t="n"/>
      <c r="G653" s="10" t="n"/>
      <c r="H653" s="10" t="n"/>
      <c r="I653" s="10">
        <f>IF(OR(E653="",F653=""),"",E653*F653-N(G653)+N(H653))</f>
        <v/>
      </c>
      <c r="J653" s="10" t="n"/>
      <c r="K653" s="10">
        <f>IF(I653="","",I653-N(J653))</f>
        <v/>
      </c>
      <c r="L653">
        <f>IF(I653="","",IF(K653&lt;=0,"Paid",IF(J653&gt;0,"Partial","Pending")))</f>
        <v/>
      </c>
    </row>
    <row r="654">
      <c r="B654" s="12" t="n"/>
      <c r="F654" s="10" t="n"/>
      <c r="G654" s="10" t="n"/>
      <c r="H654" s="10" t="n"/>
      <c r="I654" s="10">
        <f>IF(OR(E654="",F654=""),"",E654*F654-N(G654)+N(H654))</f>
        <v/>
      </c>
      <c r="J654" s="10" t="n"/>
      <c r="K654" s="10">
        <f>IF(I654="","",I654-N(J654))</f>
        <v/>
      </c>
      <c r="L654">
        <f>IF(I654="","",IF(K654&lt;=0,"Paid",IF(J654&gt;0,"Partial","Pending")))</f>
        <v/>
      </c>
    </row>
    <row r="655">
      <c r="B655" s="12" t="n"/>
      <c r="F655" s="10" t="n"/>
      <c r="G655" s="10" t="n"/>
      <c r="H655" s="10" t="n"/>
      <c r="I655" s="10">
        <f>IF(OR(E655="",F655=""),"",E655*F655-N(G655)+N(H655))</f>
        <v/>
      </c>
      <c r="J655" s="10" t="n"/>
      <c r="K655" s="10">
        <f>IF(I655="","",I655-N(J655))</f>
        <v/>
      </c>
      <c r="L655">
        <f>IF(I655="","",IF(K655&lt;=0,"Paid",IF(J655&gt;0,"Partial","Pending")))</f>
        <v/>
      </c>
    </row>
    <row r="656">
      <c r="B656" s="12" t="n"/>
      <c r="F656" s="10" t="n"/>
      <c r="G656" s="10" t="n"/>
      <c r="H656" s="10" t="n"/>
      <c r="I656" s="10">
        <f>IF(OR(E656="",F656=""),"",E656*F656-N(G656)+N(H656))</f>
        <v/>
      </c>
      <c r="J656" s="10" t="n"/>
      <c r="K656" s="10">
        <f>IF(I656="","",I656-N(J656))</f>
        <v/>
      </c>
      <c r="L656">
        <f>IF(I656="","",IF(K656&lt;=0,"Paid",IF(J656&gt;0,"Partial","Pending")))</f>
        <v/>
      </c>
    </row>
    <row r="657">
      <c r="B657" s="12" t="n"/>
      <c r="F657" s="10" t="n"/>
      <c r="G657" s="10" t="n"/>
      <c r="H657" s="10" t="n"/>
      <c r="I657" s="10">
        <f>IF(OR(E657="",F657=""),"",E657*F657-N(G657)+N(H657))</f>
        <v/>
      </c>
      <c r="J657" s="10" t="n"/>
      <c r="K657" s="10">
        <f>IF(I657="","",I657-N(J657))</f>
        <v/>
      </c>
      <c r="L657">
        <f>IF(I657="","",IF(K657&lt;=0,"Paid",IF(J657&gt;0,"Partial","Pending")))</f>
        <v/>
      </c>
    </row>
    <row r="658">
      <c r="B658" s="12" t="n"/>
      <c r="F658" s="10" t="n"/>
      <c r="G658" s="10" t="n"/>
      <c r="H658" s="10" t="n"/>
      <c r="I658" s="10">
        <f>IF(OR(E658="",F658=""),"",E658*F658-N(G658)+N(H658))</f>
        <v/>
      </c>
      <c r="J658" s="10" t="n"/>
      <c r="K658" s="10">
        <f>IF(I658="","",I658-N(J658))</f>
        <v/>
      </c>
      <c r="L658">
        <f>IF(I658="","",IF(K658&lt;=0,"Paid",IF(J658&gt;0,"Partial","Pending")))</f>
        <v/>
      </c>
    </row>
    <row r="659">
      <c r="B659" s="12" t="n"/>
      <c r="F659" s="10" t="n"/>
      <c r="G659" s="10" t="n"/>
      <c r="H659" s="10" t="n"/>
      <c r="I659" s="10">
        <f>IF(OR(E659="",F659=""),"",E659*F659-N(G659)+N(H659))</f>
        <v/>
      </c>
      <c r="J659" s="10" t="n"/>
      <c r="K659" s="10">
        <f>IF(I659="","",I659-N(J659))</f>
        <v/>
      </c>
      <c r="L659">
        <f>IF(I659="","",IF(K659&lt;=0,"Paid",IF(J659&gt;0,"Partial","Pending")))</f>
        <v/>
      </c>
    </row>
    <row r="660">
      <c r="B660" s="12" t="n"/>
      <c r="F660" s="10" t="n"/>
      <c r="G660" s="10" t="n"/>
      <c r="H660" s="10" t="n"/>
      <c r="I660" s="10">
        <f>IF(OR(E660="",F660=""),"",E660*F660-N(G660)+N(H660))</f>
        <v/>
      </c>
      <c r="J660" s="10" t="n"/>
      <c r="K660" s="10">
        <f>IF(I660="","",I660-N(J660))</f>
        <v/>
      </c>
      <c r="L660">
        <f>IF(I660="","",IF(K660&lt;=0,"Paid",IF(J660&gt;0,"Partial","Pending")))</f>
        <v/>
      </c>
    </row>
    <row r="661">
      <c r="B661" s="12" t="n"/>
      <c r="F661" s="10" t="n"/>
      <c r="G661" s="10" t="n"/>
      <c r="H661" s="10" t="n"/>
      <c r="I661" s="10">
        <f>IF(OR(E661="",F661=""),"",E661*F661-N(G661)+N(H661))</f>
        <v/>
      </c>
      <c r="J661" s="10" t="n"/>
      <c r="K661" s="10">
        <f>IF(I661="","",I661-N(J661))</f>
        <v/>
      </c>
      <c r="L661">
        <f>IF(I661="","",IF(K661&lt;=0,"Paid",IF(J661&gt;0,"Partial","Pending")))</f>
        <v/>
      </c>
    </row>
    <row r="662">
      <c r="B662" s="12" t="n"/>
      <c r="F662" s="10" t="n"/>
      <c r="G662" s="10" t="n"/>
      <c r="H662" s="10" t="n"/>
      <c r="I662" s="10">
        <f>IF(OR(E662="",F662=""),"",E662*F662-N(G662)+N(H662))</f>
        <v/>
      </c>
      <c r="J662" s="10" t="n"/>
      <c r="K662" s="10">
        <f>IF(I662="","",I662-N(J662))</f>
        <v/>
      </c>
      <c r="L662">
        <f>IF(I662="","",IF(K662&lt;=0,"Paid",IF(J662&gt;0,"Partial","Pending")))</f>
        <v/>
      </c>
    </row>
    <row r="663">
      <c r="B663" s="12" t="n"/>
      <c r="F663" s="10" t="n"/>
      <c r="G663" s="10" t="n"/>
      <c r="H663" s="10" t="n"/>
      <c r="I663" s="10">
        <f>IF(OR(E663="",F663=""),"",E663*F663-N(G663)+N(H663))</f>
        <v/>
      </c>
      <c r="J663" s="10" t="n"/>
      <c r="K663" s="10">
        <f>IF(I663="","",I663-N(J663))</f>
        <v/>
      </c>
      <c r="L663">
        <f>IF(I663="","",IF(K663&lt;=0,"Paid",IF(J663&gt;0,"Partial","Pending")))</f>
        <v/>
      </c>
    </row>
    <row r="664">
      <c r="B664" s="12" t="n"/>
      <c r="F664" s="10" t="n"/>
      <c r="G664" s="10" t="n"/>
      <c r="H664" s="10" t="n"/>
      <c r="I664" s="10">
        <f>IF(OR(E664="",F664=""),"",E664*F664-N(G664)+N(H664))</f>
        <v/>
      </c>
      <c r="J664" s="10" t="n"/>
      <c r="K664" s="10">
        <f>IF(I664="","",I664-N(J664))</f>
        <v/>
      </c>
      <c r="L664">
        <f>IF(I664="","",IF(K664&lt;=0,"Paid",IF(J664&gt;0,"Partial","Pending")))</f>
        <v/>
      </c>
    </row>
    <row r="665">
      <c r="B665" s="12" t="n"/>
      <c r="F665" s="10" t="n"/>
      <c r="G665" s="10" t="n"/>
      <c r="H665" s="10" t="n"/>
      <c r="I665" s="10">
        <f>IF(OR(E665="",F665=""),"",E665*F665-N(G665)+N(H665))</f>
        <v/>
      </c>
      <c r="J665" s="10" t="n"/>
      <c r="K665" s="10">
        <f>IF(I665="","",I665-N(J665))</f>
        <v/>
      </c>
      <c r="L665">
        <f>IF(I665="","",IF(K665&lt;=0,"Paid",IF(J665&gt;0,"Partial","Pending")))</f>
        <v/>
      </c>
    </row>
    <row r="666">
      <c r="B666" s="12" t="n"/>
      <c r="F666" s="10" t="n"/>
      <c r="G666" s="10" t="n"/>
      <c r="H666" s="10" t="n"/>
      <c r="I666" s="10">
        <f>IF(OR(E666="",F666=""),"",E666*F666-N(G666)+N(H666))</f>
        <v/>
      </c>
      <c r="J666" s="10" t="n"/>
      <c r="K666" s="10">
        <f>IF(I666="","",I666-N(J666))</f>
        <v/>
      </c>
      <c r="L666">
        <f>IF(I666="","",IF(K666&lt;=0,"Paid",IF(J666&gt;0,"Partial","Pending")))</f>
        <v/>
      </c>
    </row>
    <row r="667">
      <c r="B667" s="12" t="n"/>
      <c r="F667" s="10" t="n"/>
      <c r="G667" s="10" t="n"/>
      <c r="H667" s="10" t="n"/>
      <c r="I667" s="10">
        <f>IF(OR(E667="",F667=""),"",E667*F667-N(G667)+N(H667))</f>
        <v/>
      </c>
      <c r="J667" s="10" t="n"/>
      <c r="K667" s="10">
        <f>IF(I667="","",I667-N(J667))</f>
        <v/>
      </c>
      <c r="L667">
        <f>IF(I667="","",IF(K667&lt;=0,"Paid",IF(J667&gt;0,"Partial","Pending")))</f>
        <v/>
      </c>
    </row>
    <row r="668">
      <c r="B668" s="12" t="n"/>
      <c r="F668" s="10" t="n"/>
      <c r="G668" s="10" t="n"/>
      <c r="H668" s="10" t="n"/>
      <c r="I668" s="10">
        <f>IF(OR(E668="",F668=""),"",E668*F668-N(G668)+N(H668))</f>
        <v/>
      </c>
      <c r="J668" s="10" t="n"/>
      <c r="K668" s="10">
        <f>IF(I668="","",I668-N(J668))</f>
        <v/>
      </c>
      <c r="L668">
        <f>IF(I668="","",IF(K668&lt;=0,"Paid",IF(J668&gt;0,"Partial","Pending")))</f>
        <v/>
      </c>
    </row>
    <row r="669">
      <c r="B669" s="12" t="n"/>
      <c r="F669" s="10" t="n"/>
      <c r="G669" s="10" t="n"/>
      <c r="H669" s="10" t="n"/>
      <c r="I669" s="10">
        <f>IF(OR(E669="",F669=""),"",E669*F669-N(G669)+N(H669))</f>
        <v/>
      </c>
      <c r="J669" s="10" t="n"/>
      <c r="K669" s="10">
        <f>IF(I669="","",I669-N(J669))</f>
        <v/>
      </c>
      <c r="L669">
        <f>IF(I669="","",IF(K669&lt;=0,"Paid",IF(J669&gt;0,"Partial","Pending")))</f>
        <v/>
      </c>
    </row>
    <row r="670">
      <c r="B670" s="12" t="n"/>
      <c r="F670" s="10" t="n"/>
      <c r="G670" s="10" t="n"/>
      <c r="H670" s="10" t="n"/>
      <c r="I670" s="10">
        <f>IF(OR(E670="",F670=""),"",E670*F670-N(G670)+N(H670))</f>
        <v/>
      </c>
      <c r="J670" s="10" t="n"/>
      <c r="K670" s="10">
        <f>IF(I670="","",I670-N(J670))</f>
        <v/>
      </c>
      <c r="L670">
        <f>IF(I670="","",IF(K670&lt;=0,"Paid",IF(J670&gt;0,"Partial","Pending")))</f>
        <v/>
      </c>
    </row>
    <row r="671">
      <c r="B671" s="12" t="n"/>
      <c r="F671" s="10" t="n"/>
      <c r="G671" s="10" t="n"/>
      <c r="H671" s="10" t="n"/>
      <c r="I671" s="10">
        <f>IF(OR(E671="",F671=""),"",E671*F671-N(G671)+N(H671))</f>
        <v/>
      </c>
      <c r="J671" s="10" t="n"/>
      <c r="K671" s="10">
        <f>IF(I671="","",I671-N(J671))</f>
        <v/>
      </c>
      <c r="L671">
        <f>IF(I671="","",IF(K671&lt;=0,"Paid",IF(J671&gt;0,"Partial","Pending")))</f>
        <v/>
      </c>
    </row>
    <row r="672">
      <c r="B672" s="12" t="n"/>
      <c r="F672" s="10" t="n"/>
      <c r="G672" s="10" t="n"/>
      <c r="H672" s="10" t="n"/>
      <c r="I672" s="10">
        <f>IF(OR(E672="",F672=""),"",E672*F672-N(G672)+N(H672))</f>
        <v/>
      </c>
      <c r="J672" s="10" t="n"/>
      <c r="K672" s="10">
        <f>IF(I672="","",I672-N(J672))</f>
        <v/>
      </c>
      <c r="L672">
        <f>IF(I672="","",IF(K672&lt;=0,"Paid",IF(J672&gt;0,"Partial","Pending")))</f>
        <v/>
      </c>
    </row>
    <row r="673">
      <c r="B673" s="12" t="n"/>
      <c r="F673" s="10" t="n"/>
      <c r="G673" s="10" t="n"/>
      <c r="H673" s="10" t="n"/>
      <c r="I673" s="10">
        <f>IF(OR(E673="",F673=""),"",E673*F673-N(G673)+N(H673))</f>
        <v/>
      </c>
      <c r="J673" s="10" t="n"/>
      <c r="K673" s="10">
        <f>IF(I673="","",I673-N(J673))</f>
        <v/>
      </c>
      <c r="L673">
        <f>IF(I673="","",IF(K673&lt;=0,"Paid",IF(J673&gt;0,"Partial","Pending")))</f>
        <v/>
      </c>
    </row>
    <row r="674">
      <c r="B674" s="12" t="n"/>
      <c r="F674" s="10" t="n"/>
      <c r="G674" s="10" t="n"/>
      <c r="H674" s="10" t="n"/>
      <c r="I674" s="10">
        <f>IF(OR(E674="",F674=""),"",E674*F674-N(G674)+N(H674))</f>
        <v/>
      </c>
      <c r="J674" s="10" t="n"/>
      <c r="K674" s="10">
        <f>IF(I674="","",I674-N(J674))</f>
        <v/>
      </c>
      <c r="L674">
        <f>IF(I674="","",IF(K674&lt;=0,"Paid",IF(J674&gt;0,"Partial","Pending")))</f>
        <v/>
      </c>
    </row>
    <row r="675">
      <c r="B675" s="12" t="n"/>
      <c r="F675" s="10" t="n"/>
      <c r="G675" s="10" t="n"/>
      <c r="H675" s="10" t="n"/>
      <c r="I675" s="10">
        <f>IF(OR(E675="",F675=""),"",E675*F675-N(G675)+N(H675))</f>
        <v/>
      </c>
      <c r="J675" s="10" t="n"/>
      <c r="K675" s="10">
        <f>IF(I675="","",I675-N(J675))</f>
        <v/>
      </c>
      <c r="L675">
        <f>IF(I675="","",IF(K675&lt;=0,"Paid",IF(J675&gt;0,"Partial","Pending")))</f>
        <v/>
      </c>
    </row>
    <row r="676">
      <c r="B676" s="12" t="n"/>
      <c r="F676" s="10" t="n"/>
      <c r="G676" s="10" t="n"/>
      <c r="H676" s="10" t="n"/>
      <c r="I676" s="10">
        <f>IF(OR(E676="",F676=""),"",E676*F676-N(G676)+N(H676))</f>
        <v/>
      </c>
      <c r="J676" s="10" t="n"/>
      <c r="K676" s="10">
        <f>IF(I676="","",I676-N(J676))</f>
        <v/>
      </c>
      <c r="L676">
        <f>IF(I676="","",IF(K676&lt;=0,"Paid",IF(J676&gt;0,"Partial","Pending")))</f>
        <v/>
      </c>
    </row>
    <row r="677">
      <c r="B677" s="12" t="n"/>
      <c r="F677" s="10" t="n"/>
      <c r="G677" s="10" t="n"/>
      <c r="H677" s="10" t="n"/>
      <c r="I677" s="10">
        <f>IF(OR(E677="",F677=""),"",E677*F677-N(G677)+N(H677))</f>
        <v/>
      </c>
      <c r="J677" s="10" t="n"/>
      <c r="K677" s="10">
        <f>IF(I677="","",I677-N(J677))</f>
        <v/>
      </c>
      <c r="L677">
        <f>IF(I677="","",IF(K677&lt;=0,"Paid",IF(J677&gt;0,"Partial","Pending")))</f>
        <v/>
      </c>
    </row>
    <row r="678">
      <c r="B678" s="12" t="n"/>
      <c r="F678" s="10" t="n"/>
      <c r="G678" s="10" t="n"/>
      <c r="H678" s="10" t="n"/>
      <c r="I678" s="10">
        <f>IF(OR(E678="",F678=""),"",E678*F678-N(G678)+N(H678))</f>
        <v/>
      </c>
      <c r="J678" s="10" t="n"/>
      <c r="K678" s="10">
        <f>IF(I678="","",I678-N(J678))</f>
        <v/>
      </c>
      <c r="L678">
        <f>IF(I678="","",IF(K678&lt;=0,"Paid",IF(J678&gt;0,"Partial","Pending")))</f>
        <v/>
      </c>
    </row>
    <row r="679">
      <c r="B679" s="12" t="n"/>
      <c r="F679" s="10" t="n"/>
      <c r="G679" s="10" t="n"/>
      <c r="H679" s="10" t="n"/>
      <c r="I679" s="10">
        <f>IF(OR(E679="",F679=""),"",E679*F679-N(G679)+N(H679))</f>
        <v/>
      </c>
      <c r="J679" s="10" t="n"/>
      <c r="K679" s="10">
        <f>IF(I679="","",I679-N(J679))</f>
        <v/>
      </c>
      <c r="L679">
        <f>IF(I679="","",IF(K679&lt;=0,"Paid",IF(J679&gt;0,"Partial","Pending")))</f>
        <v/>
      </c>
    </row>
    <row r="680">
      <c r="B680" s="12" t="n"/>
      <c r="F680" s="10" t="n"/>
      <c r="G680" s="10" t="n"/>
      <c r="H680" s="10" t="n"/>
      <c r="I680" s="10">
        <f>IF(OR(E680="",F680=""),"",E680*F680-N(G680)+N(H680))</f>
        <v/>
      </c>
      <c r="J680" s="10" t="n"/>
      <c r="K680" s="10">
        <f>IF(I680="","",I680-N(J680))</f>
        <v/>
      </c>
      <c r="L680">
        <f>IF(I680="","",IF(K680&lt;=0,"Paid",IF(J680&gt;0,"Partial","Pending")))</f>
        <v/>
      </c>
    </row>
    <row r="681">
      <c r="B681" s="12" t="n"/>
      <c r="F681" s="10" t="n"/>
      <c r="G681" s="10" t="n"/>
      <c r="H681" s="10" t="n"/>
      <c r="I681" s="10">
        <f>IF(OR(E681="",F681=""),"",E681*F681-N(G681)+N(H681))</f>
        <v/>
      </c>
      <c r="J681" s="10" t="n"/>
      <c r="K681" s="10">
        <f>IF(I681="","",I681-N(J681))</f>
        <v/>
      </c>
      <c r="L681">
        <f>IF(I681="","",IF(K681&lt;=0,"Paid",IF(J681&gt;0,"Partial","Pending")))</f>
        <v/>
      </c>
    </row>
    <row r="682">
      <c r="B682" s="12" t="n"/>
      <c r="F682" s="10" t="n"/>
      <c r="G682" s="10" t="n"/>
      <c r="H682" s="10" t="n"/>
      <c r="I682" s="10">
        <f>IF(OR(E682="",F682=""),"",E682*F682-N(G682)+N(H682))</f>
        <v/>
      </c>
      <c r="J682" s="10" t="n"/>
      <c r="K682" s="10">
        <f>IF(I682="","",I682-N(J682))</f>
        <v/>
      </c>
      <c r="L682">
        <f>IF(I682="","",IF(K682&lt;=0,"Paid",IF(J682&gt;0,"Partial","Pending")))</f>
        <v/>
      </c>
    </row>
    <row r="683">
      <c r="B683" s="12" t="n"/>
      <c r="F683" s="10" t="n"/>
      <c r="G683" s="10" t="n"/>
      <c r="H683" s="10" t="n"/>
      <c r="I683" s="10">
        <f>IF(OR(E683="",F683=""),"",E683*F683-N(G683)+N(H683))</f>
        <v/>
      </c>
      <c r="J683" s="10" t="n"/>
      <c r="K683" s="10">
        <f>IF(I683="","",I683-N(J683))</f>
        <v/>
      </c>
      <c r="L683">
        <f>IF(I683="","",IF(K683&lt;=0,"Paid",IF(J683&gt;0,"Partial","Pending")))</f>
        <v/>
      </c>
    </row>
    <row r="684">
      <c r="B684" s="12" t="n"/>
      <c r="F684" s="10" t="n"/>
      <c r="G684" s="10" t="n"/>
      <c r="H684" s="10" t="n"/>
      <c r="I684" s="10">
        <f>IF(OR(E684="",F684=""),"",E684*F684-N(G684)+N(H684))</f>
        <v/>
      </c>
      <c r="J684" s="10" t="n"/>
      <c r="K684" s="10">
        <f>IF(I684="","",I684-N(J684))</f>
        <v/>
      </c>
      <c r="L684">
        <f>IF(I684="","",IF(K684&lt;=0,"Paid",IF(J684&gt;0,"Partial","Pending")))</f>
        <v/>
      </c>
    </row>
    <row r="685">
      <c r="B685" s="12" t="n"/>
      <c r="F685" s="10" t="n"/>
      <c r="G685" s="10" t="n"/>
      <c r="H685" s="10" t="n"/>
      <c r="I685" s="10">
        <f>IF(OR(E685="",F685=""),"",E685*F685-N(G685)+N(H685))</f>
        <v/>
      </c>
      <c r="J685" s="10" t="n"/>
      <c r="K685" s="10">
        <f>IF(I685="","",I685-N(J685))</f>
        <v/>
      </c>
      <c r="L685">
        <f>IF(I685="","",IF(K685&lt;=0,"Paid",IF(J685&gt;0,"Partial","Pending")))</f>
        <v/>
      </c>
    </row>
    <row r="686">
      <c r="B686" s="12" t="n"/>
      <c r="F686" s="10" t="n"/>
      <c r="G686" s="10" t="n"/>
      <c r="H686" s="10" t="n"/>
      <c r="I686" s="10">
        <f>IF(OR(E686="",F686=""),"",E686*F686-N(G686)+N(H686))</f>
        <v/>
      </c>
      <c r="J686" s="10" t="n"/>
      <c r="K686" s="10">
        <f>IF(I686="","",I686-N(J686))</f>
        <v/>
      </c>
      <c r="L686">
        <f>IF(I686="","",IF(K686&lt;=0,"Paid",IF(J686&gt;0,"Partial","Pending")))</f>
        <v/>
      </c>
    </row>
    <row r="687">
      <c r="B687" s="12" t="n"/>
      <c r="F687" s="10" t="n"/>
      <c r="G687" s="10" t="n"/>
      <c r="H687" s="10" t="n"/>
      <c r="I687" s="10">
        <f>IF(OR(E687="",F687=""),"",E687*F687-N(G687)+N(H687))</f>
        <v/>
      </c>
      <c r="J687" s="10" t="n"/>
      <c r="K687" s="10">
        <f>IF(I687="","",I687-N(J687))</f>
        <v/>
      </c>
      <c r="L687">
        <f>IF(I687="","",IF(K687&lt;=0,"Paid",IF(J687&gt;0,"Partial","Pending")))</f>
        <v/>
      </c>
    </row>
    <row r="688">
      <c r="B688" s="12" t="n"/>
      <c r="F688" s="10" t="n"/>
      <c r="G688" s="10" t="n"/>
      <c r="H688" s="10" t="n"/>
      <c r="I688" s="10">
        <f>IF(OR(E688="",F688=""),"",E688*F688-N(G688)+N(H688))</f>
        <v/>
      </c>
      <c r="J688" s="10" t="n"/>
      <c r="K688" s="10">
        <f>IF(I688="","",I688-N(J688))</f>
        <v/>
      </c>
      <c r="L688">
        <f>IF(I688="","",IF(K688&lt;=0,"Paid",IF(J688&gt;0,"Partial","Pending")))</f>
        <v/>
      </c>
    </row>
    <row r="689">
      <c r="B689" s="12" t="n"/>
      <c r="F689" s="10" t="n"/>
      <c r="G689" s="10" t="n"/>
      <c r="H689" s="10" t="n"/>
      <c r="I689" s="10">
        <f>IF(OR(E689="",F689=""),"",E689*F689-N(G689)+N(H689))</f>
        <v/>
      </c>
      <c r="J689" s="10" t="n"/>
      <c r="K689" s="10">
        <f>IF(I689="","",I689-N(J689))</f>
        <v/>
      </c>
      <c r="L689">
        <f>IF(I689="","",IF(K689&lt;=0,"Paid",IF(J689&gt;0,"Partial","Pending")))</f>
        <v/>
      </c>
    </row>
    <row r="690">
      <c r="B690" s="12" t="n"/>
      <c r="F690" s="10" t="n"/>
      <c r="G690" s="10" t="n"/>
      <c r="H690" s="10" t="n"/>
      <c r="I690" s="10">
        <f>IF(OR(E690="",F690=""),"",E690*F690-N(G690)+N(H690))</f>
        <v/>
      </c>
      <c r="J690" s="10" t="n"/>
      <c r="K690" s="10">
        <f>IF(I690="","",I690-N(J690))</f>
        <v/>
      </c>
      <c r="L690">
        <f>IF(I690="","",IF(K690&lt;=0,"Paid",IF(J690&gt;0,"Partial","Pending")))</f>
        <v/>
      </c>
    </row>
    <row r="691">
      <c r="B691" s="12" t="n"/>
      <c r="F691" s="10" t="n"/>
      <c r="G691" s="10" t="n"/>
      <c r="H691" s="10" t="n"/>
      <c r="I691" s="10">
        <f>IF(OR(E691="",F691=""),"",E691*F691-N(G691)+N(H691))</f>
        <v/>
      </c>
      <c r="J691" s="10" t="n"/>
      <c r="K691" s="10">
        <f>IF(I691="","",I691-N(J691))</f>
        <v/>
      </c>
      <c r="L691">
        <f>IF(I691="","",IF(K691&lt;=0,"Paid",IF(J691&gt;0,"Partial","Pending")))</f>
        <v/>
      </c>
    </row>
    <row r="692">
      <c r="B692" s="12" t="n"/>
      <c r="F692" s="10" t="n"/>
      <c r="G692" s="10" t="n"/>
      <c r="H692" s="10" t="n"/>
      <c r="I692" s="10">
        <f>IF(OR(E692="",F692=""),"",E692*F692-N(G692)+N(H692))</f>
        <v/>
      </c>
      <c r="J692" s="10" t="n"/>
      <c r="K692" s="10">
        <f>IF(I692="","",I692-N(J692))</f>
        <v/>
      </c>
      <c r="L692">
        <f>IF(I692="","",IF(K692&lt;=0,"Paid",IF(J692&gt;0,"Partial","Pending")))</f>
        <v/>
      </c>
    </row>
    <row r="693">
      <c r="B693" s="12" t="n"/>
      <c r="F693" s="10" t="n"/>
      <c r="G693" s="10" t="n"/>
      <c r="H693" s="10" t="n"/>
      <c r="I693" s="10">
        <f>IF(OR(E693="",F693=""),"",E693*F693-N(G693)+N(H693))</f>
        <v/>
      </c>
      <c r="J693" s="10" t="n"/>
      <c r="K693" s="10">
        <f>IF(I693="","",I693-N(J693))</f>
        <v/>
      </c>
      <c r="L693">
        <f>IF(I693="","",IF(K693&lt;=0,"Paid",IF(J693&gt;0,"Partial","Pending")))</f>
        <v/>
      </c>
    </row>
    <row r="694">
      <c r="B694" s="12" t="n"/>
      <c r="F694" s="10" t="n"/>
      <c r="G694" s="10" t="n"/>
      <c r="H694" s="10" t="n"/>
      <c r="I694" s="10">
        <f>IF(OR(E694="",F694=""),"",E694*F694-N(G694)+N(H694))</f>
        <v/>
      </c>
      <c r="J694" s="10" t="n"/>
      <c r="K694" s="10">
        <f>IF(I694="","",I694-N(J694))</f>
        <v/>
      </c>
      <c r="L694">
        <f>IF(I694="","",IF(K694&lt;=0,"Paid",IF(J694&gt;0,"Partial","Pending")))</f>
        <v/>
      </c>
    </row>
    <row r="695">
      <c r="B695" s="12" t="n"/>
      <c r="F695" s="10" t="n"/>
      <c r="G695" s="10" t="n"/>
      <c r="H695" s="10" t="n"/>
      <c r="I695" s="10">
        <f>IF(OR(E695="",F695=""),"",E695*F695-N(G695)+N(H695))</f>
        <v/>
      </c>
      <c r="J695" s="10" t="n"/>
      <c r="K695" s="10">
        <f>IF(I695="","",I695-N(J695))</f>
        <v/>
      </c>
      <c r="L695">
        <f>IF(I695="","",IF(K695&lt;=0,"Paid",IF(J695&gt;0,"Partial","Pending")))</f>
        <v/>
      </c>
    </row>
    <row r="696">
      <c r="B696" s="12" t="n"/>
      <c r="F696" s="10" t="n"/>
      <c r="G696" s="10" t="n"/>
      <c r="H696" s="10" t="n"/>
      <c r="I696" s="10">
        <f>IF(OR(E696="",F696=""),"",E696*F696-N(G696)+N(H696))</f>
        <v/>
      </c>
      <c r="J696" s="10" t="n"/>
      <c r="K696" s="10">
        <f>IF(I696="","",I696-N(J696))</f>
        <v/>
      </c>
      <c r="L696">
        <f>IF(I696="","",IF(K696&lt;=0,"Paid",IF(J696&gt;0,"Partial","Pending")))</f>
        <v/>
      </c>
    </row>
    <row r="697">
      <c r="B697" s="12" t="n"/>
      <c r="F697" s="10" t="n"/>
      <c r="G697" s="10" t="n"/>
      <c r="H697" s="10" t="n"/>
      <c r="I697" s="10">
        <f>IF(OR(E697="",F697=""),"",E697*F697-N(G697)+N(H697))</f>
        <v/>
      </c>
      <c r="J697" s="10" t="n"/>
      <c r="K697" s="10">
        <f>IF(I697="","",I697-N(J697))</f>
        <v/>
      </c>
      <c r="L697">
        <f>IF(I697="","",IF(K697&lt;=0,"Paid",IF(J697&gt;0,"Partial","Pending")))</f>
        <v/>
      </c>
    </row>
    <row r="698">
      <c r="B698" s="12" t="n"/>
      <c r="F698" s="10" t="n"/>
      <c r="G698" s="10" t="n"/>
      <c r="H698" s="10" t="n"/>
      <c r="I698" s="10">
        <f>IF(OR(E698="",F698=""),"",E698*F698-N(G698)+N(H698))</f>
        <v/>
      </c>
      <c r="J698" s="10" t="n"/>
      <c r="K698" s="10">
        <f>IF(I698="","",I698-N(J698))</f>
        <v/>
      </c>
      <c r="L698">
        <f>IF(I698="","",IF(K698&lt;=0,"Paid",IF(J698&gt;0,"Partial","Pending")))</f>
        <v/>
      </c>
    </row>
    <row r="699">
      <c r="B699" s="12" t="n"/>
      <c r="F699" s="10" t="n"/>
      <c r="G699" s="10" t="n"/>
      <c r="H699" s="10" t="n"/>
      <c r="I699" s="10">
        <f>IF(OR(E699="",F699=""),"",E699*F699-N(G699)+N(H699))</f>
        <v/>
      </c>
      <c r="J699" s="10" t="n"/>
      <c r="K699" s="10">
        <f>IF(I699="","",I699-N(J699))</f>
        <v/>
      </c>
      <c r="L699">
        <f>IF(I699="","",IF(K699&lt;=0,"Paid",IF(J699&gt;0,"Partial","Pending")))</f>
        <v/>
      </c>
    </row>
    <row r="700">
      <c r="B700" s="12" t="n"/>
      <c r="F700" s="10" t="n"/>
      <c r="G700" s="10" t="n"/>
      <c r="H700" s="10" t="n"/>
      <c r="I700" s="10">
        <f>IF(OR(E700="",F700=""),"",E700*F700-N(G700)+N(H700))</f>
        <v/>
      </c>
      <c r="J700" s="10" t="n"/>
      <c r="K700" s="10">
        <f>IF(I700="","",I700-N(J700))</f>
        <v/>
      </c>
      <c r="L700">
        <f>IF(I700="","",IF(K700&lt;=0,"Paid",IF(J700&gt;0,"Partial","Pending")))</f>
        <v/>
      </c>
    </row>
    <row r="701">
      <c r="B701" s="12" t="n"/>
      <c r="F701" s="10" t="n"/>
      <c r="G701" s="10" t="n"/>
      <c r="H701" s="10" t="n"/>
      <c r="I701" s="10">
        <f>IF(OR(E701="",F701=""),"",E701*F701-N(G701)+N(H701))</f>
        <v/>
      </c>
      <c r="J701" s="10" t="n"/>
      <c r="K701" s="10">
        <f>IF(I701="","",I701-N(J701))</f>
        <v/>
      </c>
      <c r="L701">
        <f>IF(I701="","",IF(K701&lt;=0,"Paid",IF(J701&gt;0,"Partial","Pending")))</f>
        <v/>
      </c>
    </row>
    <row r="702">
      <c r="B702" s="12" t="n"/>
      <c r="F702" s="10" t="n"/>
      <c r="G702" s="10" t="n"/>
      <c r="H702" s="10" t="n"/>
      <c r="I702" s="10">
        <f>IF(OR(E702="",F702=""),"",E702*F702-N(G702)+N(H702))</f>
        <v/>
      </c>
      <c r="J702" s="10" t="n"/>
      <c r="K702" s="10">
        <f>IF(I702="","",I702-N(J702))</f>
        <v/>
      </c>
      <c r="L702">
        <f>IF(I702="","",IF(K702&lt;=0,"Paid",IF(J702&gt;0,"Partial","Pending")))</f>
        <v/>
      </c>
    </row>
    <row r="703">
      <c r="B703" s="12" t="n"/>
      <c r="F703" s="10" t="n"/>
      <c r="G703" s="10" t="n"/>
      <c r="H703" s="10" t="n"/>
      <c r="I703" s="10">
        <f>IF(OR(E703="",F703=""),"",E703*F703-N(G703)+N(H703))</f>
        <v/>
      </c>
      <c r="J703" s="10" t="n"/>
      <c r="K703" s="10">
        <f>IF(I703="","",I703-N(J703))</f>
        <v/>
      </c>
      <c r="L703">
        <f>IF(I703="","",IF(K703&lt;=0,"Paid",IF(J703&gt;0,"Partial","Pending")))</f>
        <v/>
      </c>
    </row>
    <row r="704">
      <c r="B704" s="12" t="n"/>
      <c r="F704" s="10" t="n"/>
      <c r="G704" s="10" t="n"/>
      <c r="H704" s="10" t="n"/>
      <c r="I704" s="10">
        <f>IF(OR(E704="",F704=""),"",E704*F704-N(G704)+N(H704))</f>
        <v/>
      </c>
      <c r="J704" s="10" t="n"/>
      <c r="K704" s="10">
        <f>IF(I704="","",I704-N(J704))</f>
        <v/>
      </c>
      <c r="L704">
        <f>IF(I704="","",IF(K704&lt;=0,"Paid",IF(J704&gt;0,"Partial","Pending")))</f>
        <v/>
      </c>
    </row>
    <row r="705">
      <c r="B705" s="12" t="n"/>
      <c r="F705" s="10" t="n"/>
      <c r="G705" s="10" t="n"/>
      <c r="H705" s="10" t="n"/>
      <c r="I705" s="10">
        <f>IF(OR(E705="",F705=""),"",E705*F705-N(G705)+N(H705))</f>
        <v/>
      </c>
      <c r="J705" s="10" t="n"/>
      <c r="K705" s="10">
        <f>IF(I705="","",I705-N(J705))</f>
        <v/>
      </c>
      <c r="L705">
        <f>IF(I705="","",IF(K705&lt;=0,"Paid",IF(J705&gt;0,"Partial","Pending")))</f>
        <v/>
      </c>
    </row>
    <row r="706">
      <c r="B706" s="12" t="n"/>
      <c r="F706" s="10" t="n"/>
      <c r="G706" s="10" t="n"/>
      <c r="H706" s="10" t="n"/>
      <c r="I706" s="10">
        <f>IF(OR(E706="",F706=""),"",E706*F706-N(G706)+N(H706))</f>
        <v/>
      </c>
      <c r="J706" s="10" t="n"/>
      <c r="K706" s="10">
        <f>IF(I706="","",I706-N(J706))</f>
        <v/>
      </c>
      <c r="L706">
        <f>IF(I706="","",IF(K706&lt;=0,"Paid",IF(J706&gt;0,"Partial","Pending")))</f>
        <v/>
      </c>
    </row>
    <row r="707">
      <c r="B707" s="12" t="n"/>
      <c r="F707" s="10" t="n"/>
      <c r="G707" s="10" t="n"/>
      <c r="H707" s="10" t="n"/>
      <c r="I707" s="10">
        <f>IF(OR(E707="",F707=""),"",E707*F707-N(G707)+N(H707))</f>
        <v/>
      </c>
      <c r="J707" s="10" t="n"/>
      <c r="K707" s="10">
        <f>IF(I707="","",I707-N(J707))</f>
        <v/>
      </c>
      <c r="L707">
        <f>IF(I707="","",IF(K707&lt;=0,"Paid",IF(J707&gt;0,"Partial","Pending")))</f>
        <v/>
      </c>
    </row>
    <row r="708">
      <c r="B708" s="12" t="n"/>
      <c r="F708" s="10" t="n"/>
      <c r="G708" s="10" t="n"/>
      <c r="H708" s="10" t="n"/>
      <c r="I708" s="10">
        <f>IF(OR(E708="",F708=""),"",E708*F708-N(G708)+N(H708))</f>
        <v/>
      </c>
      <c r="J708" s="10" t="n"/>
      <c r="K708" s="10">
        <f>IF(I708="","",I708-N(J708))</f>
        <v/>
      </c>
      <c r="L708">
        <f>IF(I708="","",IF(K708&lt;=0,"Paid",IF(J708&gt;0,"Partial","Pending")))</f>
        <v/>
      </c>
    </row>
    <row r="709">
      <c r="B709" s="12" t="n"/>
      <c r="F709" s="10" t="n"/>
      <c r="G709" s="10" t="n"/>
      <c r="H709" s="10" t="n"/>
      <c r="I709" s="10">
        <f>IF(OR(E709="",F709=""),"",E709*F709-N(G709)+N(H709))</f>
        <v/>
      </c>
      <c r="J709" s="10" t="n"/>
      <c r="K709" s="10">
        <f>IF(I709="","",I709-N(J709))</f>
        <v/>
      </c>
      <c r="L709">
        <f>IF(I709="","",IF(K709&lt;=0,"Paid",IF(J709&gt;0,"Partial","Pending")))</f>
        <v/>
      </c>
    </row>
    <row r="710">
      <c r="B710" s="12" t="n"/>
      <c r="F710" s="10" t="n"/>
      <c r="G710" s="10" t="n"/>
      <c r="H710" s="10" t="n"/>
      <c r="I710" s="10">
        <f>IF(OR(E710="",F710=""),"",E710*F710-N(G710)+N(H710))</f>
        <v/>
      </c>
      <c r="J710" s="10" t="n"/>
      <c r="K710" s="10">
        <f>IF(I710="","",I710-N(J710))</f>
        <v/>
      </c>
      <c r="L710">
        <f>IF(I710="","",IF(K710&lt;=0,"Paid",IF(J710&gt;0,"Partial","Pending")))</f>
        <v/>
      </c>
    </row>
    <row r="711">
      <c r="B711" s="12" t="n"/>
      <c r="F711" s="10" t="n"/>
      <c r="G711" s="10" t="n"/>
      <c r="H711" s="10" t="n"/>
      <c r="I711" s="10">
        <f>IF(OR(E711="",F711=""),"",E711*F711-N(G711)+N(H711))</f>
        <v/>
      </c>
      <c r="J711" s="10" t="n"/>
      <c r="K711" s="10">
        <f>IF(I711="","",I711-N(J711))</f>
        <v/>
      </c>
      <c r="L711">
        <f>IF(I711="","",IF(K711&lt;=0,"Paid",IF(J711&gt;0,"Partial","Pending")))</f>
        <v/>
      </c>
    </row>
    <row r="712">
      <c r="B712" s="12" t="n"/>
      <c r="F712" s="10" t="n"/>
      <c r="G712" s="10" t="n"/>
      <c r="H712" s="10" t="n"/>
      <c r="I712" s="10">
        <f>IF(OR(E712="",F712=""),"",E712*F712-N(G712)+N(H712))</f>
        <v/>
      </c>
      <c r="J712" s="10" t="n"/>
      <c r="K712" s="10">
        <f>IF(I712="","",I712-N(J712))</f>
        <v/>
      </c>
      <c r="L712">
        <f>IF(I712="","",IF(K712&lt;=0,"Paid",IF(J712&gt;0,"Partial","Pending")))</f>
        <v/>
      </c>
    </row>
    <row r="713">
      <c r="B713" s="12" t="n"/>
      <c r="F713" s="10" t="n"/>
      <c r="G713" s="10" t="n"/>
      <c r="H713" s="10" t="n"/>
      <c r="I713" s="10">
        <f>IF(OR(E713="",F713=""),"",E713*F713-N(G713)+N(H713))</f>
        <v/>
      </c>
      <c r="J713" s="10" t="n"/>
      <c r="K713" s="10">
        <f>IF(I713="","",I713-N(J713))</f>
        <v/>
      </c>
      <c r="L713">
        <f>IF(I713="","",IF(K713&lt;=0,"Paid",IF(J713&gt;0,"Partial","Pending")))</f>
        <v/>
      </c>
    </row>
    <row r="714">
      <c r="B714" s="12" t="n"/>
      <c r="F714" s="10" t="n"/>
      <c r="G714" s="10" t="n"/>
      <c r="H714" s="10" t="n"/>
      <c r="I714" s="10">
        <f>IF(OR(E714="",F714=""),"",E714*F714-N(G714)+N(H714))</f>
        <v/>
      </c>
      <c r="J714" s="10" t="n"/>
      <c r="K714" s="10">
        <f>IF(I714="","",I714-N(J714))</f>
        <v/>
      </c>
      <c r="L714">
        <f>IF(I714="","",IF(K714&lt;=0,"Paid",IF(J714&gt;0,"Partial","Pending")))</f>
        <v/>
      </c>
    </row>
    <row r="715">
      <c r="B715" s="12" t="n"/>
      <c r="F715" s="10" t="n"/>
      <c r="G715" s="10" t="n"/>
      <c r="H715" s="10" t="n"/>
      <c r="I715" s="10">
        <f>IF(OR(E715="",F715=""),"",E715*F715-N(G715)+N(H715))</f>
        <v/>
      </c>
      <c r="J715" s="10" t="n"/>
      <c r="K715" s="10">
        <f>IF(I715="","",I715-N(J715))</f>
        <v/>
      </c>
      <c r="L715">
        <f>IF(I715="","",IF(K715&lt;=0,"Paid",IF(J715&gt;0,"Partial","Pending")))</f>
        <v/>
      </c>
    </row>
    <row r="716">
      <c r="B716" s="12" t="n"/>
      <c r="F716" s="10" t="n"/>
      <c r="G716" s="10" t="n"/>
      <c r="H716" s="10" t="n"/>
      <c r="I716" s="10">
        <f>IF(OR(E716="",F716=""),"",E716*F716-N(G716)+N(H716))</f>
        <v/>
      </c>
      <c r="J716" s="10" t="n"/>
      <c r="K716" s="10">
        <f>IF(I716="","",I716-N(J716))</f>
        <v/>
      </c>
      <c r="L716">
        <f>IF(I716="","",IF(K716&lt;=0,"Paid",IF(J716&gt;0,"Partial","Pending")))</f>
        <v/>
      </c>
    </row>
    <row r="717">
      <c r="B717" s="12" t="n"/>
      <c r="F717" s="10" t="n"/>
      <c r="G717" s="10" t="n"/>
      <c r="H717" s="10" t="n"/>
      <c r="I717" s="10">
        <f>IF(OR(E717="",F717=""),"",E717*F717-N(G717)+N(H717))</f>
        <v/>
      </c>
      <c r="J717" s="10" t="n"/>
      <c r="K717" s="10">
        <f>IF(I717="","",I717-N(J717))</f>
        <v/>
      </c>
      <c r="L717">
        <f>IF(I717="","",IF(K717&lt;=0,"Paid",IF(J717&gt;0,"Partial","Pending")))</f>
        <v/>
      </c>
    </row>
    <row r="718">
      <c r="B718" s="12" t="n"/>
      <c r="F718" s="10" t="n"/>
      <c r="G718" s="10" t="n"/>
      <c r="H718" s="10" t="n"/>
      <c r="I718" s="10">
        <f>IF(OR(E718="",F718=""),"",E718*F718-N(G718)+N(H718))</f>
        <v/>
      </c>
      <c r="J718" s="10" t="n"/>
      <c r="K718" s="10">
        <f>IF(I718="","",I718-N(J718))</f>
        <v/>
      </c>
      <c r="L718">
        <f>IF(I718="","",IF(K718&lt;=0,"Paid",IF(J718&gt;0,"Partial","Pending")))</f>
        <v/>
      </c>
    </row>
    <row r="719">
      <c r="B719" s="12" t="n"/>
      <c r="F719" s="10" t="n"/>
      <c r="G719" s="10" t="n"/>
      <c r="H719" s="10" t="n"/>
      <c r="I719" s="10">
        <f>IF(OR(E719="",F719=""),"",E719*F719-N(G719)+N(H719))</f>
        <v/>
      </c>
      <c r="J719" s="10" t="n"/>
      <c r="K719" s="10">
        <f>IF(I719="","",I719-N(J719))</f>
        <v/>
      </c>
      <c r="L719">
        <f>IF(I719="","",IF(K719&lt;=0,"Paid",IF(J719&gt;0,"Partial","Pending")))</f>
        <v/>
      </c>
    </row>
    <row r="720">
      <c r="B720" s="12" t="n"/>
      <c r="F720" s="10" t="n"/>
      <c r="G720" s="10" t="n"/>
      <c r="H720" s="10" t="n"/>
      <c r="I720" s="10">
        <f>IF(OR(E720="",F720=""),"",E720*F720-N(G720)+N(H720))</f>
        <v/>
      </c>
      <c r="J720" s="10" t="n"/>
      <c r="K720" s="10">
        <f>IF(I720="","",I720-N(J720))</f>
        <v/>
      </c>
      <c r="L720">
        <f>IF(I720="","",IF(K720&lt;=0,"Paid",IF(J720&gt;0,"Partial","Pending")))</f>
        <v/>
      </c>
    </row>
    <row r="721">
      <c r="B721" s="12" t="n"/>
      <c r="F721" s="10" t="n"/>
      <c r="G721" s="10" t="n"/>
      <c r="H721" s="10" t="n"/>
      <c r="I721" s="10">
        <f>IF(OR(E721="",F721=""),"",E721*F721-N(G721)+N(H721))</f>
        <v/>
      </c>
      <c r="J721" s="10" t="n"/>
      <c r="K721" s="10">
        <f>IF(I721="","",I721-N(J721))</f>
        <v/>
      </c>
      <c r="L721">
        <f>IF(I721="","",IF(K721&lt;=0,"Paid",IF(J721&gt;0,"Partial","Pending")))</f>
        <v/>
      </c>
    </row>
    <row r="722">
      <c r="B722" s="12" t="n"/>
      <c r="F722" s="10" t="n"/>
      <c r="G722" s="10" t="n"/>
      <c r="H722" s="10" t="n"/>
      <c r="I722" s="10">
        <f>IF(OR(E722="",F722=""),"",E722*F722-N(G722)+N(H722))</f>
        <v/>
      </c>
      <c r="J722" s="10" t="n"/>
      <c r="K722" s="10">
        <f>IF(I722="","",I722-N(J722))</f>
        <v/>
      </c>
      <c r="L722">
        <f>IF(I722="","",IF(K722&lt;=0,"Paid",IF(J722&gt;0,"Partial","Pending")))</f>
        <v/>
      </c>
    </row>
    <row r="723">
      <c r="B723" s="12" t="n"/>
      <c r="F723" s="10" t="n"/>
      <c r="G723" s="10" t="n"/>
      <c r="H723" s="10" t="n"/>
      <c r="I723" s="10">
        <f>IF(OR(E723="",F723=""),"",E723*F723-N(G723)+N(H723))</f>
        <v/>
      </c>
      <c r="J723" s="10" t="n"/>
      <c r="K723" s="10">
        <f>IF(I723="","",I723-N(J723))</f>
        <v/>
      </c>
      <c r="L723">
        <f>IF(I723="","",IF(K723&lt;=0,"Paid",IF(J723&gt;0,"Partial","Pending")))</f>
        <v/>
      </c>
    </row>
    <row r="724">
      <c r="B724" s="12" t="n"/>
      <c r="F724" s="10" t="n"/>
      <c r="G724" s="10" t="n"/>
      <c r="H724" s="10" t="n"/>
      <c r="I724" s="10">
        <f>IF(OR(E724="",F724=""),"",E724*F724-N(G724)+N(H724))</f>
        <v/>
      </c>
      <c r="J724" s="10" t="n"/>
      <c r="K724" s="10">
        <f>IF(I724="","",I724-N(J724))</f>
        <v/>
      </c>
      <c r="L724">
        <f>IF(I724="","",IF(K724&lt;=0,"Paid",IF(J724&gt;0,"Partial","Pending")))</f>
        <v/>
      </c>
    </row>
    <row r="725">
      <c r="B725" s="12" t="n"/>
      <c r="F725" s="10" t="n"/>
      <c r="G725" s="10" t="n"/>
      <c r="H725" s="10" t="n"/>
      <c r="I725" s="10">
        <f>IF(OR(E725="",F725=""),"",E725*F725-N(G725)+N(H725))</f>
        <v/>
      </c>
      <c r="J725" s="10" t="n"/>
      <c r="K725" s="10">
        <f>IF(I725="","",I725-N(J725))</f>
        <v/>
      </c>
      <c r="L725">
        <f>IF(I725="","",IF(K725&lt;=0,"Paid",IF(J725&gt;0,"Partial","Pending")))</f>
        <v/>
      </c>
    </row>
    <row r="726">
      <c r="B726" s="12" t="n"/>
      <c r="F726" s="10" t="n"/>
      <c r="G726" s="10" t="n"/>
      <c r="H726" s="10" t="n"/>
      <c r="I726" s="10">
        <f>IF(OR(E726="",F726=""),"",E726*F726-N(G726)+N(H726))</f>
        <v/>
      </c>
      <c r="J726" s="10" t="n"/>
      <c r="K726" s="10">
        <f>IF(I726="","",I726-N(J726))</f>
        <v/>
      </c>
      <c r="L726">
        <f>IF(I726="","",IF(K726&lt;=0,"Paid",IF(J726&gt;0,"Partial","Pending")))</f>
        <v/>
      </c>
    </row>
    <row r="727">
      <c r="B727" s="12" t="n"/>
      <c r="F727" s="10" t="n"/>
      <c r="G727" s="10" t="n"/>
      <c r="H727" s="10" t="n"/>
      <c r="I727" s="10">
        <f>IF(OR(E727="",F727=""),"",E727*F727-N(G727)+N(H727))</f>
        <v/>
      </c>
      <c r="J727" s="10" t="n"/>
      <c r="K727" s="10">
        <f>IF(I727="","",I727-N(J727))</f>
        <v/>
      </c>
      <c r="L727">
        <f>IF(I727="","",IF(K727&lt;=0,"Paid",IF(J727&gt;0,"Partial","Pending")))</f>
        <v/>
      </c>
    </row>
    <row r="728">
      <c r="B728" s="12" t="n"/>
      <c r="F728" s="10" t="n"/>
      <c r="G728" s="10" t="n"/>
      <c r="H728" s="10" t="n"/>
      <c r="I728" s="10">
        <f>IF(OR(E728="",F728=""),"",E728*F728-N(G728)+N(H728))</f>
        <v/>
      </c>
      <c r="J728" s="10" t="n"/>
      <c r="K728" s="10">
        <f>IF(I728="","",I728-N(J728))</f>
        <v/>
      </c>
      <c r="L728">
        <f>IF(I728="","",IF(K728&lt;=0,"Paid",IF(J728&gt;0,"Partial","Pending")))</f>
        <v/>
      </c>
    </row>
    <row r="729">
      <c r="B729" s="12" t="n"/>
      <c r="F729" s="10" t="n"/>
      <c r="G729" s="10" t="n"/>
      <c r="H729" s="10" t="n"/>
      <c r="I729" s="10">
        <f>IF(OR(E729="",F729=""),"",E729*F729-N(G729)+N(H729))</f>
        <v/>
      </c>
      <c r="J729" s="10" t="n"/>
      <c r="K729" s="10">
        <f>IF(I729="","",I729-N(J729))</f>
        <v/>
      </c>
      <c r="L729">
        <f>IF(I729="","",IF(K729&lt;=0,"Paid",IF(J729&gt;0,"Partial","Pending")))</f>
        <v/>
      </c>
    </row>
    <row r="730">
      <c r="B730" s="12" t="n"/>
      <c r="F730" s="10" t="n"/>
      <c r="G730" s="10" t="n"/>
      <c r="H730" s="10" t="n"/>
      <c r="I730" s="10">
        <f>IF(OR(E730="",F730=""),"",E730*F730-N(G730)+N(H730))</f>
        <v/>
      </c>
      <c r="J730" s="10" t="n"/>
      <c r="K730" s="10">
        <f>IF(I730="","",I730-N(J730))</f>
        <v/>
      </c>
      <c r="L730">
        <f>IF(I730="","",IF(K730&lt;=0,"Paid",IF(J730&gt;0,"Partial","Pending")))</f>
        <v/>
      </c>
    </row>
    <row r="731">
      <c r="B731" s="12" t="n"/>
      <c r="F731" s="10" t="n"/>
      <c r="G731" s="10" t="n"/>
      <c r="H731" s="10" t="n"/>
      <c r="I731" s="10">
        <f>IF(OR(E731="",F731=""),"",E731*F731-N(G731)+N(H731))</f>
        <v/>
      </c>
      <c r="J731" s="10" t="n"/>
      <c r="K731" s="10">
        <f>IF(I731="","",I731-N(J731))</f>
        <v/>
      </c>
      <c r="L731">
        <f>IF(I731="","",IF(K731&lt;=0,"Paid",IF(J731&gt;0,"Partial","Pending")))</f>
        <v/>
      </c>
    </row>
    <row r="732">
      <c r="B732" s="12" t="n"/>
      <c r="F732" s="10" t="n"/>
      <c r="G732" s="10" t="n"/>
      <c r="H732" s="10" t="n"/>
      <c r="I732" s="10">
        <f>IF(OR(E732="",F732=""),"",E732*F732-N(G732)+N(H732))</f>
        <v/>
      </c>
      <c r="J732" s="10" t="n"/>
      <c r="K732" s="10">
        <f>IF(I732="","",I732-N(J732))</f>
        <v/>
      </c>
      <c r="L732">
        <f>IF(I732="","",IF(K732&lt;=0,"Paid",IF(J732&gt;0,"Partial","Pending")))</f>
        <v/>
      </c>
    </row>
    <row r="733">
      <c r="B733" s="12" t="n"/>
      <c r="F733" s="10" t="n"/>
      <c r="G733" s="10" t="n"/>
      <c r="H733" s="10" t="n"/>
      <c r="I733" s="10">
        <f>IF(OR(E733="",F733=""),"",E733*F733-N(G733)+N(H733))</f>
        <v/>
      </c>
      <c r="J733" s="10" t="n"/>
      <c r="K733" s="10">
        <f>IF(I733="","",I733-N(J733))</f>
        <v/>
      </c>
      <c r="L733">
        <f>IF(I733="","",IF(K733&lt;=0,"Paid",IF(J733&gt;0,"Partial","Pending")))</f>
        <v/>
      </c>
    </row>
    <row r="734">
      <c r="B734" s="12" t="n"/>
      <c r="F734" s="10" t="n"/>
      <c r="G734" s="10" t="n"/>
      <c r="H734" s="10" t="n"/>
      <c r="I734" s="10">
        <f>IF(OR(E734="",F734=""),"",E734*F734-N(G734)+N(H734))</f>
        <v/>
      </c>
      <c r="J734" s="10" t="n"/>
      <c r="K734" s="10">
        <f>IF(I734="","",I734-N(J734))</f>
        <v/>
      </c>
      <c r="L734">
        <f>IF(I734="","",IF(K734&lt;=0,"Paid",IF(J734&gt;0,"Partial","Pending")))</f>
        <v/>
      </c>
    </row>
    <row r="735">
      <c r="B735" s="12" t="n"/>
      <c r="F735" s="10" t="n"/>
      <c r="G735" s="10" t="n"/>
      <c r="H735" s="10" t="n"/>
      <c r="I735" s="10">
        <f>IF(OR(E735="",F735=""),"",E735*F735-N(G735)+N(H735))</f>
        <v/>
      </c>
      <c r="J735" s="10" t="n"/>
      <c r="K735" s="10">
        <f>IF(I735="","",I735-N(J735))</f>
        <v/>
      </c>
      <c r="L735">
        <f>IF(I735="","",IF(K735&lt;=0,"Paid",IF(J735&gt;0,"Partial","Pending")))</f>
        <v/>
      </c>
    </row>
    <row r="736">
      <c r="B736" s="12" t="n"/>
      <c r="F736" s="10" t="n"/>
      <c r="G736" s="10" t="n"/>
      <c r="H736" s="10" t="n"/>
      <c r="I736" s="10">
        <f>IF(OR(E736="",F736=""),"",E736*F736-N(G736)+N(H736))</f>
        <v/>
      </c>
      <c r="J736" s="10" t="n"/>
      <c r="K736" s="10">
        <f>IF(I736="","",I736-N(J736))</f>
        <v/>
      </c>
      <c r="L736">
        <f>IF(I736="","",IF(K736&lt;=0,"Paid",IF(J736&gt;0,"Partial","Pending")))</f>
        <v/>
      </c>
    </row>
    <row r="737">
      <c r="B737" s="12" t="n"/>
      <c r="F737" s="10" t="n"/>
      <c r="G737" s="10" t="n"/>
      <c r="H737" s="10" t="n"/>
      <c r="I737" s="10">
        <f>IF(OR(E737="",F737=""),"",E737*F737-N(G737)+N(H737))</f>
        <v/>
      </c>
      <c r="J737" s="10" t="n"/>
      <c r="K737" s="10">
        <f>IF(I737="","",I737-N(J737))</f>
        <v/>
      </c>
      <c r="L737">
        <f>IF(I737="","",IF(K737&lt;=0,"Paid",IF(J737&gt;0,"Partial","Pending")))</f>
        <v/>
      </c>
    </row>
    <row r="738">
      <c r="B738" s="12" t="n"/>
      <c r="F738" s="10" t="n"/>
      <c r="G738" s="10" t="n"/>
      <c r="H738" s="10" t="n"/>
      <c r="I738" s="10">
        <f>IF(OR(E738="",F738=""),"",E738*F738-N(G738)+N(H738))</f>
        <v/>
      </c>
      <c r="J738" s="10" t="n"/>
      <c r="K738" s="10">
        <f>IF(I738="","",I738-N(J738))</f>
        <v/>
      </c>
      <c r="L738">
        <f>IF(I738="","",IF(K738&lt;=0,"Paid",IF(J738&gt;0,"Partial","Pending")))</f>
        <v/>
      </c>
    </row>
    <row r="739">
      <c r="B739" s="12" t="n"/>
      <c r="F739" s="10" t="n"/>
      <c r="G739" s="10" t="n"/>
      <c r="H739" s="10" t="n"/>
      <c r="I739" s="10">
        <f>IF(OR(E739="",F739=""),"",E739*F739-N(G739)+N(H739))</f>
        <v/>
      </c>
      <c r="J739" s="10" t="n"/>
      <c r="K739" s="10">
        <f>IF(I739="","",I739-N(J739))</f>
        <v/>
      </c>
      <c r="L739">
        <f>IF(I739="","",IF(K739&lt;=0,"Paid",IF(J739&gt;0,"Partial","Pending")))</f>
        <v/>
      </c>
    </row>
    <row r="740">
      <c r="B740" s="12" t="n"/>
      <c r="F740" s="10" t="n"/>
      <c r="G740" s="10" t="n"/>
      <c r="H740" s="10" t="n"/>
      <c r="I740" s="10">
        <f>IF(OR(E740="",F740=""),"",E740*F740-N(G740)+N(H740))</f>
        <v/>
      </c>
      <c r="J740" s="10" t="n"/>
      <c r="K740" s="10">
        <f>IF(I740="","",I740-N(J740))</f>
        <v/>
      </c>
      <c r="L740">
        <f>IF(I740="","",IF(K740&lt;=0,"Paid",IF(J740&gt;0,"Partial","Pending")))</f>
        <v/>
      </c>
    </row>
    <row r="741">
      <c r="B741" s="12" t="n"/>
      <c r="F741" s="10" t="n"/>
      <c r="G741" s="10" t="n"/>
      <c r="H741" s="10" t="n"/>
      <c r="I741" s="10">
        <f>IF(OR(E741="",F741=""),"",E741*F741-N(G741)+N(H741))</f>
        <v/>
      </c>
      <c r="J741" s="10" t="n"/>
      <c r="K741" s="10">
        <f>IF(I741="","",I741-N(J741))</f>
        <v/>
      </c>
      <c r="L741">
        <f>IF(I741="","",IF(K741&lt;=0,"Paid",IF(J741&gt;0,"Partial","Pending")))</f>
        <v/>
      </c>
    </row>
    <row r="742">
      <c r="B742" s="12" t="n"/>
      <c r="F742" s="10" t="n"/>
      <c r="G742" s="10" t="n"/>
      <c r="H742" s="10" t="n"/>
      <c r="I742" s="10">
        <f>IF(OR(E742="",F742=""),"",E742*F742-N(G742)+N(H742))</f>
        <v/>
      </c>
      <c r="J742" s="10" t="n"/>
      <c r="K742" s="10">
        <f>IF(I742="","",I742-N(J742))</f>
        <v/>
      </c>
      <c r="L742">
        <f>IF(I742="","",IF(K742&lt;=0,"Paid",IF(J742&gt;0,"Partial","Pending")))</f>
        <v/>
      </c>
    </row>
    <row r="743">
      <c r="B743" s="12" t="n"/>
      <c r="F743" s="10" t="n"/>
      <c r="G743" s="10" t="n"/>
      <c r="H743" s="10" t="n"/>
      <c r="I743" s="10">
        <f>IF(OR(E743="",F743=""),"",E743*F743-N(G743)+N(H743))</f>
        <v/>
      </c>
      <c r="J743" s="10" t="n"/>
      <c r="K743" s="10">
        <f>IF(I743="","",I743-N(J743))</f>
        <v/>
      </c>
      <c r="L743">
        <f>IF(I743="","",IF(K743&lt;=0,"Paid",IF(J743&gt;0,"Partial","Pending")))</f>
        <v/>
      </c>
    </row>
    <row r="744">
      <c r="B744" s="12" t="n"/>
      <c r="F744" s="10" t="n"/>
      <c r="G744" s="10" t="n"/>
      <c r="H744" s="10" t="n"/>
      <c r="I744" s="10">
        <f>IF(OR(E744="",F744=""),"",E744*F744-N(G744)+N(H744))</f>
        <v/>
      </c>
      <c r="J744" s="10" t="n"/>
      <c r="K744" s="10">
        <f>IF(I744="","",I744-N(J744))</f>
        <v/>
      </c>
      <c r="L744">
        <f>IF(I744="","",IF(K744&lt;=0,"Paid",IF(J744&gt;0,"Partial","Pending")))</f>
        <v/>
      </c>
    </row>
    <row r="745">
      <c r="B745" s="12" t="n"/>
      <c r="F745" s="10" t="n"/>
      <c r="G745" s="10" t="n"/>
      <c r="H745" s="10" t="n"/>
      <c r="I745" s="10">
        <f>IF(OR(E745="",F745=""),"",E745*F745-N(G745)+N(H745))</f>
        <v/>
      </c>
      <c r="J745" s="10" t="n"/>
      <c r="K745" s="10">
        <f>IF(I745="","",I745-N(J745))</f>
        <v/>
      </c>
      <c r="L745">
        <f>IF(I745="","",IF(K745&lt;=0,"Paid",IF(J745&gt;0,"Partial","Pending")))</f>
        <v/>
      </c>
    </row>
    <row r="746">
      <c r="B746" s="12" t="n"/>
      <c r="F746" s="10" t="n"/>
      <c r="G746" s="10" t="n"/>
      <c r="H746" s="10" t="n"/>
      <c r="I746" s="10">
        <f>IF(OR(E746="",F746=""),"",E746*F746-N(G746)+N(H746))</f>
        <v/>
      </c>
      <c r="J746" s="10" t="n"/>
      <c r="K746" s="10">
        <f>IF(I746="","",I746-N(J746))</f>
        <v/>
      </c>
      <c r="L746">
        <f>IF(I746="","",IF(K746&lt;=0,"Paid",IF(J746&gt;0,"Partial","Pending")))</f>
        <v/>
      </c>
    </row>
    <row r="747">
      <c r="B747" s="12" t="n"/>
      <c r="F747" s="10" t="n"/>
      <c r="G747" s="10" t="n"/>
      <c r="H747" s="10" t="n"/>
      <c r="I747" s="10">
        <f>IF(OR(E747="",F747=""),"",E747*F747-N(G747)+N(H747))</f>
        <v/>
      </c>
      <c r="J747" s="10" t="n"/>
      <c r="K747" s="10">
        <f>IF(I747="","",I747-N(J747))</f>
        <v/>
      </c>
      <c r="L747">
        <f>IF(I747="","",IF(K747&lt;=0,"Paid",IF(J747&gt;0,"Partial","Pending")))</f>
        <v/>
      </c>
    </row>
    <row r="748">
      <c r="B748" s="12" t="n"/>
      <c r="F748" s="10" t="n"/>
      <c r="G748" s="10" t="n"/>
      <c r="H748" s="10" t="n"/>
      <c r="I748" s="10">
        <f>IF(OR(E748="",F748=""),"",E748*F748-N(G748)+N(H748))</f>
        <v/>
      </c>
      <c r="J748" s="10" t="n"/>
      <c r="K748" s="10">
        <f>IF(I748="","",I748-N(J748))</f>
        <v/>
      </c>
      <c r="L748">
        <f>IF(I748="","",IF(K748&lt;=0,"Paid",IF(J748&gt;0,"Partial","Pending")))</f>
        <v/>
      </c>
    </row>
    <row r="749">
      <c r="B749" s="12" t="n"/>
      <c r="F749" s="10" t="n"/>
      <c r="G749" s="10" t="n"/>
      <c r="H749" s="10" t="n"/>
      <c r="I749" s="10">
        <f>IF(OR(E749="",F749=""),"",E749*F749-N(G749)+N(H749))</f>
        <v/>
      </c>
      <c r="J749" s="10" t="n"/>
      <c r="K749" s="10">
        <f>IF(I749="","",I749-N(J749))</f>
        <v/>
      </c>
      <c r="L749">
        <f>IF(I749="","",IF(K749&lt;=0,"Paid",IF(J749&gt;0,"Partial","Pending")))</f>
        <v/>
      </c>
    </row>
    <row r="750">
      <c r="B750" s="12" t="n"/>
      <c r="F750" s="10" t="n"/>
      <c r="G750" s="10" t="n"/>
      <c r="H750" s="10" t="n"/>
      <c r="I750" s="10">
        <f>IF(OR(E750="",F750=""),"",E750*F750-N(G750)+N(H750))</f>
        <v/>
      </c>
      <c r="J750" s="10" t="n"/>
      <c r="K750" s="10">
        <f>IF(I750="","",I750-N(J750))</f>
        <v/>
      </c>
      <c r="L750">
        <f>IF(I750="","",IF(K750&lt;=0,"Paid",IF(J750&gt;0,"Partial","Pending")))</f>
        <v/>
      </c>
    </row>
    <row r="751">
      <c r="B751" s="12" t="n"/>
      <c r="F751" s="10" t="n"/>
      <c r="G751" s="10" t="n"/>
      <c r="H751" s="10" t="n"/>
      <c r="I751" s="10">
        <f>IF(OR(E751="",F751=""),"",E751*F751-N(G751)+N(H751))</f>
        <v/>
      </c>
      <c r="J751" s="10" t="n"/>
      <c r="K751" s="10">
        <f>IF(I751="","",I751-N(J751))</f>
        <v/>
      </c>
      <c r="L751">
        <f>IF(I751="","",IF(K751&lt;=0,"Paid",IF(J751&gt;0,"Partial","Pending")))</f>
        <v/>
      </c>
    </row>
    <row r="752">
      <c r="B752" s="12" t="n"/>
      <c r="F752" s="10" t="n"/>
      <c r="G752" s="10" t="n"/>
      <c r="H752" s="10" t="n"/>
      <c r="I752" s="10">
        <f>IF(OR(E752="",F752=""),"",E752*F752-N(G752)+N(H752))</f>
        <v/>
      </c>
      <c r="J752" s="10" t="n"/>
      <c r="K752" s="10">
        <f>IF(I752="","",I752-N(J752))</f>
        <v/>
      </c>
      <c r="L752">
        <f>IF(I752="","",IF(K752&lt;=0,"Paid",IF(J752&gt;0,"Partial","Pending")))</f>
        <v/>
      </c>
    </row>
    <row r="753">
      <c r="B753" s="12" t="n"/>
      <c r="F753" s="10" t="n"/>
      <c r="G753" s="10" t="n"/>
      <c r="H753" s="10" t="n"/>
      <c r="I753" s="10">
        <f>IF(OR(E753="",F753=""),"",E753*F753-N(G753)+N(H753))</f>
        <v/>
      </c>
      <c r="J753" s="10" t="n"/>
      <c r="K753" s="10">
        <f>IF(I753="","",I753-N(J753))</f>
        <v/>
      </c>
      <c r="L753">
        <f>IF(I753="","",IF(K753&lt;=0,"Paid",IF(J753&gt;0,"Partial","Pending")))</f>
        <v/>
      </c>
    </row>
    <row r="754">
      <c r="B754" s="12" t="n"/>
      <c r="F754" s="10" t="n"/>
      <c r="G754" s="10" t="n"/>
      <c r="H754" s="10" t="n"/>
      <c r="I754" s="10">
        <f>IF(OR(E754="",F754=""),"",E754*F754-N(G754)+N(H754))</f>
        <v/>
      </c>
      <c r="J754" s="10" t="n"/>
      <c r="K754" s="10">
        <f>IF(I754="","",I754-N(J754))</f>
        <v/>
      </c>
      <c r="L754">
        <f>IF(I754="","",IF(K754&lt;=0,"Paid",IF(J754&gt;0,"Partial","Pending")))</f>
        <v/>
      </c>
    </row>
    <row r="755">
      <c r="B755" s="12" t="n"/>
      <c r="F755" s="10" t="n"/>
      <c r="G755" s="10" t="n"/>
      <c r="H755" s="10" t="n"/>
      <c r="I755" s="10">
        <f>IF(OR(E755="",F755=""),"",E755*F755-N(G755)+N(H755))</f>
        <v/>
      </c>
      <c r="J755" s="10" t="n"/>
      <c r="K755" s="10">
        <f>IF(I755="","",I755-N(J755))</f>
        <v/>
      </c>
      <c r="L755">
        <f>IF(I755="","",IF(K755&lt;=0,"Paid",IF(J755&gt;0,"Partial","Pending")))</f>
        <v/>
      </c>
    </row>
    <row r="756">
      <c r="B756" s="12" t="n"/>
      <c r="F756" s="10" t="n"/>
      <c r="G756" s="10" t="n"/>
      <c r="H756" s="10" t="n"/>
      <c r="I756" s="10">
        <f>IF(OR(E756="",F756=""),"",E756*F756-N(G756)+N(H756))</f>
        <v/>
      </c>
      <c r="J756" s="10" t="n"/>
      <c r="K756" s="10">
        <f>IF(I756="","",I756-N(J756))</f>
        <v/>
      </c>
      <c r="L756">
        <f>IF(I756="","",IF(K756&lt;=0,"Paid",IF(J756&gt;0,"Partial","Pending")))</f>
        <v/>
      </c>
    </row>
    <row r="757">
      <c r="B757" s="12" t="n"/>
      <c r="F757" s="10" t="n"/>
      <c r="G757" s="10" t="n"/>
      <c r="H757" s="10" t="n"/>
      <c r="I757" s="10">
        <f>IF(OR(E757="",F757=""),"",E757*F757-N(G757)+N(H757))</f>
        <v/>
      </c>
      <c r="J757" s="10" t="n"/>
      <c r="K757" s="10">
        <f>IF(I757="","",I757-N(J757))</f>
        <v/>
      </c>
      <c r="L757">
        <f>IF(I757="","",IF(K757&lt;=0,"Paid",IF(J757&gt;0,"Partial","Pending")))</f>
        <v/>
      </c>
    </row>
    <row r="758">
      <c r="B758" s="12" t="n"/>
      <c r="F758" s="10" t="n"/>
      <c r="G758" s="10" t="n"/>
      <c r="H758" s="10" t="n"/>
      <c r="I758" s="10">
        <f>IF(OR(E758="",F758=""),"",E758*F758-N(G758)+N(H758))</f>
        <v/>
      </c>
      <c r="J758" s="10" t="n"/>
      <c r="K758" s="10">
        <f>IF(I758="","",I758-N(J758))</f>
        <v/>
      </c>
      <c r="L758">
        <f>IF(I758="","",IF(K758&lt;=0,"Paid",IF(J758&gt;0,"Partial","Pending")))</f>
        <v/>
      </c>
    </row>
    <row r="759">
      <c r="B759" s="12" t="n"/>
      <c r="F759" s="10" t="n"/>
      <c r="G759" s="10" t="n"/>
      <c r="H759" s="10" t="n"/>
      <c r="I759" s="10">
        <f>IF(OR(E759="",F759=""),"",E759*F759-N(G759)+N(H759))</f>
        <v/>
      </c>
      <c r="J759" s="10" t="n"/>
      <c r="K759" s="10">
        <f>IF(I759="","",I759-N(J759))</f>
        <v/>
      </c>
      <c r="L759">
        <f>IF(I759="","",IF(K759&lt;=0,"Paid",IF(J759&gt;0,"Partial","Pending")))</f>
        <v/>
      </c>
    </row>
    <row r="760">
      <c r="B760" s="12" t="n"/>
      <c r="F760" s="10" t="n"/>
      <c r="G760" s="10" t="n"/>
      <c r="H760" s="10" t="n"/>
      <c r="I760" s="10">
        <f>IF(OR(E760="",F760=""),"",E760*F760-N(G760)+N(H760))</f>
        <v/>
      </c>
      <c r="J760" s="10" t="n"/>
      <c r="K760" s="10">
        <f>IF(I760="","",I760-N(J760))</f>
        <v/>
      </c>
      <c r="L760">
        <f>IF(I760="","",IF(K760&lt;=0,"Paid",IF(J760&gt;0,"Partial","Pending")))</f>
        <v/>
      </c>
    </row>
    <row r="761">
      <c r="B761" s="12" t="n"/>
      <c r="F761" s="10" t="n"/>
      <c r="G761" s="10" t="n"/>
      <c r="H761" s="10" t="n"/>
      <c r="I761" s="10">
        <f>IF(OR(E761="",F761=""),"",E761*F761-N(G761)+N(H761))</f>
        <v/>
      </c>
      <c r="J761" s="10" t="n"/>
      <c r="K761" s="10">
        <f>IF(I761="","",I761-N(J761))</f>
        <v/>
      </c>
      <c r="L761">
        <f>IF(I761="","",IF(K761&lt;=0,"Paid",IF(J761&gt;0,"Partial","Pending")))</f>
        <v/>
      </c>
    </row>
    <row r="762">
      <c r="B762" s="12" t="n"/>
      <c r="F762" s="10" t="n"/>
      <c r="G762" s="10" t="n"/>
      <c r="H762" s="10" t="n"/>
      <c r="I762" s="10">
        <f>IF(OR(E762="",F762=""),"",E762*F762-N(G762)+N(H762))</f>
        <v/>
      </c>
      <c r="J762" s="10" t="n"/>
      <c r="K762" s="10">
        <f>IF(I762="","",I762-N(J762))</f>
        <v/>
      </c>
      <c r="L762">
        <f>IF(I762="","",IF(K762&lt;=0,"Paid",IF(J762&gt;0,"Partial","Pending")))</f>
        <v/>
      </c>
    </row>
    <row r="763">
      <c r="B763" s="12" t="n"/>
      <c r="F763" s="10" t="n"/>
      <c r="G763" s="10" t="n"/>
      <c r="H763" s="10" t="n"/>
      <c r="I763" s="10">
        <f>IF(OR(E763="",F763=""),"",E763*F763-N(G763)+N(H763))</f>
        <v/>
      </c>
      <c r="J763" s="10" t="n"/>
      <c r="K763" s="10">
        <f>IF(I763="","",I763-N(J763))</f>
        <v/>
      </c>
      <c r="L763">
        <f>IF(I763="","",IF(K763&lt;=0,"Paid",IF(J763&gt;0,"Partial","Pending")))</f>
        <v/>
      </c>
    </row>
    <row r="764">
      <c r="B764" s="12" t="n"/>
      <c r="F764" s="10" t="n"/>
      <c r="G764" s="10" t="n"/>
      <c r="H764" s="10" t="n"/>
      <c r="I764" s="10">
        <f>IF(OR(E764="",F764=""),"",E764*F764-N(G764)+N(H764))</f>
        <v/>
      </c>
      <c r="J764" s="10" t="n"/>
      <c r="K764" s="10">
        <f>IF(I764="","",I764-N(J764))</f>
        <v/>
      </c>
      <c r="L764">
        <f>IF(I764="","",IF(K764&lt;=0,"Paid",IF(J764&gt;0,"Partial","Pending")))</f>
        <v/>
      </c>
    </row>
    <row r="765">
      <c r="B765" s="12" t="n"/>
      <c r="F765" s="10" t="n"/>
      <c r="G765" s="10" t="n"/>
      <c r="H765" s="10" t="n"/>
      <c r="I765" s="10">
        <f>IF(OR(E765="",F765=""),"",E765*F765-N(G765)+N(H765))</f>
        <v/>
      </c>
      <c r="J765" s="10" t="n"/>
      <c r="K765" s="10">
        <f>IF(I765="","",I765-N(J765))</f>
        <v/>
      </c>
      <c r="L765">
        <f>IF(I765="","",IF(K765&lt;=0,"Paid",IF(J765&gt;0,"Partial","Pending")))</f>
        <v/>
      </c>
    </row>
    <row r="766">
      <c r="B766" s="12" t="n"/>
      <c r="F766" s="10" t="n"/>
      <c r="G766" s="10" t="n"/>
      <c r="H766" s="10" t="n"/>
      <c r="I766" s="10">
        <f>IF(OR(E766="",F766=""),"",E766*F766-N(G766)+N(H766))</f>
        <v/>
      </c>
      <c r="J766" s="10" t="n"/>
      <c r="K766" s="10">
        <f>IF(I766="","",I766-N(J766))</f>
        <v/>
      </c>
      <c r="L766">
        <f>IF(I766="","",IF(K766&lt;=0,"Paid",IF(J766&gt;0,"Partial","Pending")))</f>
        <v/>
      </c>
    </row>
    <row r="767">
      <c r="B767" s="12" t="n"/>
      <c r="F767" s="10" t="n"/>
      <c r="G767" s="10" t="n"/>
      <c r="H767" s="10" t="n"/>
      <c r="I767" s="10">
        <f>IF(OR(E767="",F767=""),"",E767*F767-N(G767)+N(H767))</f>
        <v/>
      </c>
      <c r="J767" s="10" t="n"/>
      <c r="K767" s="10">
        <f>IF(I767="","",I767-N(J767))</f>
        <v/>
      </c>
      <c r="L767">
        <f>IF(I767="","",IF(K767&lt;=0,"Paid",IF(J767&gt;0,"Partial","Pending")))</f>
        <v/>
      </c>
    </row>
    <row r="768">
      <c r="B768" s="12" t="n"/>
      <c r="F768" s="10" t="n"/>
      <c r="G768" s="10" t="n"/>
      <c r="H768" s="10" t="n"/>
      <c r="I768" s="10">
        <f>IF(OR(E768="",F768=""),"",E768*F768-N(G768)+N(H768))</f>
        <v/>
      </c>
      <c r="J768" s="10" t="n"/>
      <c r="K768" s="10">
        <f>IF(I768="","",I768-N(J768))</f>
        <v/>
      </c>
      <c r="L768">
        <f>IF(I768="","",IF(K768&lt;=0,"Paid",IF(J768&gt;0,"Partial","Pending")))</f>
        <v/>
      </c>
    </row>
    <row r="769">
      <c r="B769" s="12" t="n"/>
      <c r="F769" s="10" t="n"/>
      <c r="G769" s="10" t="n"/>
      <c r="H769" s="10" t="n"/>
      <c r="I769" s="10">
        <f>IF(OR(E769="",F769=""),"",E769*F769-N(G769)+N(H769))</f>
        <v/>
      </c>
      <c r="J769" s="10" t="n"/>
      <c r="K769" s="10">
        <f>IF(I769="","",I769-N(J769))</f>
        <v/>
      </c>
      <c r="L769">
        <f>IF(I769="","",IF(K769&lt;=0,"Paid",IF(J769&gt;0,"Partial","Pending")))</f>
        <v/>
      </c>
    </row>
    <row r="770">
      <c r="B770" s="12" t="n"/>
      <c r="F770" s="10" t="n"/>
      <c r="G770" s="10" t="n"/>
      <c r="H770" s="10" t="n"/>
      <c r="I770" s="10">
        <f>IF(OR(E770="",F770=""),"",E770*F770-N(G770)+N(H770))</f>
        <v/>
      </c>
      <c r="J770" s="10" t="n"/>
      <c r="K770" s="10">
        <f>IF(I770="","",I770-N(J770))</f>
        <v/>
      </c>
      <c r="L770">
        <f>IF(I770="","",IF(K770&lt;=0,"Paid",IF(J770&gt;0,"Partial","Pending")))</f>
        <v/>
      </c>
    </row>
    <row r="771">
      <c r="B771" s="12" t="n"/>
      <c r="F771" s="10" t="n"/>
      <c r="G771" s="10" t="n"/>
      <c r="H771" s="10" t="n"/>
      <c r="I771" s="10">
        <f>IF(OR(E771="",F771=""),"",E771*F771-N(G771)+N(H771))</f>
        <v/>
      </c>
      <c r="J771" s="10" t="n"/>
      <c r="K771" s="10">
        <f>IF(I771="","",I771-N(J771))</f>
        <v/>
      </c>
      <c r="L771">
        <f>IF(I771="","",IF(K771&lt;=0,"Paid",IF(J771&gt;0,"Partial","Pending")))</f>
        <v/>
      </c>
    </row>
    <row r="772">
      <c r="B772" s="12" t="n"/>
      <c r="F772" s="10" t="n"/>
      <c r="G772" s="10" t="n"/>
      <c r="H772" s="10" t="n"/>
      <c r="I772" s="10">
        <f>IF(OR(E772="",F772=""),"",E772*F772-N(G772)+N(H772))</f>
        <v/>
      </c>
      <c r="J772" s="10" t="n"/>
      <c r="K772" s="10">
        <f>IF(I772="","",I772-N(J772))</f>
        <v/>
      </c>
      <c r="L772">
        <f>IF(I772="","",IF(K772&lt;=0,"Paid",IF(J772&gt;0,"Partial","Pending")))</f>
        <v/>
      </c>
    </row>
    <row r="773">
      <c r="B773" s="12" t="n"/>
      <c r="F773" s="10" t="n"/>
      <c r="G773" s="10" t="n"/>
      <c r="H773" s="10" t="n"/>
      <c r="I773" s="10">
        <f>IF(OR(E773="",F773=""),"",E773*F773-N(G773)+N(H773))</f>
        <v/>
      </c>
      <c r="J773" s="10" t="n"/>
      <c r="K773" s="10">
        <f>IF(I773="","",I773-N(J773))</f>
        <v/>
      </c>
      <c r="L773">
        <f>IF(I773="","",IF(K773&lt;=0,"Paid",IF(J773&gt;0,"Partial","Pending")))</f>
        <v/>
      </c>
    </row>
    <row r="774">
      <c r="B774" s="12" t="n"/>
      <c r="F774" s="10" t="n"/>
      <c r="G774" s="10" t="n"/>
      <c r="H774" s="10" t="n"/>
      <c r="I774" s="10">
        <f>IF(OR(E774="",F774=""),"",E774*F774-N(G774)+N(H774))</f>
        <v/>
      </c>
      <c r="J774" s="10" t="n"/>
      <c r="K774" s="10">
        <f>IF(I774="","",I774-N(J774))</f>
        <v/>
      </c>
      <c r="L774">
        <f>IF(I774="","",IF(K774&lt;=0,"Paid",IF(J774&gt;0,"Partial","Pending")))</f>
        <v/>
      </c>
    </row>
    <row r="775">
      <c r="B775" s="12" t="n"/>
      <c r="F775" s="10" t="n"/>
      <c r="G775" s="10" t="n"/>
      <c r="H775" s="10" t="n"/>
      <c r="I775" s="10">
        <f>IF(OR(E775="",F775=""),"",E775*F775-N(G775)+N(H775))</f>
        <v/>
      </c>
      <c r="J775" s="10" t="n"/>
      <c r="K775" s="10">
        <f>IF(I775="","",I775-N(J775))</f>
        <v/>
      </c>
      <c r="L775">
        <f>IF(I775="","",IF(K775&lt;=0,"Paid",IF(J775&gt;0,"Partial","Pending")))</f>
        <v/>
      </c>
    </row>
    <row r="776">
      <c r="B776" s="12" t="n"/>
      <c r="F776" s="10" t="n"/>
      <c r="G776" s="10" t="n"/>
      <c r="H776" s="10" t="n"/>
      <c r="I776" s="10">
        <f>IF(OR(E776="",F776=""),"",E776*F776-N(G776)+N(H776))</f>
        <v/>
      </c>
      <c r="J776" s="10" t="n"/>
      <c r="K776" s="10">
        <f>IF(I776="","",I776-N(J776))</f>
        <v/>
      </c>
      <c r="L776">
        <f>IF(I776="","",IF(K776&lt;=0,"Paid",IF(J776&gt;0,"Partial","Pending")))</f>
        <v/>
      </c>
    </row>
    <row r="777">
      <c r="B777" s="12" t="n"/>
      <c r="F777" s="10" t="n"/>
      <c r="G777" s="10" t="n"/>
      <c r="H777" s="10" t="n"/>
      <c r="I777" s="10">
        <f>IF(OR(E777="",F777=""),"",E777*F777-N(G777)+N(H777))</f>
        <v/>
      </c>
      <c r="J777" s="10" t="n"/>
      <c r="K777" s="10">
        <f>IF(I777="","",I777-N(J777))</f>
        <v/>
      </c>
      <c r="L777">
        <f>IF(I777="","",IF(K777&lt;=0,"Paid",IF(J777&gt;0,"Partial","Pending")))</f>
        <v/>
      </c>
    </row>
    <row r="778">
      <c r="B778" s="12" t="n"/>
      <c r="F778" s="10" t="n"/>
      <c r="G778" s="10" t="n"/>
      <c r="H778" s="10" t="n"/>
      <c r="I778" s="10">
        <f>IF(OR(E778="",F778=""),"",E778*F778-N(G778)+N(H778))</f>
        <v/>
      </c>
      <c r="J778" s="10" t="n"/>
      <c r="K778" s="10">
        <f>IF(I778="","",I778-N(J778))</f>
        <v/>
      </c>
      <c r="L778">
        <f>IF(I778="","",IF(K778&lt;=0,"Paid",IF(J778&gt;0,"Partial","Pending")))</f>
        <v/>
      </c>
    </row>
    <row r="779">
      <c r="B779" s="12" t="n"/>
      <c r="F779" s="10" t="n"/>
      <c r="G779" s="10" t="n"/>
      <c r="H779" s="10" t="n"/>
      <c r="I779" s="10">
        <f>IF(OR(E779="",F779=""),"",E779*F779-N(G779)+N(H779))</f>
        <v/>
      </c>
      <c r="J779" s="10" t="n"/>
      <c r="K779" s="10">
        <f>IF(I779="","",I779-N(J779))</f>
        <v/>
      </c>
      <c r="L779">
        <f>IF(I779="","",IF(K779&lt;=0,"Paid",IF(J779&gt;0,"Partial","Pending")))</f>
        <v/>
      </c>
    </row>
    <row r="780">
      <c r="B780" s="12" t="n"/>
      <c r="F780" s="10" t="n"/>
      <c r="G780" s="10" t="n"/>
      <c r="H780" s="10" t="n"/>
      <c r="I780" s="10">
        <f>IF(OR(E780="",F780=""),"",E780*F780-N(G780)+N(H780))</f>
        <v/>
      </c>
      <c r="J780" s="10" t="n"/>
      <c r="K780" s="10">
        <f>IF(I780="","",I780-N(J780))</f>
        <v/>
      </c>
      <c r="L780">
        <f>IF(I780="","",IF(K780&lt;=0,"Paid",IF(J780&gt;0,"Partial","Pending")))</f>
        <v/>
      </c>
    </row>
    <row r="781">
      <c r="B781" s="12" t="n"/>
      <c r="F781" s="10" t="n"/>
      <c r="G781" s="10" t="n"/>
      <c r="H781" s="10" t="n"/>
      <c r="I781" s="10">
        <f>IF(OR(E781="",F781=""),"",E781*F781-N(G781)+N(H781))</f>
        <v/>
      </c>
      <c r="J781" s="10" t="n"/>
      <c r="K781" s="10">
        <f>IF(I781="","",I781-N(J781))</f>
        <v/>
      </c>
      <c r="L781">
        <f>IF(I781="","",IF(K781&lt;=0,"Paid",IF(J781&gt;0,"Partial","Pending")))</f>
        <v/>
      </c>
    </row>
    <row r="782">
      <c r="B782" s="12" t="n"/>
      <c r="F782" s="10" t="n"/>
      <c r="G782" s="10" t="n"/>
      <c r="H782" s="10" t="n"/>
      <c r="I782" s="10">
        <f>IF(OR(E782="",F782=""),"",E782*F782-N(G782)+N(H782))</f>
        <v/>
      </c>
      <c r="J782" s="10" t="n"/>
      <c r="K782" s="10">
        <f>IF(I782="","",I782-N(J782))</f>
        <v/>
      </c>
      <c r="L782">
        <f>IF(I782="","",IF(K782&lt;=0,"Paid",IF(J782&gt;0,"Partial","Pending")))</f>
        <v/>
      </c>
    </row>
    <row r="783">
      <c r="B783" s="12" t="n"/>
      <c r="F783" s="10" t="n"/>
      <c r="G783" s="10" t="n"/>
      <c r="H783" s="10" t="n"/>
      <c r="I783" s="10">
        <f>IF(OR(E783="",F783=""),"",E783*F783-N(G783)+N(H783))</f>
        <v/>
      </c>
      <c r="J783" s="10" t="n"/>
      <c r="K783" s="10">
        <f>IF(I783="","",I783-N(J783))</f>
        <v/>
      </c>
      <c r="L783">
        <f>IF(I783="","",IF(K783&lt;=0,"Paid",IF(J783&gt;0,"Partial","Pending")))</f>
        <v/>
      </c>
    </row>
    <row r="784">
      <c r="B784" s="12" t="n"/>
      <c r="F784" s="10" t="n"/>
      <c r="G784" s="10" t="n"/>
      <c r="H784" s="10" t="n"/>
      <c r="I784" s="10">
        <f>IF(OR(E784="",F784=""),"",E784*F784-N(G784)+N(H784))</f>
        <v/>
      </c>
      <c r="J784" s="10" t="n"/>
      <c r="K784" s="10">
        <f>IF(I784="","",I784-N(J784))</f>
        <v/>
      </c>
      <c r="L784">
        <f>IF(I784="","",IF(K784&lt;=0,"Paid",IF(J784&gt;0,"Partial","Pending")))</f>
        <v/>
      </c>
    </row>
    <row r="785">
      <c r="B785" s="12" t="n"/>
      <c r="F785" s="10" t="n"/>
      <c r="G785" s="10" t="n"/>
      <c r="H785" s="10" t="n"/>
      <c r="I785" s="10">
        <f>IF(OR(E785="",F785=""),"",E785*F785-N(G785)+N(H785))</f>
        <v/>
      </c>
      <c r="J785" s="10" t="n"/>
      <c r="K785" s="10">
        <f>IF(I785="","",I785-N(J785))</f>
        <v/>
      </c>
      <c r="L785">
        <f>IF(I785="","",IF(K785&lt;=0,"Paid",IF(J785&gt;0,"Partial","Pending")))</f>
        <v/>
      </c>
    </row>
    <row r="786">
      <c r="B786" s="12" t="n"/>
      <c r="F786" s="10" t="n"/>
      <c r="G786" s="10" t="n"/>
      <c r="H786" s="10" t="n"/>
      <c r="I786" s="10">
        <f>IF(OR(E786="",F786=""),"",E786*F786-N(G786)+N(H786))</f>
        <v/>
      </c>
      <c r="J786" s="10" t="n"/>
      <c r="K786" s="10">
        <f>IF(I786="","",I786-N(J786))</f>
        <v/>
      </c>
      <c r="L786">
        <f>IF(I786="","",IF(K786&lt;=0,"Paid",IF(J786&gt;0,"Partial","Pending")))</f>
        <v/>
      </c>
    </row>
    <row r="787">
      <c r="B787" s="12" t="n"/>
      <c r="F787" s="10" t="n"/>
      <c r="G787" s="10" t="n"/>
      <c r="H787" s="10" t="n"/>
      <c r="I787" s="10">
        <f>IF(OR(E787="",F787=""),"",E787*F787-N(G787)+N(H787))</f>
        <v/>
      </c>
      <c r="J787" s="10" t="n"/>
      <c r="K787" s="10">
        <f>IF(I787="","",I787-N(J787))</f>
        <v/>
      </c>
      <c r="L787">
        <f>IF(I787="","",IF(K787&lt;=0,"Paid",IF(J787&gt;0,"Partial","Pending")))</f>
        <v/>
      </c>
    </row>
    <row r="788">
      <c r="B788" s="12" t="n"/>
      <c r="F788" s="10" t="n"/>
      <c r="G788" s="10" t="n"/>
      <c r="H788" s="10" t="n"/>
      <c r="I788" s="10">
        <f>IF(OR(E788="",F788=""),"",E788*F788-N(G788)+N(H788))</f>
        <v/>
      </c>
      <c r="J788" s="10" t="n"/>
      <c r="K788" s="10">
        <f>IF(I788="","",I788-N(J788))</f>
        <v/>
      </c>
      <c r="L788">
        <f>IF(I788="","",IF(K788&lt;=0,"Paid",IF(J788&gt;0,"Partial","Pending")))</f>
        <v/>
      </c>
    </row>
    <row r="789">
      <c r="B789" s="12" t="n"/>
      <c r="F789" s="10" t="n"/>
      <c r="G789" s="10" t="n"/>
      <c r="H789" s="10" t="n"/>
      <c r="I789" s="10">
        <f>IF(OR(E789="",F789=""),"",E789*F789-N(G789)+N(H789))</f>
        <v/>
      </c>
      <c r="J789" s="10" t="n"/>
      <c r="K789" s="10">
        <f>IF(I789="","",I789-N(J789))</f>
        <v/>
      </c>
      <c r="L789">
        <f>IF(I789="","",IF(K789&lt;=0,"Paid",IF(J789&gt;0,"Partial","Pending")))</f>
        <v/>
      </c>
    </row>
    <row r="790">
      <c r="B790" s="12" t="n"/>
      <c r="F790" s="10" t="n"/>
      <c r="G790" s="10" t="n"/>
      <c r="H790" s="10" t="n"/>
      <c r="I790" s="10">
        <f>IF(OR(E790="",F790=""),"",E790*F790-N(G790)+N(H790))</f>
        <v/>
      </c>
      <c r="J790" s="10" t="n"/>
      <c r="K790" s="10">
        <f>IF(I790="","",I790-N(J790))</f>
        <v/>
      </c>
      <c r="L790">
        <f>IF(I790="","",IF(K790&lt;=0,"Paid",IF(J790&gt;0,"Partial","Pending")))</f>
        <v/>
      </c>
    </row>
    <row r="791">
      <c r="B791" s="12" t="n"/>
      <c r="F791" s="10" t="n"/>
      <c r="G791" s="10" t="n"/>
      <c r="H791" s="10" t="n"/>
      <c r="I791" s="10">
        <f>IF(OR(E791="",F791=""),"",E791*F791-N(G791)+N(H791))</f>
        <v/>
      </c>
      <c r="J791" s="10" t="n"/>
      <c r="K791" s="10">
        <f>IF(I791="","",I791-N(J791))</f>
        <v/>
      </c>
      <c r="L791">
        <f>IF(I791="","",IF(K791&lt;=0,"Paid",IF(J791&gt;0,"Partial","Pending")))</f>
        <v/>
      </c>
    </row>
    <row r="792">
      <c r="B792" s="12" t="n"/>
      <c r="F792" s="10" t="n"/>
      <c r="G792" s="10" t="n"/>
      <c r="H792" s="10" t="n"/>
      <c r="I792" s="10">
        <f>IF(OR(E792="",F792=""),"",E792*F792-N(G792)+N(H792))</f>
        <v/>
      </c>
      <c r="J792" s="10" t="n"/>
      <c r="K792" s="10">
        <f>IF(I792="","",I792-N(J792))</f>
        <v/>
      </c>
      <c r="L792">
        <f>IF(I792="","",IF(K792&lt;=0,"Paid",IF(J792&gt;0,"Partial","Pending")))</f>
        <v/>
      </c>
    </row>
    <row r="793">
      <c r="B793" s="12" t="n"/>
      <c r="F793" s="10" t="n"/>
      <c r="G793" s="10" t="n"/>
      <c r="H793" s="10" t="n"/>
      <c r="I793" s="10">
        <f>IF(OR(E793="",F793=""),"",E793*F793-N(G793)+N(H793))</f>
        <v/>
      </c>
      <c r="J793" s="10" t="n"/>
      <c r="K793" s="10">
        <f>IF(I793="","",I793-N(J793))</f>
        <v/>
      </c>
      <c r="L793">
        <f>IF(I793="","",IF(K793&lt;=0,"Paid",IF(J793&gt;0,"Partial","Pending")))</f>
        <v/>
      </c>
    </row>
    <row r="794">
      <c r="B794" s="12" t="n"/>
      <c r="F794" s="10" t="n"/>
      <c r="G794" s="10" t="n"/>
      <c r="H794" s="10" t="n"/>
      <c r="I794" s="10">
        <f>IF(OR(E794="",F794=""),"",E794*F794-N(G794)+N(H794))</f>
        <v/>
      </c>
      <c r="J794" s="10" t="n"/>
      <c r="K794" s="10">
        <f>IF(I794="","",I794-N(J794))</f>
        <v/>
      </c>
      <c r="L794">
        <f>IF(I794="","",IF(K794&lt;=0,"Paid",IF(J794&gt;0,"Partial","Pending")))</f>
        <v/>
      </c>
    </row>
    <row r="795">
      <c r="B795" s="12" t="n"/>
      <c r="F795" s="10" t="n"/>
      <c r="G795" s="10" t="n"/>
      <c r="H795" s="10" t="n"/>
      <c r="I795" s="10">
        <f>IF(OR(E795="",F795=""),"",E795*F795-N(G795)+N(H795))</f>
        <v/>
      </c>
      <c r="J795" s="10" t="n"/>
      <c r="K795" s="10">
        <f>IF(I795="","",I795-N(J795))</f>
        <v/>
      </c>
      <c r="L795">
        <f>IF(I795="","",IF(K795&lt;=0,"Paid",IF(J795&gt;0,"Partial","Pending")))</f>
        <v/>
      </c>
    </row>
    <row r="796">
      <c r="B796" s="12" t="n"/>
      <c r="F796" s="10" t="n"/>
      <c r="G796" s="10" t="n"/>
      <c r="H796" s="10" t="n"/>
      <c r="I796" s="10">
        <f>IF(OR(E796="",F796=""),"",E796*F796-N(G796)+N(H796))</f>
        <v/>
      </c>
      <c r="J796" s="10" t="n"/>
      <c r="K796" s="10">
        <f>IF(I796="","",I796-N(J796))</f>
        <v/>
      </c>
      <c r="L796">
        <f>IF(I796="","",IF(K796&lt;=0,"Paid",IF(J796&gt;0,"Partial","Pending")))</f>
        <v/>
      </c>
    </row>
    <row r="797">
      <c r="B797" s="12" t="n"/>
      <c r="F797" s="10" t="n"/>
      <c r="G797" s="10" t="n"/>
      <c r="H797" s="10" t="n"/>
      <c r="I797" s="10">
        <f>IF(OR(E797="",F797=""),"",E797*F797-N(G797)+N(H797))</f>
        <v/>
      </c>
      <c r="J797" s="10" t="n"/>
      <c r="K797" s="10">
        <f>IF(I797="","",I797-N(J797))</f>
        <v/>
      </c>
      <c r="L797">
        <f>IF(I797="","",IF(K797&lt;=0,"Paid",IF(J797&gt;0,"Partial","Pending")))</f>
        <v/>
      </c>
    </row>
    <row r="798">
      <c r="B798" s="12" t="n"/>
      <c r="F798" s="10" t="n"/>
      <c r="G798" s="10" t="n"/>
      <c r="H798" s="10" t="n"/>
      <c r="I798" s="10">
        <f>IF(OR(E798="",F798=""),"",E798*F798-N(G798)+N(H798))</f>
        <v/>
      </c>
      <c r="J798" s="10" t="n"/>
      <c r="K798" s="10">
        <f>IF(I798="","",I798-N(J798))</f>
        <v/>
      </c>
      <c r="L798">
        <f>IF(I798="","",IF(K798&lt;=0,"Paid",IF(J798&gt;0,"Partial","Pending")))</f>
        <v/>
      </c>
    </row>
    <row r="799">
      <c r="B799" s="12" t="n"/>
      <c r="F799" s="10" t="n"/>
      <c r="G799" s="10" t="n"/>
      <c r="H799" s="10" t="n"/>
      <c r="I799" s="10">
        <f>IF(OR(E799="",F799=""),"",E799*F799-N(G799)+N(H799))</f>
        <v/>
      </c>
      <c r="J799" s="10" t="n"/>
      <c r="K799" s="10">
        <f>IF(I799="","",I799-N(J799))</f>
        <v/>
      </c>
      <c r="L799">
        <f>IF(I799="","",IF(K799&lt;=0,"Paid",IF(J799&gt;0,"Partial","Pending")))</f>
        <v/>
      </c>
    </row>
    <row r="800">
      <c r="B800" s="12" t="n"/>
      <c r="F800" s="10" t="n"/>
      <c r="G800" s="10" t="n"/>
      <c r="H800" s="10" t="n"/>
      <c r="I800" s="10">
        <f>IF(OR(E800="",F800=""),"",E800*F800-N(G800)+N(H800))</f>
        <v/>
      </c>
      <c r="J800" s="10" t="n"/>
      <c r="K800" s="10">
        <f>IF(I800="","",I800-N(J800))</f>
        <v/>
      </c>
      <c r="L800">
        <f>IF(I800="","",IF(K800&lt;=0,"Paid",IF(J800&gt;0,"Partial","Pending")))</f>
        <v/>
      </c>
    </row>
    <row r="801">
      <c r="B801" s="12" t="n"/>
      <c r="F801" s="10" t="n"/>
      <c r="G801" s="10" t="n"/>
      <c r="H801" s="10" t="n"/>
      <c r="I801" s="10">
        <f>IF(OR(E801="",F801=""),"",E801*F801-N(G801)+N(H801))</f>
        <v/>
      </c>
      <c r="J801" s="10" t="n"/>
      <c r="K801" s="10">
        <f>IF(I801="","",I801-N(J801))</f>
        <v/>
      </c>
      <c r="L801">
        <f>IF(I801="","",IF(K801&lt;=0,"Paid",IF(J801&gt;0,"Partial","Pending")))</f>
        <v/>
      </c>
    </row>
    <row r="802">
      <c r="B802" s="12" t="n"/>
      <c r="F802" s="10" t="n"/>
      <c r="G802" s="10" t="n"/>
      <c r="H802" s="10" t="n"/>
      <c r="I802" s="10">
        <f>IF(OR(E802="",F802=""),"",E802*F802-N(G802)+N(H802))</f>
        <v/>
      </c>
      <c r="J802" s="10" t="n"/>
      <c r="K802" s="10">
        <f>IF(I802="","",I802-N(J802))</f>
        <v/>
      </c>
      <c r="L802">
        <f>IF(I802="","",IF(K802&lt;=0,"Paid",IF(J802&gt;0,"Partial","Pending")))</f>
        <v/>
      </c>
    </row>
    <row r="803">
      <c r="B803" s="12" t="n"/>
      <c r="F803" s="10" t="n"/>
      <c r="G803" s="10" t="n"/>
      <c r="H803" s="10" t="n"/>
      <c r="I803" s="10">
        <f>IF(OR(E803="",F803=""),"",E803*F803-N(G803)+N(H803))</f>
        <v/>
      </c>
      <c r="J803" s="10" t="n"/>
      <c r="K803" s="10">
        <f>IF(I803="","",I803-N(J803))</f>
        <v/>
      </c>
      <c r="L803">
        <f>IF(I803="","",IF(K803&lt;=0,"Paid",IF(J803&gt;0,"Partial","Pending")))</f>
        <v/>
      </c>
    </row>
    <row r="804">
      <c r="B804" s="12" t="n"/>
      <c r="F804" s="10" t="n"/>
      <c r="G804" s="10" t="n"/>
      <c r="H804" s="10" t="n"/>
      <c r="I804" s="10">
        <f>IF(OR(E804="",F804=""),"",E804*F804-N(G804)+N(H804))</f>
        <v/>
      </c>
      <c r="J804" s="10" t="n"/>
      <c r="K804" s="10">
        <f>IF(I804="","",I804-N(J804))</f>
        <v/>
      </c>
      <c r="L804">
        <f>IF(I804="","",IF(K804&lt;=0,"Paid",IF(J804&gt;0,"Partial","Pending")))</f>
        <v/>
      </c>
    </row>
    <row r="805">
      <c r="B805" s="12" t="n"/>
      <c r="F805" s="10" t="n"/>
      <c r="G805" s="10" t="n"/>
      <c r="H805" s="10" t="n"/>
      <c r="I805" s="10">
        <f>IF(OR(E805="",F805=""),"",E805*F805-N(G805)+N(H805))</f>
        <v/>
      </c>
      <c r="J805" s="10" t="n"/>
      <c r="K805" s="10">
        <f>IF(I805="","",I805-N(J805))</f>
        <v/>
      </c>
      <c r="L805">
        <f>IF(I805="","",IF(K805&lt;=0,"Paid",IF(J805&gt;0,"Partial","Pending")))</f>
        <v/>
      </c>
    </row>
    <row r="806">
      <c r="B806" s="12" t="n"/>
      <c r="F806" s="10" t="n"/>
      <c r="G806" s="10" t="n"/>
      <c r="H806" s="10" t="n"/>
      <c r="I806" s="10">
        <f>IF(OR(E806="",F806=""),"",E806*F806-N(G806)+N(H806))</f>
        <v/>
      </c>
      <c r="J806" s="10" t="n"/>
      <c r="K806" s="10">
        <f>IF(I806="","",I806-N(J806))</f>
        <v/>
      </c>
      <c r="L806">
        <f>IF(I806="","",IF(K806&lt;=0,"Paid",IF(J806&gt;0,"Partial","Pending")))</f>
        <v/>
      </c>
    </row>
    <row r="807">
      <c r="B807" s="12" t="n"/>
      <c r="F807" s="10" t="n"/>
      <c r="G807" s="10" t="n"/>
      <c r="H807" s="10" t="n"/>
      <c r="I807" s="10">
        <f>IF(OR(E807="",F807=""),"",E807*F807-N(G807)+N(H807))</f>
        <v/>
      </c>
      <c r="J807" s="10" t="n"/>
      <c r="K807" s="10">
        <f>IF(I807="","",I807-N(J807))</f>
        <v/>
      </c>
      <c r="L807">
        <f>IF(I807="","",IF(K807&lt;=0,"Paid",IF(J807&gt;0,"Partial","Pending")))</f>
        <v/>
      </c>
    </row>
    <row r="808">
      <c r="B808" s="12" t="n"/>
      <c r="F808" s="10" t="n"/>
      <c r="G808" s="10" t="n"/>
      <c r="H808" s="10" t="n"/>
      <c r="I808" s="10">
        <f>IF(OR(E808="",F808=""),"",E808*F808-N(G808)+N(H808))</f>
        <v/>
      </c>
      <c r="J808" s="10" t="n"/>
      <c r="K808" s="10">
        <f>IF(I808="","",I808-N(J808))</f>
        <v/>
      </c>
      <c r="L808">
        <f>IF(I808="","",IF(K808&lt;=0,"Paid",IF(J808&gt;0,"Partial","Pending")))</f>
        <v/>
      </c>
    </row>
    <row r="809">
      <c r="B809" s="12" t="n"/>
      <c r="F809" s="10" t="n"/>
      <c r="G809" s="10" t="n"/>
      <c r="H809" s="10" t="n"/>
      <c r="I809" s="10">
        <f>IF(OR(E809="",F809=""),"",E809*F809-N(G809)+N(H809))</f>
        <v/>
      </c>
      <c r="J809" s="10" t="n"/>
      <c r="K809" s="10">
        <f>IF(I809="","",I809-N(J809))</f>
        <v/>
      </c>
      <c r="L809">
        <f>IF(I809="","",IF(K809&lt;=0,"Paid",IF(J809&gt;0,"Partial","Pending")))</f>
        <v/>
      </c>
    </row>
    <row r="810">
      <c r="B810" s="12" t="n"/>
      <c r="F810" s="10" t="n"/>
      <c r="G810" s="10" t="n"/>
      <c r="H810" s="10" t="n"/>
      <c r="I810" s="10">
        <f>IF(OR(E810="",F810=""),"",E810*F810-N(G810)+N(H810))</f>
        <v/>
      </c>
      <c r="J810" s="10" t="n"/>
      <c r="K810" s="10">
        <f>IF(I810="","",I810-N(J810))</f>
        <v/>
      </c>
      <c r="L810">
        <f>IF(I810="","",IF(K810&lt;=0,"Paid",IF(J810&gt;0,"Partial","Pending")))</f>
        <v/>
      </c>
    </row>
    <row r="811">
      <c r="B811" s="12" t="n"/>
      <c r="F811" s="10" t="n"/>
      <c r="G811" s="10" t="n"/>
      <c r="H811" s="10" t="n"/>
      <c r="I811" s="10">
        <f>IF(OR(E811="",F811=""),"",E811*F811-N(G811)+N(H811))</f>
        <v/>
      </c>
      <c r="J811" s="10" t="n"/>
      <c r="K811" s="10">
        <f>IF(I811="","",I811-N(J811))</f>
        <v/>
      </c>
      <c r="L811">
        <f>IF(I811="","",IF(K811&lt;=0,"Paid",IF(J811&gt;0,"Partial","Pending")))</f>
        <v/>
      </c>
    </row>
    <row r="812">
      <c r="B812" s="12" t="n"/>
      <c r="F812" s="10" t="n"/>
      <c r="G812" s="10" t="n"/>
      <c r="H812" s="10" t="n"/>
      <c r="I812" s="10">
        <f>IF(OR(E812="",F812=""),"",E812*F812-N(G812)+N(H812))</f>
        <v/>
      </c>
      <c r="J812" s="10" t="n"/>
      <c r="K812" s="10">
        <f>IF(I812="","",I812-N(J812))</f>
        <v/>
      </c>
      <c r="L812">
        <f>IF(I812="","",IF(K812&lt;=0,"Paid",IF(J812&gt;0,"Partial","Pending")))</f>
        <v/>
      </c>
    </row>
    <row r="813">
      <c r="B813" s="12" t="n"/>
      <c r="F813" s="10" t="n"/>
      <c r="G813" s="10" t="n"/>
      <c r="H813" s="10" t="n"/>
      <c r="I813" s="10">
        <f>IF(OR(E813="",F813=""),"",E813*F813-N(G813)+N(H813))</f>
        <v/>
      </c>
      <c r="J813" s="10" t="n"/>
      <c r="K813" s="10">
        <f>IF(I813="","",I813-N(J813))</f>
        <v/>
      </c>
      <c r="L813">
        <f>IF(I813="","",IF(K813&lt;=0,"Paid",IF(J813&gt;0,"Partial","Pending")))</f>
        <v/>
      </c>
    </row>
    <row r="814">
      <c r="B814" s="12" t="n"/>
      <c r="F814" s="10" t="n"/>
      <c r="G814" s="10" t="n"/>
      <c r="H814" s="10" t="n"/>
      <c r="I814" s="10">
        <f>IF(OR(E814="",F814=""),"",E814*F814-N(G814)+N(H814))</f>
        <v/>
      </c>
      <c r="J814" s="10" t="n"/>
      <c r="K814" s="10">
        <f>IF(I814="","",I814-N(J814))</f>
        <v/>
      </c>
      <c r="L814">
        <f>IF(I814="","",IF(K814&lt;=0,"Paid",IF(J814&gt;0,"Partial","Pending")))</f>
        <v/>
      </c>
    </row>
    <row r="815">
      <c r="B815" s="12" t="n"/>
      <c r="F815" s="10" t="n"/>
      <c r="G815" s="10" t="n"/>
      <c r="H815" s="10" t="n"/>
      <c r="I815" s="10">
        <f>IF(OR(E815="",F815=""),"",E815*F815-N(G815)+N(H815))</f>
        <v/>
      </c>
      <c r="J815" s="10" t="n"/>
      <c r="K815" s="10">
        <f>IF(I815="","",I815-N(J815))</f>
        <v/>
      </c>
      <c r="L815">
        <f>IF(I815="","",IF(K815&lt;=0,"Paid",IF(J815&gt;0,"Partial","Pending")))</f>
        <v/>
      </c>
    </row>
    <row r="816">
      <c r="B816" s="12" t="n"/>
      <c r="F816" s="10" t="n"/>
      <c r="G816" s="10" t="n"/>
      <c r="H816" s="10" t="n"/>
      <c r="I816" s="10">
        <f>IF(OR(E816="",F816=""),"",E816*F816-N(G816)+N(H816))</f>
        <v/>
      </c>
      <c r="J816" s="10" t="n"/>
      <c r="K816" s="10">
        <f>IF(I816="","",I816-N(J816))</f>
        <v/>
      </c>
      <c r="L816">
        <f>IF(I816="","",IF(K816&lt;=0,"Paid",IF(J816&gt;0,"Partial","Pending")))</f>
        <v/>
      </c>
    </row>
    <row r="817">
      <c r="B817" s="12" t="n"/>
      <c r="F817" s="10" t="n"/>
      <c r="G817" s="10" t="n"/>
      <c r="H817" s="10" t="n"/>
      <c r="I817" s="10">
        <f>IF(OR(E817="",F817=""),"",E817*F817-N(G817)+N(H817))</f>
        <v/>
      </c>
      <c r="J817" s="10" t="n"/>
      <c r="K817" s="10">
        <f>IF(I817="","",I817-N(J817))</f>
        <v/>
      </c>
      <c r="L817">
        <f>IF(I817="","",IF(K817&lt;=0,"Paid",IF(J817&gt;0,"Partial","Pending")))</f>
        <v/>
      </c>
    </row>
    <row r="818">
      <c r="B818" s="12" t="n"/>
      <c r="F818" s="10" t="n"/>
      <c r="G818" s="10" t="n"/>
      <c r="H818" s="10" t="n"/>
      <c r="I818" s="10">
        <f>IF(OR(E818="",F818=""),"",E818*F818-N(G818)+N(H818))</f>
        <v/>
      </c>
      <c r="J818" s="10" t="n"/>
      <c r="K818" s="10">
        <f>IF(I818="","",I818-N(J818))</f>
        <v/>
      </c>
      <c r="L818">
        <f>IF(I818="","",IF(K818&lt;=0,"Paid",IF(J818&gt;0,"Partial","Pending")))</f>
        <v/>
      </c>
    </row>
    <row r="819">
      <c r="B819" s="12" t="n"/>
      <c r="F819" s="10" t="n"/>
      <c r="G819" s="10" t="n"/>
      <c r="H819" s="10" t="n"/>
      <c r="I819" s="10">
        <f>IF(OR(E819="",F819=""),"",E819*F819-N(G819)+N(H819))</f>
        <v/>
      </c>
      <c r="J819" s="10" t="n"/>
      <c r="K819" s="10">
        <f>IF(I819="","",I819-N(J819))</f>
        <v/>
      </c>
      <c r="L819">
        <f>IF(I819="","",IF(K819&lt;=0,"Paid",IF(J819&gt;0,"Partial","Pending")))</f>
        <v/>
      </c>
    </row>
    <row r="820">
      <c r="B820" s="12" t="n"/>
      <c r="F820" s="10" t="n"/>
      <c r="G820" s="10" t="n"/>
      <c r="H820" s="10" t="n"/>
      <c r="I820" s="10">
        <f>IF(OR(E820="",F820=""),"",E820*F820-N(G820)+N(H820))</f>
        <v/>
      </c>
      <c r="J820" s="10" t="n"/>
      <c r="K820" s="10">
        <f>IF(I820="","",I820-N(J820))</f>
        <v/>
      </c>
      <c r="L820">
        <f>IF(I820="","",IF(K820&lt;=0,"Paid",IF(J820&gt;0,"Partial","Pending")))</f>
        <v/>
      </c>
    </row>
    <row r="821">
      <c r="B821" s="12" t="n"/>
      <c r="F821" s="10" t="n"/>
      <c r="G821" s="10" t="n"/>
      <c r="H821" s="10" t="n"/>
      <c r="I821" s="10">
        <f>IF(OR(E821="",F821=""),"",E821*F821-N(G821)+N(H821))</f>
        <v/>
      </c>
      <c r="J821" s="10" t="n"/>
      <c r="K821" s="10">
        <f>IF(I821="","",I821-N(J821))</f>
        <v/>
      </c>
      <c r="L821">
        <f>IF(I821="","",IF(K821&lt;=0,"Paid",IF(J821&gt;0,"Partial","Pending")))</f>
        <v/>
      </c>
    </row>
    <row r="822">
      <c r="B822" s="12" t="n"/>
      <c r="F822" s="10" t="n"/>
      <c r="G822" s="10" t="n"/>
      <c r="H822" s="10" t="n"/>
      <c r="I822" s="10">
        <f>IF(OR(E822="",F822=""),"",E822*F822-N(G822)+N(H822))</f>
        <v/>
      </c>
      <c r="J822" s="10" t="n"/>
      <c r="K822" s="10">
        <f>IF(I822="","",I822-N(J822))</f>
        <v/>
      </c>
      <c r="L822">
        <f>IF(I822="","",IF(K822&lt;=0,"Paid",IF(J822&gt;0,"Partial","Pending")))</f>
        <v/>
      </c>
    </row>
    <row r="823">
      <c r="B823" s="12" t="n"/>
      <c r="F823" s="10" t="n"/>
      <c r="G823" s="10" t="n"/>
      <c r="H823" s="10" t="n"/>
      <c r="I823" s="10">
        <f>IF(OR(E823="",F823=""),"",E823*F823-N(G823)+N(H823))</f>
        <v/>
      </c>
      <c r="J823" s="10" t="n"/>
      <c r="K823" s="10">
        <f>IF(I823="","",I823-N(J823))</f>
        <v/>
      </c>
      <c r="L823">
        <f>IF(I823="","",IF(K823&lt;=0,"Paid",IF(J823&gt;0,"Partial","Pending")))</f>
        <v/>
      </c>
    </row>
    <row r="824">
      <c r="B824" s="12" t="n"/>
      <c r="F824" s="10" t="n"/>
      <c r="G824" s="10" t="n"/>
      <c r="H824" s="10" t="n"/>
      <c r="I824" s="10">
        <f>IF(OR(E824="",F824=""),"",E824*F824-N(G824)+N(H824))</f>
        <v/>
      </c>
      <c r="J824" s="10" t="n"/>
      <c r="K824" s="10">
        <f>IF(I824="","",I824-N(J824))</f>
        <v/>
      </c>
      <c r="L824">
        <f>IF(I824="","",IF(K824&lt;=0,"Paid",IF(J824&gt;0,"Partial","Pending")))</f>
        <v/>
      </c>
    </row>
    <row r="825">
      <c r="B825" s="12" t="n"/>
      <c r="F825" s="10" t="n"/>
      <c r="G825" s="10" t="n"/>
      <c r="H825" s="10" t="n"/>
      <c r="I825" s="10">
        <f>IF(OR(E825="",F825=""),"",E825*F825-N(G825)+N(H825))</f>
        <v/>
      </c>
      <c r="J825" s="10" t="n"/>
      <c r="K825" s="10">
        <f>IF(I825="","",I825-N(J825))</f>
        <v/>
      </c>
      <c r="L825">
        <f>IF(I825="","",IF(K825&lt;=0,"Paid",IF(J825&gt;0,"Partial","Pending")))</f>
        <v/>
      </c>
    </row>
    <row r="826">
      <c r="B826" s="12" t="n"/>
      <c r="F826" s="10" t="n"/>
      <c r="G826" s="10" t="n"/>
      <c r="H826" s="10" t="n"/>
      <c r="I826" s="10">
        <f>IF(OR(E826="",F826=""),"",E826*F826-N(G826)+N(H826))</f>
        <v/>
      </c>
      <c r="J826" s="10" t="n"/>
      <c r="K826" s="10">
        <f>IF(I826="","",I826-N(J826))</f>
        <v/>
      </c>
      <c r="L826">
        <f>IF(I826="","",IF(K826&lt;=0,"Paid",IF(J826&gt;0,"Partial","Pending")))</f>
        <v/>
      </c>
    </row>
    <row r="827">
      <c r="B827" s="12" t="n"/>
      <c r="F827" s="10" t="n"/>
      <c r="G827" s="10" t="n"/>
      <c r="H827" s="10" t="n"/>
      <c r="I827" s="10">
        <f>IF(OR(E827="",F827=""),"",E827*F827-N(G827)+N(H827))</f>
        <v/>
      </c>
      <c r="J827" s="10" t="n"/>
      <c r="K827" s="10">
        <f>IF(I827="","",I827-N(J827))</f>
        <v/>
      </c>
      <c r="L827">
        <f>IF(I827="","",IF(K827&lt;=0,"Paid",IF(J827&gt;0,"Partial","Pending")))</f>
        <v/>
      </c>
    </row>
    <row r="828">
      <c r="B828" s="12" t="n"/>
      <c r="F828" s="10" t="n"/>
      <c r="G828" s="10" t="n"/>
      <c r="H828" s="10" t="n"/>
      <c r="I828" s="10">
        <f>IF(OR(E828="",F828=""),"",E828*F828-N(G828)+N(H828))</f>
        <v/>
      </c>
      <c r="J828" s="10" t="n"/>
      <c r="K828" s="10">
        <f>IF(I828="","",I828-N(J828))</f>
        <v/>
      </c>
      <c r="L828">
        <f>IF(I828="","",IF(K828&lt;=0,"Paid",IF(J828&gt;0,"Partial","Pending")))</f>
        <v/>
      </c>
    </row>
    <row r="829">
      <c r="B829" s="12" t="n"/>
      <c r="F829" s="10" t="n"/>
      <c r="G829" s="10" t="n"/>
      <c r="H829" s="10" t="n"/>
      <c r="I829" s="10">
        <f>IF(OR(E829="",F829=""),"",E829*F829-N(G829)+N(H829))</f>
        <v/>
      </c>
      <c r="J829" s="10" t="n"/>
      <c r="K829" s="10">
        <f>IF(I829="","",I829-N(J829))</f>
        <v/>
      </c>
      <c r="L829">
        <f>IF(I829="","",IF(K829&lt;=0,"Paid",IF(J829&gt;0,"Partial","Pending")))</f>
        <v/>
      </c>
    </row>
    <row r="830">
      <c r="B830" s="12" t="n"/>
      <c r="F830" s="10" t="n"/>
      <c r="G830" s="10" t="n"/>
      <c r="H830" s="10" t="n"/>
      <c r="I830" s="10">
        <f>IF(OR(E830="",F830=""),"",E830*F830-N(G830)+N(H830))</f>
        <v/>
      </c>
      <c r="J830" s="10" t="n"/>
      <c r="K830" s="10">
        <f>IF(I830="","",I830-N(J830))</f>
        <v/>
      </c>
      <c r="L830">
        <f>IF(I830="","",IF(K830&lt;=0,"Paid",IF(J830&gt;0,"Partial","Pending")))</f>
        <v/>
      </c>
    </row>
    <row r="831">
      <c r="B831" s="12" t="n"/>
      <c r="F831" s="10" t="n"/>
      <c r="G831" s="10" t="n"/>
      <c r="H831" s="10" t="n"/>
      <c r="I831" s="10">
        <f>IF(OR(E831="",F831=""),"",E831*F831-N(G831)+N(H831))</f>
        <v/>
      </c>
      <c r="J831" s="10" t="n"/>
      <c r="K831" s="10">
        <f>IF(I831="","",I831-N(J831))</f>
        <v/>
      </c>
      <c r="L831">
        <f>IF(I831="","",IF(K831&lt;=0,"Paid",IF(J831&gt;0,"Partial","Pending")))</f>
        <v/>
      </c>
    </row>
    <row r="832">
      <c r="B832" s="12" t="n"/>
      <c r="F832" s="10" t="n"/>
      <c r="G832" s="10" t="n"/>
      <c r="H832" s="10" t="n"/>
      <c r="I832" s="10">
        <f>IF(OR(E832="",F832=""),"",E832*F832-N(G832)+N(H832))</f>
        <v/>
      </c>
      <c r="J832" s="10" t="n"/>
      <c r="K832" s="10">
        <f>IF(I832="","",I832-N(J832))</f>
        <v/>
      </c>
      <c r="L832">
        <f>IF(I832="","",IF(K832&lt;=0,"Paid",IF(J832&gt;0,"Partial","Pending")))</f>
        <v/>
      </c>
    </row>
    <row r="833">
      <c r="B833" s="12" t="n"/>
      <c r="F833" s="10" t="n"/>
      <c r="G833" s="10" t="n"/>
      <c r="H833" s="10" t="n"/>
      <c r="I833" s="10">
        <f>IF(OR(E833="",F833=""),"",E833*F833-N(G833)+N(H833))</f>
        <v/>
      </c>
      <c r="J833" s="10" t="n"/>
      <c r="K833" s="10">
        <f>IF(I833="","",I833-N(J833))</f>
        <v/>
      </c>
      <c r="L833">
        <f>IF(I833="","",IF(K833&lt;=0,"Paid",IF(J833&gt;0,"Partial","Pending")))</f>
        <v/>
      </c>
    </row>
    <row r="834">
      <c r="B834" s="12" t="n"/>
      <c r="F834" s="10" t="n"/>
      <c r="G834" s="10" t="n"/>
      <c r="H834" s="10" t="n"/>
      <c r="I834" s="10">
        <f>IF(OR(E834="",F834=""),"",E834*F834-N(G834)+N(H834))</f>
        <v/>
      </c>
      <c r="J834" s="10" t="n"/>
      <c r="K834" s="10">
        <f>IF(I834="","",I834-N(J834))</f>
        <v/>
      </c>
      <c r="L834">
        <f>IF(I834="","",IF(K834&lt;=0,"Paid",IF(J834&gt;0,"Partial","Pending")))</f>
        <v/>
      </c>
    </row>
    <row r="835">
      <c r="B835" s="12" t="n"/>
      <c r="F835" s="10" t="n"/>
      <c r="G835" s="10" t="n"/>
      <c r="H835" s="10" t="n"/>
      <c r="I835" s="10">
        <f>IF(OR(E835="",F835=""),"",E835*F835-N(G835)+N(H835))</f>
        <v/>
      </c>
      <c r="J835" s="10" t="n"/>
      <c r="K835" s="10">
        <f>IF(I835="","",I835-N(J835))</f>
        <v/>
      </c>
      <c r="L835">
        <f>IF(I835="","",IF(K835&lt;=0,"Paid",IF(J835&gt;0,"Partial","Pending")))</f>
        <v/>
      </c>
    </row>
    <row r="836">
      <c r="B836" s="12" t="n"/>
      <c r="F836" s="10" t="n"/>
      <c r="G836" s="10" t="n"/>
      <c r="H836" s="10" t="n"/>
      <c r="I836" s="10">
        <f>IF(OR(E836="",F836=""),"",E836*F836-N(G836)+N(H836))</f>
        <v/>
      </c>
      <c r="J836" s="10" t="n"/>
      <c r="K836" s="10">
        <f>IF(I836="","",I836-N(J836))</f>
        <v/>
      </c>
      <c r="L836">
        <f>IF(I836="","",IF(K836&lt;=0,"Paid",IF(J836&gt;0,"Partial","Pending")))</f>
        <v/>
      </c>
    </row>
    <row r="837">
      <c r="B837" s="12" t="n"/>
      <c r="F837" s="10" t="n"/>
      <c r="G837" s="10" t="n"/>
      <c r="H837" s="10" t="n"/>
      <c r="I837" s="10">
        <f>IF(OR(E837="",F837=""),"",E837*F837-N(G837)+N(H837))</f>
        <v/>
      </c>
      <c r="J837" s="10" t="n"/>
      <c r="K837" s="10">
        <f>IF(I837="","",I837-N(J837))</f>
        <v/>
      </c>
      <c r="L837">
        <f>IF(I837="","",IF(K837&lt;=0,"Paid",IF(J837&gt;0,"Partial","Pending")))</f>
        <v/>
      </c>
    </row>
    <row r="838">
      <c r="B838" s="12" t="n"/>
      <c r="F838" s="10" t="n"/>
      <c r="G838" s="10" t="n"/>
      <c r="H838" s="10" t="n"/>
      <c r="I838" s="10">
        <f>IF(OR(E838="",F838=""),"",E838*F838-N(G838)+N(H838))</f>
        <v/>
      </c>
      <c r="J838" s="10" t="n"/>
      <c r="K838" s="10">
        <f>IF(I838="","",I838-N(J838))</f>
        <v/>
      </c>
      <c r="L838">
        <f>IF(I838="","",IF(K838&lt;=0,"Paid",IF(J838&gt;0,"Partial","Pending")))</f>
        <v/>
      </c>
    </row>
    <row r="839">
      <c r="B839" s="12" t="n"/>
      <c r="F839" s="10" t="n"/>
      <c r="G839" s="10" t="n"/>
      <c r="H839" s="10" t="n"/>
      <c r="I839" s="10">
        <f>IF(OR(E839="",F839=""),"",E839*F839-N(G839)+N(H839))</f>
        <v/>
      </c>
      <c r="J839" s="10" t="n"/>
      <c r="K839" s="10">
        <f>IF(I839="","",I839-N(J839))</f>
        <v/>
      </c>
      <c r="L839">
        <f>IF(I839="","",IF(K839&lt;=0,"Paid",IF(J839&gt;0,"Partial","Pending")))</f>
        <v/>
      </c>
    </row>
    <row r="840">
      <c r="B840" s="12" t="n"/>
      <c r="F840" s="10" t="n"/>
      <c r="G840" s="10" t="n"/>
      <c r="H840" s="10" t="n"/>
      <c r="I840" s="10">
        <f>IF(OR(E840="",F840=""),"",E840*F840-N(G840)+N(H840))</f>
        <v/>
      </c>
      <c r="J840" s="10" t="n"/>
      <c r="K840" s="10">
        <f>IF(I840="","",I840-N(J840))</f>
        <v/>
      </c>
      <c r="L840">
        <f>IF(I840="","",IF(K840&lt;=0,"Paid",IF(J840&gt;0,"Partial","Pending")))</f>
        <v/>
      </c>
    </row>
    <row r="841">
      <c r="B841" s="12" t="n"/>
      <c r="F841" s="10" t="n"/>
      <c r="G841" s="10" t="n"/>
      <c r="H841" s="10" t="n"/>
      <c r="I841" s="10">
        <f>IF(OR(E841="",F841=""),"",E841*F841-N(G841)+N(H841))</f>
        <v/>
      </c>
      <c r="J841" s="10" t="n"/>
      <c r="K841" s="10">
        <f>IF(I841="","",I841-N(J841))</f>
        <v/>
      </c>
      <c r="L841">
        <f>IF(I841="","",IF(K841&lt;=0,"Paid",IF(J841&gt;0,"Partial","Pending")))</f>
        <v/>
      </c>
    </row>
    <row r="842">
      <c r="B842" s="12" t="n"/>
      <c r="F842" s="10" t="n"/>
      <c r="G842" s="10" t="n"/>
      <c r="H842" s="10" t="n"/>
      <c r="I842" s="10">
        <f>IF(OR(E842="",F842=""),"",E842*F842-N(G842)+N(H842))</f>
        <v/>
      </c>
      <c r="J842" s="10" t="n"/>
      <c r="K842" s="10">
        <f>IF(I842="","",I842-N(J842))</f>
        <v/>
      </c>
      <c r="L842">
        <f>IF(I842="","",IF(K842&lt;=0,"Paid",IF(J842&gt;0,"Partial","Pending")))</f>
        <v/>
      </c>
    </row>
    <row r="843">
      <c r="B843" s="12" t="n"/>
      <c r="F843" s="10" t="n"/>
      <c r="G843" s="10" t="n"/>
      <c r="H843" s="10" t="n"/>
      <c r="I843" s="10">
        <f>IF(OR(E843="",F843=""),"",E843*F843-N(G843)+N(H843))</f>
        <v/>
      </c>
      <c r="J843" s="10" t="n"/>
      <c r="K843" s="10">
        <f>IF(I843="","",I843-N(J843))</f>
        <v/>
      </c>
      <c r="L843">
        <f>IF(I843="","",IF(K843&lt;=0,"Paid",IF(J843&gt;0,"Partial","Pending")))</f>
        <v/>
      </c>
    </row>
    <row r="844">
      <c r="B844" s="12" t="n"/>
      <c r="F844" s="10" t="n"/>
      <c r="G844" s="10" t="n"/>
      <c r="H844" s="10" t="n"/>
      <c r="I844" s="10">
        <f>IF(OR(E844="",F844=""),"",E844*F844-N(G844)+N(H844))</f>
        <v/>
      </c>
      <c r="J844" s="10" t="n"/>
      <c r="K844" s="10">
        <f>IF(I844="","",I844-N(J844))</f>
        <v/>
      </c>
      <c r="L844">
        <f>IF(I844="","",IF(K844&lt;=0,"Paid",IF(J844&gt;0,"Partial","Pending")))</f>
        <v/>
      </c>
    </row>
    <row r="845">
      <c r="B845" s="12" t="n"/>
      <c r="F845" s="10" t="n"/>
      <c r="G845" s="10" t="n"/>
      <c r="H845" s="10" t="n"/>
      <c r="I845" s="10">
        <f>IF(OR(E845="",F845=""),"",E845*F845-N(G845)+N(H845))</f>
        <v/>
      </c>
      <c r="J845" s="10" t="n"/>
      <c r="K845" s="10">
        <f>IF(I845="","",I845-N(J845))</f>
        <v/>
      </c>
      <c r="L845">
        <f>IF(I845="","",IF(K845&lt;=0,"Paid",IF(J845&gt;0,"Partial","Pending")))</f>
        <v/>
      </c>
    </row>
    <row r="846">
      <c r="B846" s="12" t="n"/>
      <c r="F846" s="10" t="n"/>
      <c r="G846" s="10" t="n"/>
      <c r="H846" s="10" t="n"/>
      <c r="I846" s="10">
        <f>IF(OR(E846="",F846=""),"",E846*F846-N(G846)+N(H846))</f>
        <v/>
      </c>
      <c r="J846" s="10" t="n"/>
      <c r="K846" s="10">
        <f>IF(I846="","",I846-N(J846))</f>
        <v/>
      </c>
      <c r="L846">
        <f>IF(I846="","",IF(K846&lt;=0,"Paid",IF(J846&gt;0,"Partial","Pending")))</f>
        <v/>
      </c>
    </row>
    <row r="847">
      <c r="B847" s="12" t="n"/>
      <c r="F847" s="10" t="n"/>
      <c r="G847" s="10" t="n"/>
      <c r="H847" s="10" t="n"/>
      <c r="I847" s="10">
        <f>IF(OR(E847="",F847=""),"",E847*F847-N(G847)+N(H847))</f>
        <v/>
      </c>
      <c r="J847" s="10" t="n"/>
      <c r="K847" s="10">
        <f>IF(I847="","",I847-N(J847))</f>
        <v/>
      </c>
      <c r="L847">
        <f>IF(I847="","",IF(K847&lt;=0,"Paid",IF(J847&gt;0,"Partial","Pending")))</f>
        <v/>
      </c>
    </row>
    <row r="848">
      <c r="B848" s="12" t="n"/>
      <c r="F848" s="10" t="n"/>
      <c r="G848" s="10" t="n"/>
      <c r="H848" s="10" t="n"/>
      <c r="I848" s="10">
        <f>IF(OR(E848="",F848=""),"",E848*F848-N(G848)+N(H848))</f>
        <v/>
      </c>
      <c r="J848" s="10" t="n"/>
      <c r="K848" s="10">
        <f>IF(I848="","",I848-N(J848))</f>
        <v/>
      </c>
      <c r="L848">
        <f>IF(I848="","",IF(K848&lt;=0,"Paid",IF(J848&gt;0,"Partial","Pending")))</f>
        <v/>
      </c>
    </row>
    <row r="849">
      <c r="B849" s="12" t="n"/>
      <c r="F849" s="10" t="n"/>
      <c r="G849" s="10" t="n"/>
      <c r="H849" s="10" t="n"/>
      <c r="I849" s="10">
        <f>IF(OR(E849="",F849=""),"",E849*F849-N(G849)+N(H849))</f>
        <v/>
      </c>
      <c r="J849" s="10" t="n"/>
      <c r="K849" s="10">
        <f>IF(I849="","",I849-N(J849))</f>
        <v/>
      </c>
      <c r="L849">
        <f>IF(I849="","",IF(K849&lt;=0,"Paid",IF(J849&gt;0,"Partial","Pending")))</f>
        <v/>
      </c>
    </row>
    <row r="850">
      <c r="B850" s="12" t="n"/>
      <c r="F850" s="10" t="n"/>
      <c r="G850" s="10" t="n"/>
      <c r="H850" s="10" t="n"/>
      <c r="I850" s="10">
        <f>IF(OR(E850="",F850=""),"",E850*F850-N(G850)+N(H850))</f>
        <v/>
      </c>
      <c r="J850" s="10" t="n"/>
      <c r="K850" s="10">
        <f>IF(I850="","",I850-N(J850))</f>
        <v/>
      </c>
      <c r="L850">
        <f>IF(I850="","",IF(K850&lt;=0,"Paid",IF(J850&gt;0,"Partial","Pending")))</f>
        <v/>
      </c>
    </row>
    <row r="851">
      <c r="B851" s="12" t="n"/>
      <c r="F851" s="10" t="n"/>
      <c r="G851" s="10" t="n"/>
      <c r="H851" s="10" t="n"/>
      <c r="I851" s="10">
        <f>IF(OR(E851="",F851=""),"",E851*F851-N(G851)+N(H851))</f>
        <v/>
      </c>
      <c r="J851" s="10" t="n"/>
      <c r="K851" s="10">
        <f>IF(I851="","",I851-N(J851))</f>
        <v/>
      </c>
      <c r="L851">
        <f>IF(I851="","",IF(K851&lt;=0,"Paid",IF(J851&gt;0,"Partial","Pending")))</f>
        <v/>
      </c>
    </row>
    <row r="852">
      <c r="B852" s="12" t="n"/>
      <c r="F852" s="10" t="n"/>
      <c r="G852" s="10" t="n"/>
      <c r="H852" s="10" t="n"/>
      <c r="I852" s="10">
        <f>IF(OR(E852="",F852=""),"",E852*F852-N(G852)+N(H852))</f>
        <v/>
      </c>
      <c r="J852" s="10" t="n"/>
      <c r="K852" s="10">
        <f>IF(I852="","",I852-N(J852))</f>
        <v/>
      </c>
      <c r="L852">
        <f>IF(I852="","",IF(K852&lt;=0,"Paid",IF(J852&gt;0,"Partial","Pending")))</f>
        <v/>
      </c>
    </row>
    <row r="853">
      <c r="B853" s="12" t="n"/>
      <c r="F853" s="10" t="n"/>
      <c r="G853" s="10" t="n"/>
      <c r="H853" s="10" t="n"/>
      <c r="I853" s="10">
        <f>IF(OR(E853="",F853=""),"",E853*F853-N(G853)+N(H853))</f>
        <v/>
      </c>
      <c r="J853" s="10" t="n"/>
      <c r="K853" s="10">
        <f>IF(I853="","",I853-N(J853))</f>
        <v/>
      </c>
      <c r="L853">
        <f>IF(I853="","",IF(K853&lt;=0,"Paid",IF(J853&gt;0,"Partial","Pending")))</f>
        <v/>
      </c>
    </row>
    <row r="854">
      <c r="B854" s="12" t="n"/>
      <c r="F854" s="10" t="n"/>
      <c r="G854" s="10" t="n"/>
      <c r="H854" s="10" t="n"/>
      <c r="I854" s="10">
        <f>IF(OR(E854="",F854=""),"",E854*F854-N(G854)+N(H854))</f>
        <v/>
      </c>
      <c r="J854" s="10" t="n"/>
      <c r="K854" s="10">
        <f>IF(I854="","",I854-N(J854))</f>
        <v/>
      </c>
      <c r="L854">
        <f>IF(I854="","",IF(K854&lt;=0,"Paid",IF(J854&gt;0,"Partial","Pending")))</f>
        <v/>
      </c>
    </row>
    <row r="855">
      <c r="B855" s="12" t="n"/>
      <c r="F855" s="10" t="n"/>
      <c r="G855" s="10" t="n"/>
      <c r="H855" s="10" t="n"/>
      <c r="I855" s="10">
        <f>IF(OR(E855="",F855=""),"",E855*F855-N(G855)+N(H855))</f>
        <v/>
      </c>
      <c r="J855" s="10" t="n"/>
      <c r="K855" s="10">
        <f>IF(I855="","",I855-N(J855))</f>
        <v/>
      </c>
      <c r="L855">
        <f>IF(I855="","",IF(K855&lt;=0,"Paid",IF(J855&gt;0,"Partial","Pending")))</f>
        <v/>
      </c>
    </row>
    <row r="856">
      <c r="B856" s="12" t="n"/>
      <c r="F856" s="10" t="n"/>
      <c r="G856" s="10" t="n"/>
      <c r="H856" s="10" t="n"/>
      <c r="I856" s="10">
        <f>IF(OR(E856="",F856=""),"",E856*F856-N(G856)+N(H856))</f>
        <v/>
      </c>
      <c r="J856" s="10" t="n"/>
      <c r="K856" s="10">
        <f>IF(I856="","",I856-N(J856))</f>
        <v/>
      </c>
      <c r="L856">
        <f>IF(I856="","",IF(K856&lt;=0,"Paid",IF(J856&gt;0,"Partial","Pending")))</f>
        <v/>
      </c>
    </row>
    <row r="857">
      <c r="B857" s="12" t="n"/>
      <c r="F857" s="10" t="n"/>
      <c r="G857" s="10" t="n"/>
      <c r="H857" s="10" t="n"/>
      <c r="I857" s="10">
        <f>IF(OR(E857="",F857=""),"",E857*F857-N(G857)+N(H857))</f>
        <v/>
      </c>
      <c r="J857" s="10" t="n"/>
      <c r="K857" s="10">
        <f>IF(I857="","",I857-N(J857))</f>
        <v/>
      </c>
      <c r="L857">
        <f>IF(I857="","",IF(K857&lt;=0,"Paid",IF(J857&gt;0,"Partial","Pending")))</f>
        <v/>
      </c>
    </row>
    <row r="858">
      <c r="B858" s="12" t="n"/>
      <c r="F858" s="10" t="n"/>
      <c r="G858" s="10" t="n"/>
      <c r="H858" s="10" t="n"/>
      <c r="I858" s="10">
        <f>IF(OR(E858="",F858=""),"",E858*F858-N(G858)+N(H858))</f>
        <v/>
      </c>
      <c r="J858" s="10" t="n"/>
      <c r="K858" s="10">
        <f>IF(I858="","",I858-N(J858))</f>
        <v/>
      </c>
      <c r="L858">
        <f>IF(I858="","",IF(K858&lt;=0,"Paid",IF(J858&gt;0,"Partial","Pending")))</f>
        <v/>
      </c>
    </row>
    <row r="859">
      <c r="B859" s="12" t="n"/>
      <c r="F859" s="10" t="n"/>
      <c r="G859" s="10" t="n"/>
      <c r="H859" s="10" t="n"/>
      <c r="I859" s="10">
        <f>IF(OR(E859="",F859=""),"",E859*F859-N(G859)+N(H859))</f>
        <v/>
      </c>
      <c r="J859" s="10" t="n"/>
      <c r="K859" s="10">
        <f>IF(I859="","",I859-N(J859))</f>
        <v/>
      </c>
      <c r="L859">
        <f>IF(I859="","",IF(K859&lt;=0,"Paid",IF(J859&gt;0,"Partial","Pending")))</f>
        <v/>
      </c>
    </row>
    <row r="860">
      <c r="B860" s="12" t="n"/>
      <c r="F860" s="10" t="n"/>
      <c r="G860" s="10" t="n"/>
      <c r="H860" s="10" t="n"/>
      <c r="I860" s="10">
        <f>IF(OR(E860="",F860=""),"",E860*F860-N(G860)+N(H860))</f>
        <v/>
      </c>
      <c r="J860" s="10" t="n"/>
      <c r="K860" s="10">
        <f>IF(I860="","",I860-N(J860))</f>
        <v/>
      </c>
      <c r="L860">
        <f>IF(I860="","",IF(K860&lt;=0,"Paid",IF(J860&gt;0,"Partial","Pending")))</f>
        <v/>
      </c>
    </row>
    <row r="861">
      <c r="B861" s="12" t="n"/>
      <c r="F861" s="10" t="n"/>
      <c r="G861" s="10" t="n"/>
      <c r="H861" s="10" t="n"/>
      <c r="I861" s="10">
        <f>IF(OR(E861="",F861=""),"",E861*F861-N(G861)+N(H861))</f>
        <v/>
      </c>
      <c r="J861" s="10" t="n"/>
      <c r="K861" s="10">
        <f>IF(I861="","",I861-N(J861))</f>
        <v/>
      </c>
      <c r="L861">
        <f>IF(I861="","",IF(K861&lt;=0,"Paid",IF(J861&gt;0,"Partial","Pending")))</f>
        <v/>
      </c>
    </row>
    <row r="862">
      <c r="B862" s="12" t="n"/>
      <c r="F862" s="10" t="n"/>
      <c r="G862" s="10" t="n"/>
      <c r="H862" s="10" t="n"/>
      <c r="I862" s="10">
        <f>IF(OR(E862="",F862=""),"",E862*F862-N(G862)+N(H862))</f>
        <v/>
      </c>
      <c r="J862" s="10" t="n"/>
      <c r="K862" s="10">
        <f>IF(I862="","",I862-N(J862))</f>
        <v/>
      </c>
      <c r="L862">
        <f>IF(I862="","",IF(K862&lt;=0,"Paid",IF(J862&gt;0,"Partial","Pending")))</f>
        <v/>
      </c>
    </row>
    <row r="863">
      <c r="B863" s="12" t="n"/>
      <c r="F863" s="10" t="n"/>
      <c r="G863" s="10" t="n"/>
      <c r="H863" s="10" t="n"/>
      <c r="I863" s="10">
        <f>IF(OR(E863="",F863=""),"",E863*F863-N(G863)+N(H863))</f>
        <v/>
      </c>
      <c r="J863" s="10" t="n"/>
      <c r="K863" s="10">
        <f>IF(I863="","",I863-N(J863))</f>
        <v/>
      </c>
      <c r="L863">
        <f>IF(I863="","",IF(K863&lt;=0,"Paid",IF(J863&gt;0,"Partial","Pending")))</f>
        <v/>
      </c>
    </row>
    <row r="864">
      <c r="B864" s="12" t="n"/>
      <c r="F864" s="10" t="n"/>
      <c r="G864" s="10" t="n"/>
      <c r="H864" s="10" t="n"/>
      <c r="I864" s="10">
        <f>IF(OR(E864="",F864=""),"",E864*F864-N(G864)+N(H864))</f>
        <v/>
      </c>
      <c r="J864" s="10" t="n"/>
      <c r="K864" s="10">
        <f>IF(I864="","",I864-N(J864))</f>
        <v/>
      </c>
      <c r="L864">
        <f>IF(I864="","",IF(K864&lt;=0,"Paid",IF(J864&gt;0,"Partial","Pending")))</f>
        <v/>
      </c>
    </row>
    <row r="865">
      <c r="B865" s="12" t="n"/>
      <c r="F865" s="10" t="n"/>
      <c r="G865" s="10" t="n"/>
      <c r="H865" s="10" t="n"/>
      <c r="I865" s="10">
        <f>IF(OR(E865="",F865=""),"",E865*F865-N(G865)+N(H865))</f>
        <v/>
      </c>
      <c r="J865" s="10" t="n"/>
      <c r="K865" s="10">
        <f>IF(I865="","",I865-N(J865))</f>
        <v/>
      </c>
      <c r="L865">
        <f>IF(I865="","",IF(K865&lt;=0,"Paid",IF(J865&gt;0,"Partial","Pending")))</f>
        <v/>
      </c>
    </row>
    <row r="866">
      <c r="B866" s="12" t="n"/>
      <c r="F866" s="10" t="n"/>
      <c r="G866" s="10" t="n"/>
      <c r="H866" s="10" t="n"/>
      <c r="I866" s="10">
        <f>IF(OR(E866="",F866=""),"",E866*F866-N(G866)+N(H866))</f>
        <v/>
      </c>
      <c r="J866" s="10" t="n"/>
      <c r="K866" s="10">
        <f>IF(I866="","",I866-N(J866))</f>
        <v/>
      </c>
      <c r="L866">
        <f>IF(I866="","",IF(K866&lt;=0,"Paid",IF(J866&gt;0,"Partial","Pending")))</f>
        <v/>
      </c>
    </row>
    <row r="867">
      <c r="B867" s="12" t="n"/>
      <c r="F867" s="10" t="n"/>
      <c r="G867" s="10" t="n"/>
      <c r="H867" s="10" t="n"/>
      <c r="I867" s="10">
        <f>IF(OR(E867="",F867=""),"",E867*F867-N(G867)+N(H867))</f>
        <v/>
      </c>
      <c r="J867" s="10" t="n"/>
      <c r="K867" s="10">
        <f>IF(I867="","",I867-N(J867))</f>
        <v/>
      </c>
      <c r="L867">
        <f>IF(I867="","",IF(K867&lt;=0,"Paid",IF(J867&gt;0,"Partial","Pending")))</f>
        <v/>
      </c>
    </row>
    <row r="868">
      <c r="B868" s="12" t="n"/>
      <c r="F868" s="10" t="n"/>
      <c r="G868" s="10" t="n"/>
      <c r="H868" s="10" t="n"/>
      <c r="I868" s="10">
        <f>IF(OR(E868="",F868=""),"",E868*F868-N(G868)+N(H868))</f>
        <v/>
      </c>
      <c r="J868" s="10" t="n"/>
      <c r="K868" s="10">
        <f>IF(I868="","",I868-N(J868))</f>
        <v/>
      </c>
      <c r="L868">
        <f>IF(I868="","",IF(K868&lt;=0,"Paid",IF(J868&gt;0,"Partial","Pending")))</f>
        <v/>
      </c>
    </row>
    <row r="869">
      <c r="B869" s="12" t="n"/>
      <c r="F869" s="10" t="n"/>
      <c r="G869" s="10" t="n"/>
      <c r="H869" s="10" t="n"/>
      <c r="I869" s="10">
        <f>IF(OR(E869="",F869=""),"",E869*F869-N(G869)+N(H869))</f>
        <v/>
      </c>
      <c r="J869" s="10" t="n"/>
      <c r="K869" s="10">
        <f>IF(I869="","",I869-N(J869))</f>
        <v/>
      </c>
      <c r="L869">
        <f>IF(I869="","",IF(K869&lt;=0,"Paid",IF(J869&gt;0,"Partial","Pending")))</f>
        <v/>
      </c>
    </row>
    <row r="870">
      <c r="B870" s="12" t="n"/>
      <c r="F870" s="10" t="n"/>
      <c r="G870" s="10" t="n"/>
      <c r="H870" s="10" t="n"/>
      <c r="I870" s="10">
        <f>IF(OR(E870="",F870=""),"",E870*F870-N(G870)+N(H870))</f>
        <v/>
      </c>
      <c r="J870" s="10" t="n"/>
      <c r="K870" s="10">
        <f>IF(I870="","",I870-N(J870))</f>
        <v/>
      </c>
      <c r="L870">
        <f>IF(I870="","",IF(K870&lt;=0,"Paid",IF(J870&gt;0,"Partial","Pending")))</f>
        <v/>
      </c>
    </row>
    <row r="871">
      <c r="B871" s="12" t="n"/>
      <c r="F871" s="10" t="n"/>
      <c r="G871" s="10" t="n"/>
      <c r="H871" s="10" t="n"/>
      <c r="I871" s="10">
        <f>IF(OR(E871="",F871=""),"",E871*F871-N(G871)+N(H871))</f>
        <v/>
      </c>
      <c r="J871" s="10" t="n"/>
      <c r="K871" s="10">
        <f>IF(I871="","",I871-N(J871))</f>
        <v/>
      </c>
      <c r="L871">
        <f>IF(I871="","",IF(K871&lt;=0,"Paid",IF(J871&gt;0,"Partial","Pending")))</f>
        <v/>
      </c>
    </row>
    <row r="872">
      <c r="B872" s="12" t="n"/>
      <c r="F872" s="10" t="n"/>
      <c r="G872" s="10" t="n"/>
      <c r="H872" s="10" t="n"/>
      <c r="I872" s="10">
        <f>IF(OR(E872="",F872=""),"",E872*F872-N(G872)+N(H872))</f>
        <v/>
      </c>
      <c r="J872" s="10" t="n"/>
      <c r="K872" s="10">
        <f>IF(I872="","",I872-N(J872))</f>
        <v/>
      </c>
      <c r="L872">
        <f>IF(I872="","",IF(K872&lt;=0,"Paid",IF(J872&gt;0,"Partial","Pending")))</f>
        <v/>
      </c>
    </row>
    <row r="873">
      <c r="B873" s="12" t="n"/>
      <c r="F873" s="10" t="n"/>
      <c r="G873" s="10" t="n"/>
      <c r="H873" s="10" t="n"/>
      <c r="I873" s="10">
        <f>IF(OR(E873="",F873=""),"",E873*F873-N(G873)+N(H873))</f>
        <v/>
      </c>
      <c r="J873" s="10" t="n"/>
      <c r="K873" s="10">
        <f>IF(I873="","",I873-N(J873))</f>
        <v/>
      </c>
      <c r="L873">
        <f>IF(I873="","",IF(K873&lt;=0,"Paid",IF(J873&gt;0,"Partial","Pending")))</f>
        <v/>
      </c>
    </row>
    <row r="874">
      <c r="B874" s="12" t="n"/>
      <c r="F874" s="10" t="n"/>
      <c r="G874" s="10" t="n"/>
      <c r="H874" s="10" t="n"/>
      <c r="I874" s="10">
        <f>IF(OR(E874="",F874=""),"",E874*F874-N(G874)+N(H874))</f>
        <v/>
      </c>
      <c r="J874" s="10" t="n"/>
      <c r="K874" s="10">
        <f>IF(I874="","",I874-N(J874))</f>
        <v/>
      </c>
      <c r="L874">
        <f>IF(I874="","",IF(K874&lt;=0,"Paid",IF(J874&gt;0,"Partial","Pending")))</f>
        <v/>
      </c>
    </row>
    <row r="875">
      <c r="B875" s="12" t="n"/>
      <c r="F875" s="10" t="n"/>
      <c r="G875" s="10" t="n"/>
      <c r="H875" s="10" t="n"/>
      <c r="I875" s="10">
        <f>IF(OR(E875="",F875=""),"",E875*F875-N(G875)+N(H875))</f>
        <v/>
      </c>
      <c r="J875" s="10" t="n"/>
      <c r="K875" s="10">
        <f>IF(I875="","",I875-N(J875))</f>
        <v/>
      </c>
      <c r="L875">
        <f>IF(I875="","",IF(K875&lt;=0,"Paid",IF(J875&gt;0,"Partial","Pending")))</f>
        <v/>
      </c>
    </row>
    <row r="876">
      <c r="B876" s="12" t="n"/>
      <c r="F876" s="10" t="n"/>
      <c r="G876" s="10" t="n"/>
      <c r="H876" s="10" t="n"/>
      <c r="I876" s="10">
        <f>IF(OR(E876="",F876=""),"",E876*F876-N(G876)+N(H876))</f>
        <v/>
      </c>
      <c r="J876" s="10" t="n"/>
      <c r="K876" s="10">
        <f>IF(I876="","",I876-N(J876))</f>
        <v/>
      </c>
      <c r="L876">
        <f>IF(I876="","",IF(K876&lt;=0,"Paid",IF(J876&gt;0,"Partial","Pending")))</f>
        <v/>
      </c>
    </row>
    <row r="877">
      <c r="B877" s="12" t="n"/>
      <c r="F877" s="10" t="n"/>
      <c r="G877" s="10" t="n"/>
      <c r="H877" s="10" t="n"/>
      <c r="I877" s="10">
        <f>IF(OR(E877="",F877=""),"",E877*F877-N(G877)+N(H877))</f>
        <v/>
      </c>
      <c r="J877" s="10" t="n"/>
      <c r="K877" s="10">
        <f>IF(I877="","",I877-N(J877))</f>
        <v/>
      </c>
      <c r="L877">
        <f>IF(I877="","",IF(K877&lt;=0,"Paid",IF(J877&gt;0,"Partial","Pending")))</f>
        <v/>
      </c>
    </row>
    <row r="878">
      <c r="B878" s="12" t="n"/>
      <c r="F878" s="10" t="n"/>
      <c r="G878" s="10" t="n"/>
      <c r="H878" s="10" t="n"/>
      <c r="I878" s="10">
        <f>IF(OR(E878="",F878=""),"",E878*F878-N(G878)+N(H878))</f>
        <v/>
      </c>
      <c r="J878" s="10" t="n"/>
      <c r="K878" s="10">
        <f>IF(I878="","",I878-N(J878))</f>
        <v/>
      </c>
      <c r="L878">
        <f>IF(I878="","",IF(K878&lt;=0,"Paid",IF(J878&gt;0,"Partial","Pending")))</f>
        <v/>
      </c>
    </row>
    <row r="879">
      <c r="B879" s="12" t="n"/>
      <c r="F879" s="10" t="n"/>
      <c r="G879" s="10" t="n"/>
      <c r="H879" s="10" t="n"/>
      <c r="I879" s="10">
        <f>IF(OR(E879="",F879=""),"",E879*F879-N(G879)+N(H879))</f>
        <v/>
      </c>
      <c r="J879" s="10" t="n"/>
      <c r="K879" s="10">
        <f>IF(I879="","",I879-N(J879))</f>
        <v/>
      </c>
      <c r="L879">
        <f>IF(I879="","",IF(K879&lt;=0,"Paid",IF(J879&gt;0,"Partial","Pending")))</f>
        <v/>
      </c>
    </row>
    <row r="880">
      <c r="B880" s="12" t="n"/>
      <c r="F880" s="10" t="n"/>
      <c r="G880" s="10" t="n"/>
      <c r="H880" s="10" t="n"/>
      <c r="I880" s="10">
        <f>IF(OR(E880="",F880=""),"",E880*F880-N(G880)+N(H880))</f>
        <v/>
      </c>
      <c r="J880" s="10" t="n"/>
      <c r="K880" s="10">
        <f>IF(I880="","",I880-N(J880))</f>
        <v/>
      </c>
      <c r="L880">
        <f>IF(I880="","",IF(K880&lt;=0,"Paid",IF(J880&gt;0,"Partial","Pending")))</f>
        <v/>
      </c>
    </row>
    <row r="881">
      <c r="B881" s="12" t="n"/>
      <c r="F881" s="10" t="n"/>
      <c r="G881" s="10" t="n"/>
      <c r="H881" s="10" t="n"/>
      <c r="I881" s="10">
        <f>IF(OR(E881="",F881=""),"",E881*F881-N(G881)+N(H881))</f>
        <v/>
      </c>
      <c r="J881" s="10" t="n"/>
      <c r="K881" s="10">
        <f>IF(I881="","",I881-N(J881))</f>
        <v/>
      </c>
      <c r="L881">
        <f>IF(I881="","",IF(K881&lt;=0,"Paid",IF(J881&gt;0,"Partial","Pending")))</f>
        <v/>
      </c>
    </row>
    <row r="882">
      <c r="B882" s="12" t="n"/>
      <c r="F882" s="10" t="n"/>
      <c r="G882" s="10" t="n"/>
      <c r="H882" s="10" t="n"/>
      <c r="I882" s="10">
        <f>IF(OR(E882="",F882=""),"",E882*F882-N(G882)+N(H882))</f>
        <v/>
      </c>
      <c r="J882" s="10" t="n"/>
      <c r="K882" s="10">
        <f>IF(I882="","",I882-N(J882))</f>
        <v/>
      </c>
      <c r="L882">
        <f>IF(I882="","",IF(K882&lt;=0,"Paid",IF(J882&gt;0,"Partial","Pending")))</f>
        <v/>
      </c>
    </row>
    <row r="883">
      <c r="B883" s="12" t="n"/>
      <c r="F883" s="10" t="n"/>
      <c r="G883" s="10" t="n"/>
      <c r="H883" s="10" t="n"/>
      <c r="I883" s="10">
        <f>IF(OR(E883="",F883=""),"",E883*F883-N(G883)+N(H883))</f>
        <v/>
      </c>
      <c r="J883" s="10" t="n"/>
      <c r="K883" s="10">
        <f>IF(I883="","",I883-N(J883))</f>
        <v/>
      </c>
      <c r="L883">
        <f>IF(I883="","",IF(K883&lt;=0,"Paid",IF(J883&gt;0,"Partial","Pending")))</f>
        <v/>
      </c>
    </row>
    <row r="884">
      <c r="B884" s="12" t="n"/>
      <c r="F884" s="10" t="n"/>
      <c r="G884" s="10" t="n"/>
      <c r="H884" s="10" t="n"/>
      <c r="I884" s="10">
        <f>IF(OR(E884="",F884=""),"",E884*F884-N(G884)+N(H884))</f>
        <v/>
      </c>
      <c r="J884" s="10" t="n"/>
      <c r="K884" s="10">
        <f>IF(I884="","",I884-N(J884))</f>
        <v/>
      </c>
      <c r="L884">
        <f>IF(I884="","",IF(K884&lt;=0,"Paid",IF(J884&gt;0,"Partial","Pending")))</f>
        <v/>
      </c>
    </row>
    <row r="885">
      <c r="B885" s="12" t="n"/>
      <c r="F885" s="10" t="n"/>
      <c r="G885" s="10" t="n"/>
      <c r="H885" s="10" t="n"/>
      <c r="I885" s="10">
        <f>IF(OR(E885="",F885=""),"",E885*F885-N(G885)+N(H885))</f>
        <v/>
      </c>
      <c r="J885" s="10" t="n"/>
      <c r="K885" s="10">
        <f>IF(I885="","",I885-N(J885))</f>
        <v/>
      </c>
      <c r="L885">
        <f>IF(I885="","",IF(K885&lt;=0,"Paid",IF(J885&gt;0,"Partial","Pending")))</f>
        <v/>
      </c>
    </row>
    <row r="886">
      <c r="B886" s="12" t="n"/>
      <c r="F886" s="10" t="n"/>
      <c r="G886" s="10" t="n"/>
      <c r="H886" s="10" t="n"/>
      <c r="I886" s="10">
        <f>IF(OR(E886="",F886=""),"",E886*F886-N(G886)+N(H886))</f>
        <v/>
      </c>
      <c r="J886" s="10" t="n"/>
      <c r="K886" s="10">
        <f>IF(I886="","",I886-N(J886))</f>
        <v/>
      </c>
      <c r="L886">
        <f>IF(I886="","",IF(K886&lt;=0,"Paid",IF(J886&gt;0,"Partial","Pending")))</f>
        <v/>
      </c>
    </row>
    <row r="887">
      <c r="B887" s="12" t="n"/>
      <c r="F887" s="10" t="n"/>
      <c r="G887" s="10" t="n"/>
      <c r="H887" s="10" t="n"/>
      <c r="I887" s="10">
        <f>IF(OR(E887="",F887=""),"",E887*F887-N(G887)+N(H887))</f>
        <v/>
      </c>
      <c r="J887" s="10" t="n"/>
      <c r="K887" s="10">
        <f>IF(I887="","",I887-N(J887))</f>
        <v/>
      </c>
      <c r="L887">
        <f>IF(I887="","",IF(K887&lt;=0,"Paid",IF(J887&gt;0,"Partial","Pending")))</f>
        <v/>
      </c>
    </row>
    <row r="888">
      <c r="B888" s="12" t="n"/>
      <c r="F888" s="10" t="n"/>
      <c r="G888" s="10" t="n"/>
      <c r="H888" s="10" t="n"/>
      <c r="I888" s="10">
        <f>IF(OR(E888="",F888=""),"",E888*F888-N(G888)+N(H888))</f>
        <v/>
      </c>
      <c r="J888" s="10" t="n"/>
      <c r="K888" s="10">
        <f>IF(I888="","",I888-N(J888))</f>
        <v/>
      </c>
      <c r="L888">
        <f>IF(I888="","",IF(K888&lt;=0,"Paid",IF(J888&gt;0,"Partial","Pending")))</f>
        <v/>
      </c>
    </row>
    <row r="889">
      <c r="B889" s="12" t="n"/>
      <c r="F889" s="10" t="n"/>
      <c r="G889" s="10" t="n"/>
      <c r="H889" s="10" t="n"/>
      <c r="I889" s="10">
        <f>IF(OR(E889="",F889=""),"",E889*F889-N(G889)+N(H889))</f>
        <v/>
      </c>
      <c r="J889" s="10" t="n"/>
      <c r="K889" s="10">
        <f>IF(I889="","",I889-N(J889))</f>
        <v/>
      </c>
      <c r="L889">
        <f>IF(I889="","",IF(K889&lt;=0,"Paid",IF(J889&gt;0,"Partial","Pending")))</f>
        <v/>
      </c>
    </row>
    <row r="890">
      <c r="B890" s="12" t="n"/>
      <c r="F890" s="10" t="n"/>
      <c r="G890" s="10" t="n"/>
      <c r="H890" s="10" t="n"/>
      <c r="I890" s="10">
        <f>IF(OR(E890="",F890=""),"",E890*F890-N(G890)+N(H890))</f>
        <v/>
      </c>
      <c r="J890" s="10" t="n"/>
      <c r="K890" s="10">
        <f>IF(I890="","",I890-N(J890))</f>
        <v/>
      </c>
      <c r="L890">
        <f>IF(I890="","",IF(K890&lt;=0,"Paid",IF(J890&gt;0,"Partial","Pending")))</f>
        <v/>
      </c>
    </row>
    <row r="891">
      <c r="B891" s="12" t="n"/>
      <c r="F891" s="10" t="n"/>
      <c r="G891" s="10" t="n"/>
      <c r="H891" s="10" t="n"/>
      <c r="I891" s="10">
        <f>IF(OR(E891="",F891=""),"",E891*F891-N(G891)+N(H891))</f>
        <v/>
      </c>
      <c r="J891" s="10" t="n"/>
      <c r="K891" s="10">
        <f>IF(I891="","",I891-N(J891))</f>
        <v/>
      </c>
      <c r="L891">
        <f>IF(I891="","",IF(K891&lt;=0,"Paid",IF(J891&gt;0,"Partial","Pending")))</f>
        <v/>
      </c>
    </row>
    <row r="892">
      <c r="B892" s="12" t="n"/>
      <c r="F892" s="10" t="n"/>
      <c r="G892" s="10" t="n"/>
      <c r="H892" s="10" t="n"/>
      <c r="I892" s="10">
        <f>IF(OR(E892="",F892=""),"",E892*F892-N(G892)+N(H892))</f>
        <v/>
      </c>
      <c r="J892" s="10" t="n"/>
      <c r="K892" s="10">
        <f>IF(I892="","",I892-N(J892))</f>
        <v/>
      </c>
      <c r="L892">
        <f>IF(I892="","",IF(K892&lt;=0,"Paid",IF(J892&gt;0,"Partial","Pending")))</f>
        <v/>
      </c>
    </row>
    <row r="893">
      <c r="B893" s="12" t="n"/>
      <c r="F893" s="10" t="n"/>
      <c r="G893" s="10" t="n"/>
      <c r="H893" s="10" t="n"/>
      <c r="I893" s="10">
        <f>IF(OR(E893="",F893=""),"",E893*F893-N(G893)+N(H893))</f>
        <v/>
      </c>
      <c r="J893" s="10" t="n"/>
      <c r="K893" s="10">
        <f>IF(I893="","",I893-N(J893))</f>
        <v/>
      </c>
      <c r="L893">
        <f>IF(I893="","",IF(K893&lt;=0,"Paid",IF(J893&gt;0,"Partial","Pending")))</f>
        <v/>
      </c>
    </row>
    <row r="894">
      <c r="B894" s="12" t="n"/>
      <c r="F894" s="10" t="n"/>
      <c r="G894" s="10" t="n"/>
      <c r="H894" s="10" t="n"/>
      <c r="I894" s="10">
        <f>IF(OR(E894="",F894=""),"",E894*F894-N(G894)+N(H894))</f>
        <v/>
      </c>
      <c r="J894" s="10" t="n"/>
      <c r="K894" s="10">
        <f>IF(I894="","",I894-N(J894))</f>
        <v/>
      </c>
      <c r="L894">
        <f>IF(I894="","",IF(K894&lt;=0,"Paid",IF(J894&gt;0,"Partial","Pending")))</f>
        <v/>
      </c>
    </row>
    <row r="895">
      <c r="B895" s="12" t="n"/>
      <c r="F895" s="10" t="n"/>
      <c r="G895" s="10" t="n"/>
      <c r="H895" s="10" t="n"/>
      <c r="I895" s="10">
        <f>IF(OR(E895="",F895=""),"",E895*F895-N(G895)+N(H895))</f>
        <v/>
      </c>
      <c r="J895" s="10" t="n"/>
      <c r="K895" s="10">
        <f>IF(I895="","",I895-N(J895))</f>
        <v/>
      </c>
      <c r="L895">
        <f>IF(I895="","",IF(K895&lt;=0,"Paid",IF(J895&gt;0,"Partial","Pending")))</f>
        <v/>
      </c>
    </row>
    <row r="896">
      <c r="B896" s="12" t="n"/>
      <c r="F896" s="10" t="n"/>
      <c r="G896" s="10" t="n"/>
      <c r="H896" s="10" t="n"/>
      <c r="I896" s="10">
        <f>IF(OR(E896="",F896=""),"",E896*F896-N(G896)+N(H896))</f>
        <v/>
      </c>
      <c r="J896" s="10" t="n"/>
      <c r="K896" s="10">
        <f>IF(I896="","",I896-N(J896))</f>
        <v/>
      </c>
      <c r="L896">
        <f>IF(I896="","",IF(K896&lt;=0,"Paid",IF(J896&gt;0,"Partial","Pending")))</f>
        <v/>
      </c>
    </row>
    <row r="897">
      <c r="B897" s="12" t="n"/>
      <c r="F897" s="10" t="n"/>
      <c r="G897" s="10" t="n"/>
      <c r="H897" s="10" t="n"/>
      <c r="I897" s="10">
        <f>IF(OR(E897="",F897=""),"",E897*F897-N(G897)+N(H897))</f>
        <v/>
      </c>
      <c r="J897" s="10" t="n"/>
      <c r="K897" s="10">
        <f>IF(I897="","",I897-N(J897))</f>
        <v/>
      </c>
      <c r="L897">
        <f>IF(I897="","",IF(K897&lt;=0,"Paid",IF(J897&gt;0,"Partial","Pending")))</f>
        <v/>
      </c>
    </row>
    <row r="898">
      <c r="B898" s="12" t="n"/>
      <c r="F898" s="10" t="n"/>
      <c r="G898" s="10" t="n"/>
      <c r="H898" s="10" t="n"/>
      <c r="I898" s="10">
        <f>IF(OR(E898="",F898=""),"",E898*F898-N(G898)+N(H898))</f>
        <v/>
      </c>
      <c r="J898" s="10" t="n"/>
      <c r="K898" s="10">
        <f>IF(I898="","",I898-N(J898))</f>
        <v/>
      </c>
      <c r="L898">
        <f>IF(I898="","",IF(K898&lt;=0,"Paid",IF(J898&gt;0,"Partial","Pending")))</f>
        <v/>
      </c>
    </row>
    <row r="899">
      <c r="B899" s="12" t="n"/>
      <c r="F899" s="10" t="n"/>
      <c r="G899" s="10" t="n"/>
      <c r="H899" s="10" t="n"/>
      <c r="I899" s="10">
        <f>IF(OR(E899="",F899=""),"",E899*F899-N(G899)+N(H899))</f>
        <v/>
      </c>
      <c r="J899" s="10" t="n"/>
      <c r="K899" s="10">
        <f>IF(I899="","",I899-N(J899))</f>
        <v/>
      </c>
      <c r="L899">
        <f>IF(I899="","",IF(K899&lt;=0,"Paid",IF(J899&gt;0,"Partial","Pending")))</f>
        <v/>
      </c>
    </row>
    <row r="900">
      <c r="B900" s="12" t="n"/>
      <c r="F900" s="10" t="n"/>
      <c r="G900" s="10" t="n"/>
      <c r="H900" s="10" t="n"/>
      <c r="I900" s="10">
        <f>IF(OR(E900="",F900=""),"",E900*F900-N(G900)+N(H900))</f>
        <v/>
      </c>
      <c r="J900" s="10" t="n"/>
      <c r="K900" s="10">
        <f>IF(I900="","",I900-N(J900))</f>
        <v/>
      </c>
      <c r="L900">
        <f>IF(I900="","",IF(K900&lt;=0,"Paid",IF(J900&gt;0,"Partial","Pending")))</f>
        <v/>
      </c>
    </row>
    <row r="901">
      <c r="B901" s="12" t="n"/>
      <c r="F901" s="10" t="n"/>
      <c r="G901" s="10" t="n"/>
      <c r="H901" s="10" t="n"/>
      <c r="I901" s="10">
        <f>IF(OR(E901="",F901=""),"",E901*F901-N(G901)+N(H901))</f>
        <v/>
      </c>
      <c r="J901" s="10" t="n"/>
      <c r="K901" s="10">
        <f>IF(I901="","",I901-N(J901))</f>
        <v/>
      </c>
      <c r="L901">
        <f>IF(I901="","",IF(K901&lt;=0,"Paid",IF(J901&gt;0,"Partial","Pending")))</f>
        <v/>
      </c>
    </row>
    <row r="902">
      <c r="B902" s="12" t="n"/>
      <c r="F902" s="10" t="n"/>
      <c r="G902" s="10" t="n"/>
      <c r="H902" s="10" t="n"/>
      <c r="I902" s="10">
        <f>IF(OR(E902="",F902=""),"",E902*F902-N(G902)+N(H902))</f>
        <v/>
      </c>
      <c r="J902" s="10" t="n"/>
      <c r="K902" s="10">
        <f>IF(I902="","",I902-N(J902))</f>
        <v/>
      </c>
      <c r="L902">
        <f>IF(I902="","",IF(K902&lt;=0,"Paid",IF(J902&gt;0,"Partial","Pending")))</f>
        <v/>
      </c>
    </row>
    <row r="903">
      <c r="B903" s="12" t="n"/>
      <c r="F903" s="10" t="n"/>
      <c r="G903" s="10" t="n"/>
      <c r="H903" s="10" t="n"/>
      <c r="I903" s="10">
        <f>IF(OR(E903="",F903=""),"",E903*F903-N(G903)+N(H903))</f>
        <v/>
      </c>
      <c r="J903" s="10" t="n"/>
      <c r="K903" s="10">
        <f>IF(I903="","",I903-N(J903))</f>
        <v/>
      </c>
      <c r="L903">
        <f>IF(I903="","",IF(K903&lt;=0,"Paid",IF(J903&gt;0,"Partial","Pending")))</f>
        <v/>
      </c>
    </row>
    <row r="904">
      <c r="B904" s="12" t="n"/>
      <c r="F904" s="10" t="n"/>
      <c r="G904" s="10" t="n"/>
      <c r="H904" s="10" t="n"/>
      <c r="I904" s="10">
        <f>IF(OR(E904="",F904=""),"",E904*F904-N(G904)+N(H904))</f>
        <v/>
      </c>
      <c r="J904" s="10" t="n"/>
      <c r="K904" s="10">
        <f>IF(I904="","",I904-N(J904))</f>
        <v/>
      </c>
      <c r="L904">
        <f>IF(I904="","",IF(K904&lt;=0,"Paid",IF(J904&gt;0,"Partial","Pending")))</f>
        <v/>
      </c>
    </row>
    <row r="905">
      <c r="B905" s="12" t="n"/>
      <c r="F905" s="10" t="n"/>
      <c r="G905" s="10" t="n"/>
      <c r="H905" s="10" t="n"/>
      <c r="I905" s="10">
        <f>IF(OR(E905="",F905=""),"",E905*F905-N(G905)+N(H905))</f>
        <v/>
      </c>
      <c r="J905" s="10" t="n"/>
      <c r="K905" s="10">
        <f>IF(I905="","",I905-N(J905))</f>
        <v/>
      </c>
      <c r="L905">
        <f>IF(I905="","",IF(K905&lt;=0,"Paid",IF(J905&gt;0,"Partial","Pending")))</f>
        <v/>
      </c>
    </row>
    <row r="906">
      <c r="B906" s="12" t="n"/>
      <c r="F906" s="10" t="n"/>
      <c r="G906" s="10" t="n"/>
      <c r="H906" s="10" t="n"/>
      <c r="I906" s="10">
        <f>IF(OR(E906="",F906=""),"",E906*F906-N(G906)+N(H906))</f>
        <v/>
      </c>
      <c r="J906" s="10" t="n"/>
      <c r="K906" s="10">
        <f>IF(I906="","",I906-N(J906))</f>
        <v/>
      </c>
      <c r="L906">
        <f>IF(I906="","",IF(K906&lt;=0,"Paid",IF(J906&gt;0,"Partial","Pending")))</f>
        <v/>
      </c>
    </row>
    <row r="907">
      <c r="B907" s="12" t="n"/>
      <c r="F907" s="10" t="n"/>
      <c r="G907" s="10" t="n"/>
      <c r="H907" s="10" t="n"/>
      <c r="I907" s="10">
        <f>IF(OR(E907="",F907=""),"",E907*F907-N(G907)+N(H907))</f>
        <v/>
      </c>
      <c r="J907" s="10" t="n"/>
      <c r="K907" s="10">
        <f>IF(I907="","",I907-N(J907))</f>
        <v/>
      </c>
      <c r="L907">
        <f>IF(I907="","",IF(K907&lt;=0,"Paid",IF(J907&gt;0,"Partial","Pending")))</f>
        <v/>
      </c>
    </row>
    <row r="908">
      <c r="B908" s="12" t="n"/>
      <c r="F908" s="10" t="n"/>
      <c r="G908" s="10" t="n"/>
      <c r="H908" s="10" t="n"/>
      <c r="I908" s="10">
        <f>IF(OR(E908="",F908=""),"",E908*F908-N(G908)+N(H908))</f>
        <v/>
      </c>
      <c r="J908" s="10" t="n"/>
      <c r="K908" s="10">
        <f>IF(I908="","",I908-N(J908))</f>
        <v/>
      </c>
      <c r="L908">
        <f>IF(I908="","",IF(K908&lt;=0,"Paid",IF(J908&gt;0,"Partial","Pending")))</f>
        <v/>
      </c>
    </row>
    <row r="909">
      <c r="B909" s="12" t="n"/>
      <c r="F909" s="10" t="n"/>
      <c r="G909" s="10" t="n"/>
      <c r="H909" s="10" t="n"/>
      <c r="I909" s="10">
        <f>IF(OR(E909="",F909=""),"",E909*F909-N(G909)+N(H909))</f>
        <v/>
      </c>
      <c r="J909" s="10" t="n"/>
      <c r="K909" s="10">
        <f>IF(I909="","",I909-N(J909))</f>
        <v/>
      </c>
      <c r="L909">
        <f>IF(I909="","",IF(K909&lt;=0,"Paid",IF(J909&gt;0,"Partial","Pending")))</f>
        <v/>
      </c>
    </row>
    <row r="910">
      <c r="B910" s="12" t="n"/>
      <c r="F910" s="10" t="n"/>
      <c r="G910" s="10" t="n"/>
      <c r="H910" s="10" t="n"/>
      <c r="I910" s="10">
        <f>IF(OR(E910="",F910=""),"",E910*F910-N(G910)+N(H910))</f>
        <v/>
      </c>
      <c r="J910" s="10" t="n"/>
      <c r="K910" s="10">
        <f>IF(I910="","",I910-N(J910))</f>
        <v/>
      </c>
      <c r="L910">
        <f>IF(I910="","",IF(K910&lt;=0,"Paid",IF(J910&gt;0,"Partial","Pending")))</f>
        <v/>
      </c>
    </row>
    <row r="911">
      <c r="B911" s="12" t="n"/>
      <c r="F911" s="10" t="n"/>
      <c r="G911" s="10" t="n"/>
      <c r="H911" s="10" t="n"/>
      <c r="I911" s="10">
        <f>IF(OR(E911="",F911=""),"",E911*F911-N(G911)+N(H911))</f>
        <v/>
      </c>
      <c r="J911" s="10" t="n"/>
      <c r="K911" s="10">
        <f>IF(I911="","",I911-N(J911))</f>
        <v/>
      </c>
      <c r="L911">
        <f>IF(I911="","",IF(K911&lt;=0,"Paid",IF(J911&gt;0,"Partial","Pending")))</f>
        <v/>
      </c>
    </row>
    <row r="912">
      <c r="B912" s="12" t="n"/>
      <c r="F912" s="10" t="n"/>
      <c r="G912" s="10" t="n"/>
      <c r="H912" s="10" t="n"/>
      <c r="I912" s="10">
        <f>IF(OR(E912="",F912=""),"",E912*F912-N(G912)+N(H912))</f>
        <v/>
      </c>
      <c r="J912" s="10" t="n"/>
      <c r="K912" s="10">
        <f>IF(I912="","",I912-N(J912))</f>
        <v/>
      </c>
      <c r="L912">
        <f>IF(I912="","",IF(K912&lt;=0,"Paid",IF(J912&gt;0,"Partial","Pending")))</f>
        <v/>
      </c>
    </row>
    <row r="913">
      <c r="B913" s="12" t="n"/>
      <c r="F913" s="10" t="n"/>
      <c r="G913" s="10" t="n"/>
      <c r="H913" s="10" t="n"/>
      <c r="I913" s="10">
        <f>IF(OR(E913="",F913=""),"",E913*F913-N(G913)+N(H913))</f>
        <v/>
      </c>
      <c r="J913" s="10" t="n"/>
      <c r="K913" s="10">
        <f>IF(I913="","",I913-N(J913))</f>
        <v/>
      </c>
      <c r="L913">
        <f>IF(I913="","",IF(K913&lt;=0,"Paid",IF(J913&gt;0,"Partial","Pending")))</f>
        <v/>
      </c>
    </row>
    <row r="914">
      <c r="B914" s="12" t="n"/>
      <c r="F914" s="10" t="n"/>
      <c r="G914" s="10" t="n"/>
      <c r="H914" s="10" t="n"/>
      <c r="I914" s="10">
        <f>IF(OR(E914="",F914=""),"",E914*F914-N(G914)+N(H914))</f>
        <v/>
      </c>
      <c r="J914" s="10" t="n"/>
      <c r="K914" s="10">
        <f>IF(I914="","",I914-N(J914))</f>
        <v/>
      </c>
      <c r="L914">
        <f>IF(I914="","",IF(K914&lt;=0,"Paid",IF(J914&gt;0,"Partial","Pending")))</f>
        <v/>
      </c>
    </row>
    <row r="915">
      <c r="B915" s="12" t="n"/>
      <c r="F915" s="10" t="n"/>
      <c r="G915" s="10" t="n"/>
      <c r="H915" s="10" t="n"/>
      <c r="I915" s="10">
        <f>IF(OR(E915="",F915=""),"",E915*F915-N(G915)+N(H915))</f>
        <v/>
      </c>
      <c r="J915" s="10" t="n"/>
      <c r="K915" s="10">
        <f>IF(I915="","",I915-N(J915))</f>
        <v/>
      </c>
      <c r="L915">
        <f>IF(I915="","",IF(K915&lt;=0,"Paid",IF(J915&gt;0,"Partial","Pending")))</f>
        <v/>
      </c>
    </row>
    <row r="916">
      <c r="B916" s="12" t="n"/>
      <c r="F916" s="10" t="n"/>
      <c r="G916" s="10" t="n"/>
      <c r="H916" s="10" t="n"/>
      <c r="I916" s="10">
        <f>IF(OR(E916="",F916=""),"",E916*F916-N(G916)+N(H916))</f>
        <v/>
      </c>
      <c r="J916" s="10" t="n"/>
      <c r="K916" s="10">
        <f>IF(I916="","",I916-N(J916))</f>
        <v/>
      </c>
      <c r="L916">
        <f>IF(I916="","",IF(K916&lt;=0,"Paid",IF(J916&gt;0,"Partial","Pending")))</f>
        <v/>
      </c>
    </row>
    <row r="917">
      <c r="B917" s="12" t="n"/>
      <c r="F917" s="10" t="n"/>
      <c r="G917" s="10" t="n"/>
      <c r="H917" s="10" t="n"/>
      <c r="I917" s="10">
        <f>IF(OR(E917="",F917=""),"",E917*F917-N(G917)+N(H917))</f>
        <v/>
      </c>
      <c r="J917" s="10" t="n"/>
      <c r="K917" s="10">
        <f>IF(I917="","",I917-N(J917))</f>
        <v/>
      </c>
      <c r="L917">
        <f>IF(I917="","",IF(K917&lt;=0,"Paid",IF(J917&gt;0,"Partial","Pending")))</f>
        <v/>
      </c>
    </row>
    <row r="918">
      <c r="B918" s="12" t="n"/>
      <c r="F918" s="10" t="n"/>
      <c r="G918" s="10" t="n"/>
      <c r="H918" s="10" t="n"/>
      <c r="I918" s="10">
        <f>IF(OR(E918="",F918=""),"",E918*F918-N(G918)+N(H918))</f>
        <v/>
      </c>
      <c r="J918" s="10" t="n"/>
      <c r="K918" s="10">
        <f>IF(I918="","",I918-N(J918))</f>
        <v/>
      </c>
      <c r="L918">
        <f>IF(I918="","",IF(K918&lt;=0,"Paid",IF(J918&gt;0,"Partial","Pending")))</f>
        <v/>
      </c>
    </row>
    <row r="919">
      <c r="B919" s="12" t="n"/>
      <c r="F919" s="10" t="n"/>
      <c r="G919" s="10" t="n"/>
      <c r="H919" s="10" t="n"/>
      <c r="I919" s="10">
        <f>IF(OR(E919="",F919=""),"",E919*F919-N(G919)+N(H919))</f>
        <v/>
      </c>
      <c r="J919" s="10" t="n"/>
      <c r="K919" s="10">
        <f>IF(I919="","",I919-N(J919))</f>
        <v/>
      </c>
      <c r="L919">
        <f>IF(I919="","",IF(K919&lt;=0,"Paid",IF(J919&gt;0,"Partial","Pending")))</f>
        <v/>
      </c>
    </row>
    <row r="920">
      <c r="B920" s="12" t="n"/>
      <c r="F920" s="10" t="n"/>
      <c r="G920" s="10" t="n"/>
      <c r="H920" s="10" t="n"/>
      <c r="I920" s="10">
        <f>IF(OR(E920="",F920=""),"",E920*F920-N(G920)+N(H920))</f>
        <v/>
      </c>
      <c r="J920" s="10" t="n"/>
      <c r="K920" s="10">
        <f>IF(I920="","",I920-N(J920))</f>
        <v/>
      </c>
      <c r="L920">
        <f>IF(I920="","",IF(K920&lt;=0,"Paid",IF(J920&gt;0,"Partial","Pending")))</f>
        <v/>
      </c>
    </row>
    <row r="921">
      <c r="B921" s="12" t="n"/>
      <c r="F921" s="10" t="n"/>
      <c r="G921" s="10" t="n"/>
      <c r="H921" s="10" t="n"/>
      <c r="I921" s="10">
        <f>IF(OR(E921="",F921=""),"",E921*F921-N(G921)+N(H921))</f>
        <v/>
      </c>
      <c r="J921" s="10" t="n"/>
      <c r="K921" s="10">
        <f>IF(I921="","",I921-N(J921))</f>
        <v/>
      </c>
      <c r="L921">
        <f>IF(I921="","",IF(K921&lt;=0,"Paid",IF(J921&gt;0,"Partial","Pending")))</f>
        <v/>
      </c>
    </row>
    <row r="922">
      <c r="B922" s="12" t="n"/>
      <c r="F922" s="10" t="n"/>
      <c r="G922" s="10" t="n"/>
      <c r="H922" s="10" t="n"/>
      <c r="I922" s="10">
        <f>IF(OR(E922="",F922=""),"",E922*F922-N(G922)+N(H922))</f>
        <v/>
      </c>
      <c r="J922" s="10" t="n"/>
      <c r="K922" s="10">
        <f>IF(I922="","",I922-N(J922))</f>
        <v/>
      </c>
      <c r="L922">
        <f>IF(I922="","",IF(K922&lt;=0,"Paid",IF(J922&gt;0,"Partial","Pending")))</f>
        <v/>
      </c>
    </row>
    <row r="923">
      <c r="B923" s="12" t="n"/>
      <c r="F923" s="10" t="n"/>
      <c r="G923" s="10" t="n"/>
      <c r="H923" s="10" t="n"/>
      <c r="I923" s="10">
        <f>IF(OR(E923="",F923=""),"",E923*F923-N(G923)+N(H923))</f>
        <v/>
      </c>
      <c r="J923" s="10" t="n"/>
      <c r="K923" s="10">
        <f>IF(I923="","",I923-N(J923))</f>
        <v/>
      </c>
      <c r="L923">
        <f>IF(I923="","",IF(K923&lt;=0,"Paid",IF(J923&gt;0,"Partial","Pending")))</f>
        <v/>
      </c>
    </row>
    <row r="924">
      <c r="B924" s="12" t="n"/>
      <c r="F924" s="10" t="n"/>
      <c r="G924" s="10" t="n"/>
      <c r="H924" s="10" t="n"/>
      <c r="I924" s="10">
        <f>IF(OR(E924="",F924=""),"",E924*F924-N(G924)+N(H924))</f>
        <v/>
      </c>
      <c r="J924" s="10" t="n"/>
      <c r="K924" s="10">
        <f>IF(I924="","",I924-N(J924))</f>
        <v/>
      </c>
      <c r="L924">
        <f>IF(I924="","",IF(K924&lt;=0,"Paid",IF(J924&gt;0,"Partial","Pending")))</f>
        <v/>
      </c>
    </row>
    <row r="925">
      <c r="B925" s="12" t="n"/>
      <c r="F925" s="10" t="n"/>
      <c r="G925" s="10" t="n"/>
      <c r="H925" s="10" t="n"/>
      <c r="I925" s="10">
        <f>IF(OR(E925="",F925=""),"",E925*F925-N(G925)+N(H925))</f>
        <v/>
      </c>
      <c r="J925" s="10" t="n"/>
      <c r="K925" s="10">
        <f>IF(I925="","",I925-N(J925))</f>
        <v/>
      </c>
      <c r="L925">
        <f>IF(I925="","",IF(K925&lt;=0,"Paid",IF(J925&gt;0,"Partial","Pending")))</f>
        <v/>
      </c>
    </row>
    <row r="926">
      <c r="B926" s="12" t="n"/>
      <c r="F926" s="10" t="n"/>
      <c r="G926" s="10" t="n"/>
      <c r="H926" s="10" t="n"/>
      <c r="I926" s="10">
        <f>IF(OR(E926="",F926=""),"",E926*F926-N(G926)+N(H926))</f>
        <v/>
      </c>
      <c r="J926" s="10" t="n"/>
      <c r="K926" s="10">
        <f>IF(I926="","",I926-N(J926))</f>
        <v/>
      </c>
      <c r="L926">
        <f>IF(I926="","",IF(K926&lt;=0,"Paid",IF(J926&gt;0,"Partial","Pending")))</f>
        <v/>
      </c>
    </row>
    <row r="927">
      <c r="B927" s="12" t="n"/>
      <c r="F927" s="10" t="n"/>
      <c r="G927" s="10" t="n"/>
      <c r="H927" s="10" t="n"/>
      <c r="I927" s="10">
        <f>IF(OR(E927="",F927=""),"",E927*F927-N(G927)+N(H927))</f>
        <v/>
      </c>
      <c r="J927" s="10" t="n"/>
      <c r="K927" s="10">
        <f>IF(I927="","",I927-N(J927))</f>
        <v/>
      </c>
      <c r="L927">
        <f>IF(I927="","",IF(K927&lt;=0,"Paid",IF(J927&gt;0,"Partial","Pending")))</f>
        <v/>
      </c>
    </row>
    <row r="928">
      <c r="B928" s="12" t="n"/>
      <c r="F928" s="10" t="n"/>
      <c r="G928" s="10" t="n"/>
      <c r="H928" s="10" t="n"/>
      <c r="I928" s="10">
        <f>IF(OR(E928="",F928=""),"",E928*F928-N(G928)+N(H928))</f>
        <v/>
      </c>
      <c r="J928" s="10" t="n"/>
      <c r="K928" s="10">
        <f>IF(I928="","",I928-N(J928))</f>
        <v/>
      </c>
      <c r="L928">
        <f>IF(I928="","",IF(K928&lt;=0,"Paid",IF(J928&gt;0,"Partial","Pending")))</f>
        <v/>
      </c>
    </row>
    <row r="929">
      <c r="B929" s="12" t="n"/>
      <c r="F929" s="10" t="n"/>
      <c r="G929" s="10" t="n"/>
      <c r="H929" s="10" t="n"/>
      <c r="I929" s="10">
        <f>IF(OR(E929="",F929=""),"",E929*F929-N(G929)+N(H929))</f>
        <v/>
      </c>
      <c r="J929" s="10" t="n"/>
      <c r="K929" s="10">
        <f>IF(I929="","",I929-N(J929))</f>
        <v/>
      </c>
      <c r="L929">
        <f>IF(I929="","",IF(K929&lt;=0,"Paid",IF(J929&gt;0,"Partial","Pending")))</f>
        <v/>
      </c>
    </row>
    <row r="930">
      <c r="B930" s="12" t="n"/>
      <c r="F930" s="10" t="n"/>
      <c r="G930" s="10" t="n"/>
      <c r="H930" s="10" t="n"/>
      <c r="I930" s="10">
        <f>IF(OR(E930="",F930=""),"",E930*F930-N(G930)+N(H930))</f>
        <v/>
      </c>
      <c r="J930" s="10" t="n"/>
      <c r="K930" s="10">
        <f>IF(I930="","",I930-N(J930))</f>
        <v/>
      </c>
      <c r="L930">
        <f>IF(I930="","",IF(K930&lt;=0,"Paid",IF(J930&gt;0,"Partial","Pending")))</f>
        <v/>
      </c>
    </row>
    <row r="931">
      <c r="B931" s="12" t="n"/>
      <c r="F931" s="10" t="n"/>
      <c r="G931" s="10" t="n"/>
      <c r="H931" s="10" t="n"/>
      <c r="I931" s="10">
        <f>IF(OR(E931="",F931=""),"",E931*F931-N(G931)+N(H931))</f>
        <v/>
      </c>
      <c r="J931" s="10" t="n"/>
      <c r="K931" s="10">
        <f>IF(I931="","",I931-N(J931))</f>
        <v/>
      </c>
      <c r="L931">
        <f>IF(I931="","",IF(K931&lt;=0,"Paid",IF(J931&gt;0,"Partial","Pending")))</f>
        <v/>
      </c>
    </row>
    <row r="932">
      <c r="B932" s="12" t="n"/>
      <c r="F932" s="10" t="n"/>
      <c r="G932" s="10" t="n"/>
      <c r="H932" s="10" t="n"/>
      <c r="I932" s="10">
        <f>IF(OR(E932="",F932=""),"",E932*F932-N(G932)+N(H932))</f>
        <v/>
      </c>
      <c r="J932" s="10" t="n"/>
      <c r="K932" s="10">
        <f>IF(I932="","",I932-N(J932))</f>
        <v/>
      </c>
      <c r="L932">
        <f>IF(I932="","",IF(K932&lt;=0,"Paid",IF(J932&gt;0,"Partial","Pending")))</f>
        <v/>
      </c>
    </row>
    <row r="933">
      <c r="B933" s="12" t="n"/>
      <c r="F933" s="10" t="n"/>
      <c r="G933" s="10" t="n"/>
      <c r="H933" s="10" t="n"/>
      <c r="I933" s="10">
        <f>IF(OR(E933="",F933=""),"",E933*F933-N(G933)+N(H933))</f>
        <v/>
      </c>
      <c r="J933" s="10" t="n"/>
      <c r="K933" s="10">
        <f>IF(I933="","",I933-N(J933))</f>
        <v/>
      </c>
      <c r="L933">
        <f>IF(I933="","",IF(K933&lt;=0,"Paid",IF(J933&gt;0,"Partial","Pending")))</f>
        <v/>
      </c>
    </row>
    <row r="934">
      <c r="B934" s="12" t="n"/>
      <c r="F934" s="10" t="n"/>
      <c r="G934" s="10" t="n"/>
      <c r="H934" s="10" t="n"/>
      <c r="I934" s="10">
        <f>IF(OR(E934="",F934=""),"",E934*F934-N(G934)+N(H934))</f>
        <v/>
      </c>
      <c r="J934" s="10" t="n"/>
      <c r="K934" s="10">
        <f>IF(I934="","",I934-N(J934))</f>
        <v/>
      </c>
      <c r="L934">
        <f>IF(I934="","",IF(K934&lt;=0,"Paid",IF(J934&gt;0,"Partial","Pending")))</f>
        <v/>
      </c>
    </row>
    <row r="935">
      <c r="B935" s="12" t="n"/>
      <c r="F935" s="10" t="n"/>
      <c r="G935" s="10" t="n"/>
      <c r="H935" s="10" t="n"/>
      <c r="I935" s="10">
        <f>IF(OR(E935="",F935=""),"",E935*F935-N(G935)+N(H935))</f>
        <v/>
      </c>
      <c r="J935" s="10" t="n"/>
      <c r="K935" s="10">
        <f>IF(I935="","",I935-N(J935))</f>
        <v/>
      </c>
      <c r="L935">
        <f>IF(I935="","",IF(K935&lt;=0,"Paid",IF(J935&gt;0,"Partial","Pending")))</f>
        <v/>
      </c>
    </row>
    <row r="936">
      <c r="B936" s="12" t="n"/>
      <c r="F936" s="10" t="n"/>
      <c r="G936" s="10" t="n"/>
      <c r="H936" s="10" t="n"/>
      <c r="I936" s="10">
        <f>IF(OR(E936="",F936=""),"",E936*F936-N(G936)+N(H936))</f>
        <v/>
      </c>
      <c r="J936" s="10" t="n"/>
      <c r="K936" s="10">
        <f>IF(I936="","",I936-N(J936))</f>
        <v/>
      </c>
      <c r="L936">
        <f>IF(I936="","",IF(K936&lt;=0,"Paid",IF(J936&gt;0,"Partial","Pending")))</f>
        <v/>
      </c>
    </row>
    <row r="937">
      <c r="B937" s="12" t="n"/>
      <c r="F937" s="10" t="n"/>
      <c r="G937" s="10" t="n"/>
      <c r="H937" s="10" t="n"/>
      <c r="I937" s="10">
        <f>IF(OR(E937="",F937=""),"",E937*F937-N(G937)+N(H937))</f>
        <v/>
      </c>
      <c r="J937" s="10" t="n"/>
      <c r="K937" s="10">
        <f>IF(I937="","",I937-N(J937))</f>
        <v/>
      </c>
      <c r="L937">
        <f>IF(I937="","",IF(K937&lt;=0,"Paid",IF(J937&gt;0,"Partial","Pending")))</f>
        <v/>
      </c>
    </row>
    <row r="938">
      <c r="B938" s="12" t="n"/>
      <c r="F938" s="10" t="n"/>
      <c r="G938" s="10" t="n"/>
      <c r="H938" s="10" t="n"/>
      <c r="I938" s="10">
        <f>IF(OR(E938="",F938=""),"",E938*F938-N(G938)+N(H938))</f>
        <v/>
      </c>
      <c r="J938" s="10" t="n"/>
      <c r="K938" s="10">
        <f>IF(I938="","",I938-N(J938))</f>
        <v/>
      </c>
      <c r="L938">
        <f>IF(I938="","",IF(K938&lt;=0,"Paid",IF(J938&gt;0,"Partial","Pending")))</f>
        <v/>
      </c>
    </row>
    <row r="939">
      <c r="B939" s="12" t="n"/>
      <c r="F939" s="10" t="n"/>
      <c r="G939" s="10" t="n"/>
      <c r="H939" s="10" t="n"/>
      <c r="I939" s="10">
        <f>IF(OR(E939="",F939=""),"",E939*F939-N(G939)+N(H939))</f>
        <v/>
      </c>
      <c r="J939" s="10" t="n"/>
      <c r="K939" s="10">
        <f>IF(I939="","",I939-N(J939))</f>
        <v/>
      </c>
      <c r="L939">
        <f>IF(I939="","",IF(K939&lt;=0,"Paid",IF(J939&gt;0,"Partial","Pending")))</f>
        <v/>
      </c>
    </row>
    <row r="940">
      <c r="B940" s="12" t="n"/>
      <c r="F940" s="10" t="n"/>
      <c r="G940" s="10" t="n"/>
      <c r="H940" s="10" t="n"/>
      <c r="I940" s="10">
        <f>IF(OR(E940="",F940=""),"",E940*F940-N(G940)+N(H940))</f>
        <v/>
      </c>
      <c r="J940" s="10" t="n"/>
      <c r="K940" s="10">
        <f>IF(I940="","",I940-N(J940))</f>
        <v/>
      </c>
      <c r="L940">
        <f>IF(I940="","",IF(K940&lt;=0,"Paid",IF(J940&gt;0,"Partial","Pending")))</f>
        <v/>
      </c>
    </row>
    <row r="941">
      <c r="B941" s="12" t="n"/>
      <c r="F941" s="10" t="n"/>
      <c r="G941" s="10" t="n"/>
      <c r="H941" s="10" t="n"/>
      <c r="I941" s="10">
        <f>IF(OR(E941="",F941=""),"",E941*F941-N(G941)+N(H941))</f>
        <v/>
      </c>
      <c r="J941" s="10" t="n"/>
      <c r="K941" s="10">
        <f>IF(I941="","",I941-N(J941))</f>
        <v/>
      </c>
      <c r="L941">
        <f>IF(I941="","",IF(K941&lt;=0,"Paid",IF(J941&gt;0,"Partial","Pending")))</f>
        <v/>
      </c>
    </row>
    <row r="942">
      <c r="B942" s="12" t="n"/>
      <c r="F942" s="10" t="n"/>
      <c r="G942" s="10" t="n"/>
      <c r="H942" s="10" t="n"/>
      <c r="I942" s="10">
        <f>IF(OR(E942="",F942=""),"",E942*F942-N(G942)+N(H942))</f>
        <v/>
      </c>
      <c r="J942" s="10" t="n"/>
      <c r="K942" s="10">
        <f>IF(I942="","",I942-N(J942))</f>
        <v/>
      </c>
      <c r="L942">
        <f>IF(I942="","",IF(K942&lt;=0,"Paid",IF(J942&gt;0,"Partial","Pending")))</f>
        <v/>
      </c>
    </row>
    <row r="943">
      <c r="B943" s="12" t="n"/>
      <c r="F943" s="10" t="n"/>
      <c r="G943" s="10" t="n"/>
      <c r="H943" s="10" t="n"/>
      <c r="I943" s="10">
        <f>IF(OR(E943="",F943=""),"",E943*F943-N(G943)+N(H943))</f>
        <v/>
      </c>
      <c r="J943" s="10" t="n"/>
      <c r="K943" s="10">
        <f>IF(I943="","",I943-N(J943))</f>
        <v/>
      </c>
      <c r="L943">
        <f>IF(I943="","",IF(K943&lt;=0,"Paid",IF(J943&gt;0,"Partial","Pending")))</f>
        <v/>
      </c>
    </row>
    <row r="944">
      <c r="B944" s="12" t="n"/>
      <c r="F944" s="10" t="n"/>
      <c r="G944" s="10" t="n"/>
      <c r="H944" s="10" t="n"/>
      <c r="I944" s="10">
        <f>IF(OR(E944="",F944=""),"",E944*F944-N(G944)+N(H944))</f>
        <v/>
      </c>
      <c r="J944" s="10" t="n"/>
      <c r="K944" s="10">
        <f>IF(I944="","",I944-N(J944))</f>
        <v/>
      </c>
      <c r="L944">
        <f>IF(I944="","",IF(K944&lt;=0,"Paid",IF(J944&gt;0,"Partial","Pending")))</f>
        <v/>
      </c>
    </row>
    <row r="945">
      <c r="B945" s="12" t="n"/>
      <c r="F945" s="10" t="n"/>
      <c r="G945" s="10" t="n"/>
      <c r="H945" s="10" t="n"/>
      <c r="I945" s="10">
        <f>IF(OR(E945="",F945=""),"",E945*F945-N(G945)+N(H945))</f>
        <v/>
      </c>
      <c r="J945" s="10" t="n"/>
      <c r="K945" s="10">
        <f>IF(I945="","",I945-N(J945))</f>
        <v/>
      </c>
      <c r="L945">
        <f>IF(I945="","",IF(K945&lt;=0,"Paid",IF(J945&gt;0,"Partial","Pending")))</f>
        <v/>
      </c>
    </row>
    <row r="946">
      <c r="B946" s="12" t="n"/>
      <c r="F946" s="10" t="n"/>
      <c r="G946" s="10" t="n"/>
      <c r="H946" s="10" t="n"/>
      <c r="I946" s="10">
        <f>IF(OR(E946="",F946=""),"",E946*F946-N(G946)+N(H946))</f>
        <v/>
      </c>
      <c r="J946" s="10" t="n"/>
      <c r="K946" s="10">
        <f>IF(I946="","",I946-N(J946))</f>
        <v/>
      </c>
      <c r="L946">
        <f>IF(I946="","",IF(K946&lt;=0,"Paid",IF(J946&gt;0,"Partial","Pending")))</f>
        <v/>
      </c>
    </row>
    <row r="947">
      <c r="B947" s="12" t="n"/>
      <c r="F947" s="10" t="n"/>
      <c r="G947" s="10" t="n"/>
      <c r="H947" s="10" t="n"/>
      <c r="I947" s="10">
        <f>IF(OR(E947="",F947=""),"",E947*F947-N(G947)+N(H947))</f>
        <v/>
      </c>
      <c r="J947" s="10" t="n"/>
      <c r="K947" s="10">
        <f>IF(I947="","",I947-N(J947))</f>
        <v/>
      </c>
      <c r="L947">
        <f>IF(I947="","",IF(K947&lt;=0,"Paid",IF(J947&gt;0,"Partial","Pending")))</f>
        <v/>
      </c>
    </row>
    <row r="948">
      <c r="B948" s="12" t="n"/>
      <c r="F948" s="10" t="n"/>
      <c r="G948" s="10" t="n"/>
      <c r="H948" s="10" t="n"/>
      <c r="I948" s="10">
        <f>IF(OR(E948="",F948=""),"",E948*F948-N(G948)+N(H948))</f>
        <v/>
      </c>
      <c r="J948" s="10" t="n"/>
      <c r="K948" s="10">
        <f>IF(I948="","",I948-N(J948))</f>
        <v/>
      </c>
      <c r="L948">
        <f>IF(I948="","",IF(K948&lt;=0,"Paid",IF(J948&gt;0,"Partial","Pending")))</f>
        <v/>
      </c>
    </row>
    <row r="949">
      <c r="B949" s="12" t="n"/>
      <c r="F949" s="10" t="n"/>
      <c r="G949" s="10" t="n"/>
      <c r="H949" s="10" t="n"/>
      <c r="I949" s="10">
        <f>IF(OR(E949="",F949=""),"",E949*F949-N(G949)+N(H949))</f>
        <v/>
      </c>
      <c r="J949" s="10" t="n"/>
      <c r="K949" s="10">
        <f>IF(I949="","",I949-N(J949))</f>
        <v/>
      </c>
      <c r="L949">
        <f>IF(I949="","",IF(K949&lt;=0,"Paid",IF(J949&gt;0,"Partial","Pending")))</f>
        <v/>
      </c>
    </row>
    <row r="950">
      <c r="B950" s="12" t="n"/>
      <c r="F950" s="10" t="n"/>
      <c r="G950" s="10" t="n"/>
      <c r="H950" s="10" t="n"/>
      <c r="I950" s="10">
        <f>IF(OR(E950="",F950=""),"",E950*F950-N(G950)+N(H950))</f>
        <v/>
      </c>
      <c r="J950" s="10" t="n"/>
      <c r="K950" s="10">
        <f>IF(I950="","",I950-N(J950))</f>
        <v/>
      </c>
      <c r="L950">
        <f>IF(I950="","",IF(K950&lt;=0,"Paid",IF(J950&gt;0,"Partial","Pending")))</f>
        <v/>
      </c>
    </row>
    <row r="951">
      <c r="B951" s="12" t="n"/>
      <c r="F951" s="10" t="n"/>
      <c r="G951" s="10" t="n"/>
      <c r="H951" s="10" t="n"/>
      <c r="I951" s="10">
        <f>IF(OR(E951="",F951=""),"",E951*F951-N(G951)+N(H951))</f>
        <v/>
      </c>
      <c r="J951" s="10" t="n"/>
      <c r="K951" s="10">
        <f>IF(I951="","",I951-N(J951))</f>
        <v/>
      </c>
      <c r="L951">
        <f>IF(I951="","",IF(K951&lt;=0,"Paid",IF(J951&gt;0,"Partial","Pending")))</f>
        <v/>
      </c>
    </row>
    <row r="952">
      <c r="B952" s="12" t="n"/>
      <c r="F952" s="10" t="n"/>
      <c r="G952" s="10" t="n"/>
      <c r="H952" s="10" t="n"/>
      <c r="I952" s="10">
        <f>IF(OR(E952="",F952=""),"",E952*F952-N(G952)+N(H952))</f>
        <v/>
      </c>
      <c r="J952" s="10" t="n"/>
      <c r="K952" s="10">
        <f>IF(I952="","",I952-N(J952))</f>
        <v/>
      </c>
      <c r="L952">
        <f>IF(I952="","",IF(K952&lt;=0,"Paid",IF(J952&gt;0,"Partial","Pending")))</f>
        <v/>
      </c>
    </row>
    <row r="953">
      <c r="B953" s="12" t="n"/>
      <c r="F953" s="10" t="n"/>
      <c r="G953" s="10" t="n"/>
      <c r="H953" s="10" t="n"/>
      <c r="I953" s="10">
        <f>IF(OR(E953="",F953=""),"",E953*F953-N(G953)+N(H953))</f>
        <v/>
      </c>
      <c r="J953" s="10" t="n"/>
      <c r="K953" s="10">
        <f>IF(I953="","",I953-N(J953))</f>
        <v/>
      </c>
      <c r="L953">
        <f>IF(I953="","",IF(K953&lt;=0,"Paid",IF(J953&gt;0,"Partial","Pending")))</f>
        <v/>
      </c>
    </row>
    <row r="954">
      <c r="B954" s="12" t="n"/>
      <c r="F954" s="10" t="n"/>
      <c r="G954" s="10" t="n"/>
      <c r="H954" s="10" t="n"/>
      <c r="I954" s="10">
        <f>IF(OR(E954="",F954=""),"",E954*F954-N(G954)+N(H954))</f>
        <v/>
      </c>
      <c r="J954" s="10" t="n"/>
      <c r="K954" s="10">
        <f>IF(I954="","",I954-N(J954))</f>
        <v/>
      </c>
      <c r="L954">
        <f>IF(I954="","",IF(K954&lt;=0,"Paid",IF(J954&gt;0,"Partial","Pending")))</f>
        <v/>
      </c>
    </row>
    <row r="955">
      <c r="B955" s="12" t="n"/>
      <c r="F955" s="10" t="n"/>
      <c r="G955" s="10" t="n"/>
      <c r="H955" s="10" t="n"/>
      <c r="I955" s="10">
        <f>IF(OR(E955="",F955=""),"",E955*F955-N(G955)+N(H955))</f>
        <v/>
      </c>
      <c r="J955" s="10" t="n"/>
      <c r="K955" s="10">
        <f>IF(I955="","",I955-N(J955))</f>
        <v/>
      </c>
      <c r="L955">
        <f>IF(I955="","",IF(K955&lt;=0,"Paid",IF(J955&gt;0,"Partial","Pending")))</f>
        <v/>
      </c>
    </row>
    <row r="956">
      <c r="B956" s="12" t="n"/>
      <c r="F956" s="10" t="n"/>
      <c r="G956" s="10" t="n"/>
      <c r="H956" s="10" t="n"/>
      <c r="I956" s="10">
        <f>IF(OR(E956="",F956=""),"",E956*F956-N(G956)+N(H956))</f>
        <v/>
      </c>
      <c r="J956" s="10" t="n"/>
      <c r="K956" s="10">
        <f>IF(I956="","",I956-N(J956))</f>
        <v/>
      </c>
      <c r="L956">
        <f>IF(I956="","",IF(K956&lt;=0,"Paid",IF(J956&gt;0,"Partial","Pending")))</f>
        <v/>
      </c>
    </row>
    <row r="957">
      <c r="B957" s="12" t="n"/>
      <c r="F957" s="10" t="n"/>
      <c r="G957" s="10" t="n"/>
      <c r="H957" s="10" t="n"/>
      <c r="I957" s="10">
        <f>IF(OR(E957="",F957=""),"",E957*F957-N(G957)+N(H957))</f>
        <v/>
      </c>
      <c r="J957" s="10" t="n"/>
      <c r="K957" s="10">
        <f>IF(I957="","",I957-N(J957))</f>
        <v/>
      </c>
      <c r="L957">
        <f>IF(I957="","",IF(K957&lt;=0,"Paid",IF(J957&gt;0,"Partial","Pending")))</f>
        <v/>
      </c>
    </row>
    <row r="958">
      <c r="B958" s="12" t="n"/>
      <c r="F958" s="10" t="n"/>
      <c r="G958" s="10" t="n"/>
      <c r="H958" s="10" t="n"/>
      <c r="I958" s="10">
        <f>IF(OR(E958="",F958=""),"",E958*F958-N(G958)+N(H958))</f>
        <v/>
      </c>
      <c r="J958" s="10" t="n"/>
      <c r="K958" s="10">
        <f>IF(I958="","",I958-N(J958))</f>
        <v/>
      </c>
      <c r="L958">
        <f>IF(I958="","",IF(K958&lt;=0,"Paid",IF(J958&gt;0,"Partial","Pending")))</f>
        <v/>
      </c>
    </row>
    <row r="959">
      <c r="B959" s="12" t="n"/>
      <c r="F959" s="10" t="n"/>
      <c r="G959" s="10" t="n"/>
      <c r="H959" s="10" t="n"/>
      <c r="I959" s="10">
        <f>IF(OR(E959="",F959=""),"",E959*F959-N(G959)+N(H959))</f>
        <v/>
      </c>
      <c r="J959" s="10" t="n"/>
      <c r="K959" s="10">
        <f>IF(I959="","",I959-N(J959))</f>
        <v/>
      </c>
      <c r="L959">
        <f>IF(I959="","",IF(K959&lt;=0,"Paid",IF(J959&gt;0,"Partial","Pending")))</f>
        <v/>
      </c>
    </row>
    <row r="960">
      <c r="B960" s="12" t="n"/>
      <c r="F960" s="10" t="n"/>
      <c r="G960" s="10" t="n"/>
      <c r="H960" s="10" t="n"/>
      <c r="I960" s="10">
        <f>IF(OR(E960="",F960=""),"",E960*F960-N(G960)+N(H960))</f>
        <v/>
      </c>
      <c r="J960" s="10" t="n"/>
      <c r="K960" s="10">
        <f>IF(I960="","",I960-N(J960))</f>
        <v/>
      </c>
      <c r="L960">
        <f>IF(I960="","",IF(K960&lt;=0,"Paid",IF(J960&gt;0,"Partial","Pending")))</f>
        <v/>
      </c>
    </row>
    <row r="961">
      <c r="B961" s="12" t="n"/>
      <c r="F961" s="10" t="n"/>
      <c r="G961" s="10" t="n"/>
      <c r="H961" s="10" t="n"/>
      <c r="I961" s="10">
        <f>IF(OR(E961="",F961=""),"",E961*F961-N(G961)+N(H961))</f>
        <v/>
      </c>
      <c r="J961" s="10" t="n"/>
      <c r="K961" s="10">
        <f>IF(I961="","",I961-N(J961))</f>
        <v/>
      </c>
      <c r="L961">
        <f>IF(I961="","",IF(K961&lt;=0,"Paid",IF(J961&gt;0,"Partial","Pending")))</f>
        <v/>
      </c>
    </row>
    <row r="962">
      <c r="B962" s="12" t="n"/>
      <c r="F962" s="10" t="n"/>
      <c r="G962" s="10" t="n"/>
      <c r="H962" s="10" t="n"/>
      <c r="I962" s="10">
        <f>IF(OR(E962="",F962=""),"",E962*F962-N(G962)+N(H962))</f>
        <v/>
      </c>
      <c r="J962" s="10" t="n"/>
      <c r="K962" s="10">
        <f>IF(I962="","",I962-N(J962))</f>
        <v/>
      </c>
      <c r="L962">
        <f>IF(I962="","",IF(K962&lt;=0,"Paid",IF(J962&gt;0,"Partial","Pending")))</f>
        <v/>
      </c>
    </row>
    <row r="963">
      <c r="B963" s="12" t="n"/>
      <c r="F963" s="10" t="n"/>
      <c r="G963" s="10" t="n"/>
      <c r="H963" s="10" t="n"/>
      <c r="I963" s="10">
        <f>IF(OR(E963="",F963=""),"",E963*F963-N(G963)+N(H963))</f>
        <v/>
      </c>
      <c r="J963" s="10" t="n"/>
      <c r="K963" s="10">
        <f>IF(I963="","",I963-N(J963))</f>
        <v/>
      </c>
      <c r="L963">
        <f>IF(I963="","",IF(K963&lt;=0,"Paid",IF(J963&gt;0,"Partial","Pending")))</f>
        <v/>
      </c>
    </row>
    <row r="964">
      <c r="B964" s="12" t="n"/>
      <c r="F964" s="10" t="n"/>
      <c r="G964" s="10" t="n"/>
      <c r="H964" s="10" t="n"/>
      <c r="I964" s="10">
        <f>IF(OR(E964="",F964=""),"",E964*F964-N(G964)+N(H964))</f>
        <v/>
      </c>
      <c r="J964" s="10" t="n"/>
      <c r="K964" s="10">
        <f>IF(I964="","",I964-N(J964))</f>
        <v/>
      </c>
      <c r="L964">
        <f>IF(I964="","",IF(K964&lt;=0,"Paid",IF(J964&gt;0,"Partial","Pending")))</f>
        <v/>
      </c>
    </row>
    <row r="965">
      <c r="B965" s="12" t="n"/>
      <c r="F965" s="10" t="n"/>
      <c r="G965" s="10" t="n"/>
      <c r="H965" s="10" t="n"/>
      <c r="I965" s="10">
        <f>IF(OR(E965="",F965=""),"",E965*F965-N(G965)+N(H965))</f>
        <v/>
      </c>
      <c r="J965" s="10" t="n"/>
      <c r="K965" s="10">
        <f>IF(I965="","",I965-N(J965))</f>
        <v/>
      </c>
      <c r="L965">
        <f>IF(I965="","",IF(K965&lt;=0,"Paid",IF(J965&gt;0,"Partial","Pending")))</f>
        <v/>
      </c>
    </row>
    <row r="966">
      <c r="B966" s="12" t="n"/>
      <c r="F966" s="10" t="n"/>
      <c r="G966" s="10" t="n"/>
      <c r="H966" s="10" t="n"/>
      <c r="I966" s="10">
        <f>IF(OR(E966="",F966=""),"",E966*F966-N(G966)+N(H966))</f>
        <v/>
      </c>
      <c r="J966" s="10" t="n"/>
      <c r="K966" s="10">
        <f>IF(I966="","",I966-N(J966))</f>
        <v/>
      </c>
      <c r="L966">
        <f>IF(I966="","",IF(K966&lt;=0,"Paid",IF(J966&gt;0,"Partial","Pending")))</f>
        <v/>
      </c>
    </row>
    <row r="967">
      <c r="B967" s="12" t="n"/>
      <c r="F967" s="10" t="n"/>
      <c r="G967" s="10" t="n"/>
      <c r="H967" s="10" t="n"/>
      <c r="I967" s="10">
        <f>IF(OR(E967="",F967=""),"",E967*F967-N(G967)+N(H967))</f>
        <v/>
      </c>
      <c r="J967" s="10" t="n"/>
      <c r="K967" s="10">
        <f>IF(I967="","",I967-N(J967))</f>
        <v/>
      </c>
      <c r="L967">
        <f>IF(I967="","",IF(K967&lt;=0,"Paid",IF(J967&gt;0,"Partial","Pending")))</f>
        <v/>
      </c>
    </row>
    <row r="968">
      <c r="B968" s="12" t="n"/>
      <c r="F968" s="10" t="n"/>
      <c r="G968" s="10" t="n"/>
      <c r="H968" s="10" t="n"/>
      <c r="I968" s="10">
        <f>IF(OR(E968="",F968=""),"",E968*F968-N(G968)+N(H968))</f>
        <v/>
      </c>
      <c r="J968" s="10" t="n"/>
      <c r="K968" s="10">
        <f>IF(I968="","",I968-N(J968))</f>
        <v/>
      </c>
      <c r="L968">
        <f>IF(I968="","",IF(K968&lt;=0,"Paid",IF(J968&gt;0,"Partial","Pending")))</f>
        <v/>
      </c>
    </row>
    <row r="969">
      <c r="B969" s="12" t="n"/>
      <c r="F969" s="10" t="n"/>
      <c r="G969" s="10" t="n"/>
      <c r="H969" s="10" t="n"/>
      <c r="I969" s="10">
        <f>IF(OR(E969="",F969=""),"",E969*F969-N(G969)+N(H969))</f>
        <v/>
      </c>
      <c r="J969" s="10" t="n"/>
      <c r="K969" s="10">
        <f>IF(I969="","",I969-N(J969))</f>
        <v/>
      </c>
      <c r="L969">
        <f>IF(I969="","",IF(K969&lt;=0,"Paid",IF(J969&gt;0,"Partial","Pending")))</f>
        <v/>
      </c>
    </row>
    <row r="970">
      <c r="B970" s="12" t="n"/>
      <c r="F970" s="10" t="n"/>
      <c r="G970" s="10" t="n"/>
      <c r="H970" s="10" t="n"/>
      <c r="I970" s="10">
        <f>IF(OR(E970="",F970=""),"",E970*F970-N(G970)+N(H970))</f>
        <v/>
      </c>
      <c r="J970" s="10" t="n"/>
      <c r="K970" s="10">
        <f>IF(I970="","",I970-N(J970))</f>
        <v/>
      </c>
      <c r="L970">
        <f>IF(I970="","",IF(K970&lt;=0,"Paid",IF(J970&gt;0,"Partial","Pending")))</f>
        <v/>
      </c>
    </row>
    <row r="971">
      <c r="B971" s="12" t="n"/>
      <c r="F971" s="10" t="n"/>
      <c r="G971" s="10" t="n"/>
      <c r="H971" s="10" t="n"/>
      <c r="I971" s="10">
        <f>IF(OR(E971="",F971=""),"",E971*F971-N(G971)+N(H971))</f>
        <v/>
      </c>
      <c r="J971" s="10" t="n"/>
      <c r="K971" s="10">
        <f>IF(I971="","",I971-N(J971))</f>
        <v/>
      </c>
      <c r="L971">
        <f>IF(I971="","",IF(K971&lt;=0,"Paid",IF(J971&gt;0,"Partial","Pending")))</f>
        <v/>
      </c>
    </row>
    <row r="972">
      <c r="B972" s="12" t="n"/>
      <c r="F972" s="10" t="n"/>
      <c r="G972" s="10" t="n"/>
      <c r="H972" s="10" t="n"/>
      <c r="I972" s="10">
        <f>IF(OR(E972="",F972=""),"",E972*F972-N(G972)+N(H972))</f>
        <v/>
      </c>
      <c r="J972" s="10" t="n"/>
      <c r="K972" s="10">
        <f>IF(I972="","",I972-N(J972))</f>
        <v/>
      </c>
      <c r="L972">
        <f>IF(I972="","",IF(K972&lt;=0,"Paid",IF(J972&gt;0,"Partial","Pending")))</f>
        <v/>
      </c>
    </row>
    <row r="973">
      <c r="B973" s="12" t="n"/>
      <c r="F973" s="10" t="n"/>
      <c r="G973" s="10" t="n"/>
      <c r="H973" s="10" t="n"/>
      <c r="I973" s="10">
        <f>IF(OR(E973="",F973=""),"",E973*F973-N(G973)+N(H973))</f>
        <v/>
      </c>
      <c r="J973" s="10" t="n"/>
      <c r="K973" s="10">
        <f>IF(I973="","",I973-N(J973))</f>
        <v/>
      </c>
      <c r="L973">
        <f>IF(I973="","",IF(K973&lt;=0,"Paid",IF(J973&gt;0,"Partial","Pending")))</f>
        <v/>
      </c>
    </row>
    <row r="974">
      <c r="B974" s="12" t="n"/>
      <c r="F974" s="10" t="n"/>
      <c r="G974" s="10" t="n"/>
      <c r="H974" s="10" t="n"/>
      <c r="I974" s="10">
        <f>IF(OR(E974="",F974=""),"",E974*F974-N(G974)+N(H974))</f>
        <v/>
      </c>
      <c r="J974" s="10" t="n"/>
      <c r="K974" s="10">
        <f>IF(I974="","",I974-N(J974))</f>
        <v/>
      </c>
      <c r="L974">
        <f>IF(I974="","",IF(K974&lt;=0,"Paid",IF(J974&gt;0,"Partial","Pending")))</f>
        <v/>
      </c>
    </row>
    <row r="975">
      <c r="B975" s="12" t="n"/>
      <c r="F975" s="10" t="n"/>
      <c r="G975" s="10" t="n"/>
      <c r="H975" s="10" t="n"/>
      <c r="I975" s="10">
        <f>IF(OR(E975="",F975=""),"",E975*F975-N(G975)+N(H975))</f>
        <v/>
      </c>
      <c r="J975" s="10" t="n"/>
      <c r="K975" s="10">
        <f>IF(I975="","",I975-N(J975))</f>
        <v/>
      </c>
      <c r="L975">
        <f>IF(I975="","",IF(K975&lt;=0,"Paid",IF(J975&gt;0,"Partial","Pending")))</f>
        <v/>
      </c>
    </row>
    <row r="976">
      <c r="B976" s="12" t="n"/>
      <c r="F976" s="10" t="n"/>
      <c r="G976" s="10" t="n"/>
      <c r="H976" s="10" t="n"/>
      <c r="I976" s="10">
        <f>IF(OR(E976="",F976=""),"",E976*F976-N(G976)+N(H976))</f>
        <v/>
      </c>
      <c r="J976" s="10" t="n"/>
      <c r="K976" s="10">
        <f>IF(I976="","",I976-N(J976))</f>
        <v/>
      </c>
      <c r="L976">
        <f>IF(I976="","",IF(K976&lt;=0,"Paid",IF(J976&gt;0,"Partial","Pending")))</f>
        <v/>
      </c>
    </row>
    <row r="977">
      <c r="B977" s="12" t="n"/>
      <c r="F977" s="10" t="n"/>
      <c r="G977" s="10" t="n"/>
      <c r="H977" s="10" t="n"/>
      <c r="I977" s="10">
        <f>IF(OR(E977="",F977=""),"",E977*F977-N(G977)+N(H977))</f>
        <v/>
      </c>
      <c r="J977" s="10" t="n"/>
      <c r="K977" s="10">
        <f>IF(I977="","",I977-N(J977))</f>
        <v/>
      </c>
      <c r="L977">
        <f>IF(I977="","",IF(K977&lt;=0,"Paid",IF(J977&gt;0,"Partial","Pending")))</f>
        <v/>
      </c>
    </row>
    <row r="978">
      <c r="B978" s="12" t="n"/>
      <c r="F978" s="10" t="n"/>
      <c r="G978" s="10" t="n"/>
      <c r="H978" s="10" t="n"/>
      <c r="I978" s="10">
        <f>IF(OR(E978="",F978=""),"",E978*F978-N(G978)+N(H978))</f>
        <v/>
      </c>
      <c r="J978" s="10" t="n"/>
      <c r="K978" s="10">
        <f>IF(I978="","",I978-N(J978))</f>
        <v/>
      </c>
      <c r="L978">
        <f>IF(I978="","",IF(K978&lt;=0,"Paid",IF(J978&gt;0,"Partial","Pending")))</f>
        <v/>
      </c>
    </row>
    <row r="979">
      <c r="B979" s="12" t="n"/>
      <c r="F979" s="10" t="n"/>
      <c r="G979" s="10" t="n"/>
      <c r="H979" s="10" t="n"/>
      <c r="I979" s="10">
        <f>IF(OR(E979="",F979=""),"",E979*F979-N(G979)+N(H979))</f>
        <v/>
      </c>
      <c r="J979" s="10" t="n"/>
      <c r="K979" s="10">
        <f>IF(I979="","",I979-N(J979))</f>
        <v/>
      </c>
      <c r="L979">
        <f>IF(I979="","",IF(K979&lt;=0,"Paid",IF(J979&gt;0,"Partial","Pending")))</f>
        <v/>
      </c>
    </row>
    <row r="980">
      <c r="B980" s="12" t="n"/>
      <c r="F980" s="10" t="n"/>
      <c r="G980" s="10" t="n"/>
      <c r="H980" s="10" t="n"/>
      <c r="I980" s="10">
        <f>IF(OR(E980="",F980=""),"",E980*F980-N(G980)+N(H980))</f>
        <v/>
      </c>
      <c r="J980" s="10" t="n"/>
      <c r="K980" s="10">
        <f>IF(I980="","",I980-N(J980))</f>
        <v/>
      </c>
      <c r="L980">
        <f>IF(I980="","",IF(K980&lt;=0,"Paid",IF(J980&gt;0,"Partial","Pending")))</f>
        <v/>
      </c>
    </row>
    <row r="981">
      <c r="B981" s="12" t="n"/>
      <c r="F981" s="10" t="n"/>
      <c r="G981" s="10" t="n"/>
      <c r="H981" s="10" t="n"/>
      <c r="I981" s="10">
        <f>IF(OR(E981="",F981=""),"",E981*F981-N(G981)+N(H981))</f>
        <v/>
      </c>
      <c r="J981" s="10" t="n"/>
      <c r="K981" s="10">
        <f>IF(I981="","",I981-N(J981))</f>
        <v/>
      </c>
      <c r="L981">
        <f>IF(I981="","",IF(K981&lt;=0,"Paid",IF(J981&gt;0,"Partial","Pending")))</f>
        <v/>
      </c>
    </row>
    <row r="982">
      <c r="B982" s="12" t="n"/>
      <c r="F982" s="10" t="n"/>
      <c r="G982" s="10" t="n"/>
      <c r="H982" s="10" t="n"/>
      <c r="I982" s="10">
        <f>IF(OR(E982="",F982=""),"",E982*F982-N(G982)+N(H982))</f>
        <v/>
      </c>
      <c r="J982" s="10" t="n"/>
      <c r="K982" s="10">
        <f>IF(I982="","",I982-N(J982))</f>
        <v/>
      </c>
      <c r="L982">
        <f>IF(I982="","",IF(K982&lt;=0,"Paid",IF(J982&gt;0,"Partial","Pending")))</f>
        <v/>
      </c>
    </row>
    <row r="983">
      <c r="B983" s="12" t="n"/>
      <c r="F983" s="10" t="n"/>
      <c r="G983" s="10" t="n"/>
      <c r="H983" s="10" t="n"/>
      <c r="I983" s="10">
        <f>IF(OR(E983="",F983=""),"",E983*F983-N(G983)+N(H983))</f>
        <v/>
      </c>
      <c r="J983" s="10" t="n"/>
      <c r="K983" s="10">
        <f>IF(I983="","",I983-N(J983))</f>
        <v/>
      </c>
      <c r="L983">
        <f>IF(I983="","",IF(K983&lt;=0,"Paid",IF(J983&gt;0,"Partial","Pending")))</f>
        <v/>
      </c>
    </row>
    <row r="984">
      <c r="B984" s="12" t="n"/>
      <c r="F984" s="10" t="n"/>
      <c r="G984" s="10" t="n"/>
      <c r="H984" s="10" t="n"/>
      <c r="I984" s="10">
        <f>IF(OR(E984="",F984=""),"",E984*F984-N(G984)+N(H984))</f>
        <v/>
      </c>
      <c r="J984" s="10" t="n"/>
      <c r="K984" s="10">
        <f>IF(I984="","",I984-N(J984))</f>
        <v/>
      </c>
      <c r="L984">
        <f>IF(I984="","",IF(K984&lt;=0,"Paid",IF(J984&gt;0,"Partial","Pending")))</f>
        <v/>
      </c>
    </row>
    <row r="985">
      <c r="B985" s="12" t="n"/>
      <c r="F985" s="10" t="n"/>
      <c r="G985" s="10" t="n"/>
      <c r="H985" s="10" t="n"/>
      <c r="I985" s="10">
        <f>IF(OR(E985="",F985=""),"",E985*F985-N(G985)+N(H985))</f>
        <v/>
      </c>
      <c r="J985" s="10" t="n"/>
      <c r="K985" s="10">
        <f>IF(I985="","",I985-N(J985))</f>
        <v/>
      </c>
      <c r="L985">
        <f>IF(I985="","",IF(K985&lt;=0,"Paid",IF(J985&gt;0,"Partial","Pending")))</f>
        <v/>
      </c>
    </row>
    <row r="986">
      <c r="B986" s="12" t="n"/>
      <c r="F986" s="10" t="n"/>
      <c r="G986" s="10" t="n"/>
      <c r="H986" s="10" t="n"/>
      <c r="I986" s="10">
        <f>IF(OR(E986="",F986=""),"",E986*F986-N(G986)+N(H986))</f>
        <v/>
      </c>
      <c r="J986" s="10" t="n"/>
      <c r="K986" s="10">
        <f>IF(I986="","",I986-N(J986))</f>
        <v/>
      </c>
      <c r="L986">
        <f>IF(I986="","",IF(K986&lt;=0,"Paid",IF(J986&gt;0,"Partial","Pending")))</f>
        <v/>
      </c>
    </row>
    <row r="987">
      <c r="B987" s="12" t="n"/>
      <c r="F987" s="10" t="n"/>
      <c r="G987" s="10" t="n"/>
      <c r="H987" s="10" t="n"/>
      <c r="I987" s="10">
        <f>IF(OR(E987="",F987=""),"",E987*F987-N(G987)+N(H987))</f>
        <v/>
      </c>
      <c r="J987" s="10" t="n"/>
      <c r="K987" s="10">
        <f>IF(I987="","",I987-N(J987))</f>
        <v/>
      </c>
      <c r="L987">
        <f>IF(I987="","",IF(K987&lt;=0,"Paid",IF(J987&gt;0,"Partial","Pending")))</f>
        <v/>
      </c>
    </row>
    <row r="988">
      <c r="B988" s="12" t="n"/>
      <c r="F988" s="10" t="n"/>
      <c r="G988" s="10" t="n"/>
      <c r="H988" s="10" t="n"/>
      <c r="I988" s="10">
        <f>IF(OR(E988="",F988=""),"",E988*F988-N(G988)+N(H988))</f>
        <v/>
      </c>
      <c r="J988" s="10" t="n"/>
      <c r="K988" s="10">
        <f>IF(I988="","",I988-N(J988))</f>
        <v/>
      </c>
      <c r="L988">
        <f>IF(I988="","",IF(K988&lt;=0,"Paid",IF(J988&gt;0,"Partial","Pending")))</f>
        <v/>
      </c>
    </row>
    <row r="989">
      <c r="B989" s="12" t="n"/>
      <c r="F989" s="10" t="n"/>
      <c r="G989" s="10" t="n"/>
      <c r="H989" s="10" t="n"/>
      <c r="I989" s="10">
        <f>IF(OR(E989="",F989=""),"",E989*F989-N(G989)+N(H989))</f>
        <v/>
      </c>
      <c r="J989" s="10" t="n"/>
      <c r="K989" s="10">
        <f>IF(I989="","",I989-N(J989))</f>
        <v/>
      </c>
      <c r="L989">
        <f>IF(I989="","",IF(K989&lt;=0,"Paid",IF(J989&gt;0,"Partial","Pending")))</f>
        <v/>
      </c>
    </row>
    <row r="990">
      <c r="B990" s="12" t="n"/>
      <c r="F990" s="10" t="n"/>
      <c r="G990" s="10" t="n"/>
      <c r="H990" s="10" t="n"/>
      <c r="I990" s="10">
        <f>IF(OR(E990="",F990=""),"",E990*F990-N(G990)+N(H990))</f>
        <v/>
      </c>
      <c r="J990" s="10" t="n"/>
      <c r="K990" s="10">
        <f>IF(I990="","",I990-N(J990))</f>
        <v/>
      </c>
      <c r="L990">
        <f>IF(I990="","",IF(K990&lt;=0,"Paid",IF(J990&gt;0,"Partial","Pending")))</f>
        <v/>
      </c>
    </row>
    <row r="991">
      <c r="B991" s="12" t="n"/>
      <c r="F991" s="10" t="n"/>
      <c r="G991" s="10" t="n"/>
      <c r="H991" s="10" t="n"/>
      <c r="I991" s="10">
        <f>IF(OR(E991="",F991=""),"",E991*F991-N(G991)+N(H991))</f>
        <v/>
      </c>
      <c r="J991" s="10" t="n"/>
      <c r="K991" s="10">
        <f>IF(I991="","",I991-N(J991))</f>
        <v/>
      </c>
      <c r="L991">
        <f>IF(I991="","",IF(K991&lt;=0,"Paid",IF(J991&gt;0,"Partial","Pending")))</f>
        <v/>
      </c>
    </row>
    <row r="992">
      <c r="B992" s="12" t="n"/>
      <c r="F992" s="10" t="n"/>
      <c r="G992" s="10" t="n"/>
      <c r="H992" s="10" t="n"/>
      <c r="I992" s="10">
        <f>IF(OR(E992="",F992=""),"",E992*F992-N(G992)+N(H992))</f>
        <v/>
      </c>
      <c r="J992" s="10" t="n"/>
      <c r="K992" s="10">
        <f>IF(I992="","",I992-N(J992))</f>
        <v/>
      </c>
      <c r="L992">
        <f>IF(I992="","",IF(K992&lt;=0,"Paid",IF(J992&gt;0,"Partial","Pending")))</f>
        <v/>
      </c>
    </row>
    <row r="993">
      <c r="B993" s="12" t="n"/>
      <c r="F993" s="10" t="n"/>
      <c r="G993" s="10" t="n"/>
      <c r="H993" s="10" t="n"/>
      <c r="I993" s="10">
        <f>IF(OR(E993="",F993=""),"",E993*F993-N(G993)+N(H993))</f>
        <v/>
      </c>
      <c r="J993" s="10" t="n"/>
      <c r="K993" s="10">
        <f>IF(I993="","",I993-N(J993))</f>
        <v/>
      </c>
      <c r="L993">
        <f>IF(I993="","",IF(K993&lt;=0,"Paid",IF(J993&gt;0,"Partial","Pending")))</f>
        <v/>
      </c>
    </row>
    <row r="994">
      <c r="B994" s="12" t="n"/>
      <c r="F994" s="10" t="n"/>
      <c r="G994" s="10" t="n"/>
      <c r="H994" s="10" t="n"/>
      <c r="I994" s="10">
        <f>IF(OR(E994="",F994=""),"",E994*F994-N(G994)+N(H994))</f>
        <v/>
      </c>
      <c r="J994" s="10" t="n"/>
      <c r="K994" s="10">
        <f>IF(I994="","",I994-N(J994))</f>
        <v/>
      </c>
      <c r="L994">
        <f>IF(I994="","",IF(K994&lt;=0,"Paid",IF(J994&gt;0,"Partial","Pending")))</f>
        <v/>
      </c>
    </row>
    <row r="995">
      <c r="B995" s="12" t="n"/>
      <c r="F995" s="10" t="n"/>
      <c r="G995" s="10" t="n"/>
      <c r="H995" s="10" t="n"/>
      <c r="I995" s="10">
        <f>IF(OR(E995="",F995=""),"",E995*F995-N(G995)+N(H995))</f>
        <v/>
      </c>
      <c r="J995" s="10" t="n"/>
      <c r="K995" s="10">
        <f>IF(I995="","",I995-N(J995))</f>
        <v/>
      </c>
      <c r="L995">
        <f>IF(I995="","",IF(K995&lt;=0,"Paid",IF(J995&gt;0,"Partial","Pending")))</f>
        <v/>
      </c>
    </row>
    <row r="996">
      <c r="B996" s="12" t="n"/>
      <c r="F996" s="10" t="n"/>
      <c r="G996" s="10" t="n"/>
      <c r="H996" s="10" t="n"/>
      <c r="I996" s="10">
        <f>IF(OR(E996="",F996=""),"",E996*F996-N(G996)+N(H996))</f>
        <v/>
      </c>
      <c r="J996" s="10" t="n"/>
      <c r="K996" s="10">
        <f>IF(I996="","",I996-N(J996))</f>
        <v/>
      </c>
      <c r="L996">
        <f>IF(I996="","",IF(K996&lt;=0,"Paid",IF(J996&gt;0,"Partial","Pending")))</f>
        <v/>
      </c>
    </row>
    <row r="997">
      <c r="B997" s="12" t="n"/>
      <c r="F997" s="10" t="n"/>
      <c r="G997" s="10" t="n"/>
      <c r="H997" s="10" t="n"/>
      <c r="I997" s="10">
        <f>IF(OR(E997="",F997=""),"",E997*F997-N(G997)+N(H997))</f>
        <v/>
      </c>
      <c r="J997" s="10" t="n"/>
      <c r="K997" s="10">
        <f>IF(I997="","",I997-N(J997))</f>
        <v/>
      </c>
      <c r="L997">
        <f>IF(I997="","",IF(K997&lt;=0,"Paid",IF(J997&gt;0,"Partial","Pending")))</f>
        <v/>
      </c>
    </row>
    <row r="998">
      <c r="B998" s="12" t="n"/>
      <c r="F998" s="10" t="n"/>
      <c r="G998" s="10" t="n"/>
      <c r="H998" s="10" t="n"/>
      <c r="I998" s="10">
        <f>IF(OR(E998="",F998=""),"",E998*F998-N(G998)+N(H998))</f>
        <v/>
      </c>
      <c r="J998" s="10" t="n"/>
      <c r="K998" s="10">
        <f>IF(I998="","",I998-N(J998))</f>
        <v/>
      </c>
      <c r="L998">
        <f>IF(I998="","",IF(K998&lt;=0,"Paid",IF(J998&gt;0,"Partial","Pending")))</f>
        <v/>
      </c>
    </row>
    <row r="999">
      <c r="B999" s="12" t="n"/>
      <c r="F999" s="10" t="n"/>
      <c r="G999" s="10" t="n"/>
      <c r="H999" s="10" t="n"/>
      <c r="I999" s="10">
        <f>IF(OR(E999="",F999=""),"",E999*F999-N(G999)+N(H999))</f>
        <v/>
      </c>
      <c r="J999" s="10" t="n"/>
      <c r="K999" s="10">
        <f>IF(I999="","",I999-N(J999))</f>
        <v/>
      </c>
      <c r="L999">
        <f>IF(I999="","",IF(K999&lt;=0,"Paid",IF(J999&gt;0,"Partial","Pending")))</f>
        <v/>
      </c>
    </row>
    <row r="1000">
      <c r="B1000" s="12" t="n"/>
      <c r="F1000" s="10" t="n"/>
      <c r="G1000" s="10" t="n"/>
      <c r="H1000" s="10" t="n"/>
      <c r="I1000" s="10">
        <f>IF(OR(E1000="",F1000=""),"",E1000*F1000-N(G1000)+N(H1000))</f>
        <v/>
      </c>
      <c r="J1000" s="10" t="n"/>
      <c r="K1000" s="10">
        <f>IF(I1000="","",I1000-N(J1000))</f>
        <v/>
      </c>
      <c r="L1000">
        <f>IF(I1000="","",IF(K1000&lt;=0,"Paid",IF(J1000&gt;0,"Partial","Pending")))</f>
        <v/>
      </c>
    </row>
  </sheetData>
  <conditionalFormatting sqref="K2:K1000">
    <cfRule type="cellIs" priority="1" operator="greaterThan" dxfId="1">
      <formula>0</formula>
    </cfRule>
  </conditionalFormatting>
  <dataValidations count="1">
    <dataValidation sqref="L2:L1000" showDropDown="0" showInputMessage="0" showErrorMessage="0" allowBlank="1" type="list">
      <formula1>"Paid,Pending,Partial"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18" customWidth="1" min="11" max="11"/>
  </cols>
  <sheetData>
    <row r="1">
      <c r="A1" s="11" t="inlineStr">
        <is>
          <t>PurchaseID</t>
        </is>
      </c>
      <c r="B1" s="11" t="inlineStr">
        <is>
          <t>Date</t>
        </is>
      </c>
      <c r="C1" s="11" t="inlineStr">
        <is>
          <t>SupplierID</t>
        </is>
      </c>
      <c r="D1" s="11" t="inlineStr">
        <is>
          <t>ProductID</t>
        </is>
      </c>
      <c r="E1" s="11" t="inlineStr">
        <is>
          <t>Quantity</t>
        </is>
      </c>
      <c r="F1" s="11" t="inlineStr">
        <is>
          <t>Rate</t>
        </is>
      </c>
      <c r="G1" s="11" t="inlineStr">
        <is>
          <t>Tax</t>
        </is>
      </c>
      <c r="H1" s="11" t="inlineStr">
        <is>
          <t>NetAmount</t>
        </is>
      </c>
      <c r="I1" s="11" t="inlineStr">
        <is>
          <t>PaymentMade</t>
        </is>
      </c>
      <c r="J1" s="11" t="inlineStr">
        <is>
          <t>Balance</t>
        </is>
      </c>
      <c r="K1" s="11" t="inlineStr">
        <is>
          <t>PaymentStatus</t>
        </is>
      </c>
    </row>
    <row r="2">
      <c r="A2" t="inlineStr">
        <is>
          <t>PUR001</t>
        </is>
      </c>
      <c r="B2" s="12" t="inlineStr">
        <is>
          <t>15-08-2026</t>
        </is>
      </c>
      <c r="C2" t="inlineStr">
        <is>
          <t>SUP001</t>
        </is>
      </c>
      <c r="D2" t="inlineStr">
        <is>
          <t>P001</t>
        </is>
      </c>
      <c r="E2" t="n">
        <v>10</v>
      </c>
      <c r="F2" s="10" t="n">
        <v>100</v>
      </c>
      <c r="G2" s="10" t="n">
        <v>0</v>
      </c>
      <c r="H2" s="10">
        <f>IF(OR(E2="",F2=""),"",E2*F2+N(G2))</f>
        <v/>
      </c>
      <c r="I2" s="10" t="n">
        <v>1000</v>
      </c>
      <c r="J2" s="10">
        <f>IF(H2="","",H2-N(I2))</f>
        <v/>
      </c>
      <c r="K2">
        <f>IF(H2="","",IF(J2&lt;=0,"Paid",IF(I2&gt;0,"Partial","Pending")))</f>
        <v/>
      </c>
    </row>
    <row r="3">
      <c r="B3" s="12" t="n"/>
      <c r="F3" s="10" t="n"/>
      <c r="G3" s="10" t="n"/>
      <c r="H3" s="10">
        <f>IF(OR(E3="",F3=""),"",E3*F3+N(G3))</f>
        <v/>
      </c>
      <c r="I3" s="10" t="n"/>
      <c r="J3" s="10">
        <f>IF(H3="","",H3-N(I3))</f>
        <v/>
      </c>
      <c r="K3">
        <f>IF(H3="","",IF(J3&lt;=0,"Paid",IF(I3&gt;0,"Partial","Pending")))</f>
        <v/>
      </c>
    </row>
    <row r="4">
      <c r="B4" s="12" t="n"/>
      <c r="F4" s="10" t="n"/>
      <c r="G4" s="10" t="n"/>
      <c r="H4" s="10">
        <f>IF(OR(E4="",F4=""),"",E4*F4+N(G4))</f>
        <v/>
      </c>
      <c r="I4" s="10" t="n"/>
      <c r="J4" s="10">
        <f>IF(H4="","",H4-N(I4))</f>
        <v/>
      </c>
      <c r="K4">
        <f>IF(H4="","",IF(J4&lt;=0,"Paid",IF(I4&gt;0,"Partial","Pending")))</f>
        <v/>
      </c>
    </row>
    <row r="5">
      <c r="B5" s="12" t="n"/>
      <c r="F5" s="10" t="n"/>
      <c r="G5" s="10" t="n"/>
      <c r="H5" s="10">
        <f>IF(OR(E5="",F5=""),"",E5*F5+N(G5))</f>
        <v/>
      </c>
      <c r="I5" s="10" t="n"/>
      <c r="J5" s="10">
        <f>IF(H5="","",H5-N(I5))</f>
        <v/>
      </c>
      <c r="K5">
        <f>IF(H5="","",IF(J5&lt;=0,"Paid",IF(I5&gt;0,"Partial","Pending")))</f>
        <v/>
      </c>
    </row>
    <row r="6">
      <c r="B6" s="12" t="n"/>
      <c r="F6" s="10" t="n"/>
      <c r="G6" s="10" t="n"/>
      <c r="H6" s="10">
        <f>IF(OR(E6="",F6=""),"",E6*F6+N(G6))</f>
        <v/>
      </c>
      <c r="I6" s="10" t="n"/>
      <c r="J6" s="10">
        <f>IF(H6="","",H6-N(I6))</f>
        <v/>
      </c>
      <c r="K6">
        <f>IF(H6="","",IF(J6&lt;=0,"Paid",IF(I6&gt;0,"Partial","Pending")))</f>
        <v/>
      </c>
    </row>
    <row r="7">
      <c r="B7" s="12" t="n"/>
      <c r="F7" s="10" t="n"/>
      <c r="G7" s="10" t="n"/>
      <c r="H7" s="10">
        <f>IF(OR(E7="",F7=""),"",E7*F7+N(G7))</f>
        <v/>
      </c>
      <c r="I7" s="10" t="n"/>
      <c r="J7" s="10">
        <f>IF(H7="","",H7-N(I7))</f>
        <v/>
      </c>
      <c r="K7">
        <f>IF(H7="","",IF(J7&lt;=0,"Paid",IF(I7&gt;0,"Partial","Pending")))</f>
        <v/>
      </c>
    </row>
    <row r="8">
      <c r="B8" s="12" t="n"/>
      <c r="F8" s="10" t="n"/>
      <c r="G8" s="10" t="n"/>
      <c r="H8" s="10">
        <f>IF(OR(E8="",F8=""),"",E8*F8+N(G8))</f>
        <v/>
      </c>
      <c r="I8" s="10" t="n"/>
      <c r="J8" s="10">
        <f>IF(H8="","",H8-N(I8))</f>
        <v/>
      </c>
      <c r="K8">
        <f>IF(H8="","",IF(J8&lt;=0,"Paid",IF(I8&gt;0,"Partial","Pending")))</f>
        <v/>
      </c>
    </row>
    <row r="9">
      <c r="B9" s="12" t="n"/>
      <c r="F9" s="10" t="n"/>
      <c r="G9" s="10" t="n"/>
      <c r="H9" s="10">
        <f>IF(OR(E9="",F9=""),"",E9*F9+N(G9))</f>
        <v/>
      </c>
      <c r="I9" s="10" t="n"/>
      <c r="J9" s="10">
        <f>IF(H9="","",H9-N(I9))</f>
        <v/>
      </c>
      <c r="K9">
        <f>IF(H9="","",IF(J9&lt;=0,"Paid",IF(I9&gt;0,"Partial","Pending")))</f>
        <v/>
      </c>
    </row>
    <row r="10">
      <c r="B10" s="12" t="n"/>
      <c r="F10" s="10" t="n"/>
      <c r="G10" s="10" t="n"/>
      <c r="H10" s="10">
        <f>IF(OR(E10="",F10=""),"",E10*F10+N(G10))</f>
        <v/>
      </c>
      <c r="I10" s="10" t="n"/>
      <c r="J10" s="10">
        <f>IF(H10="","",H10-N(I10))</f>
        <v/>
      </c>
      <c r="K10">
        <f>IF(H10="","",IF(J10&lt;=0,"Paid",IF(I10&gt;0,"Partial","Pending")))</f>
        <v/>
      </c>
    </row>
    <row r="11">
      <c r="B11" s="12" t="n"/>
      <c r="F11" s="10" t="n"/>
      <c r="G11" s="10" t="n"/>
      <c r="H11" s="10">
        <f>IF(OR(E11="",F11=""),"",E11*F11+N(G11))</f>
        <v/>
      </c>
      <c r="I11" s="10" t="n"/>
      <c r="J11" s="10">
        <f>IF(H11="","",H11-N(I11))</f>
        <v/>
      </c>
      <c r="K11">
        <f>IF(H11="","",IF(J11&lt;=0,"Paid",IF(I11&gt;0,"Partial","Pending")))</f>
        <v/>
      </c>
    </row>
    <row r="12">
      <c r="B12" s="12" t="n"/>
      <c r="F12" s="10" t="n"/>
      <c r="G12" s="10" t="n"/>
      <c r="H12" s="10">
        <f>IF(OR(E12="",F12=""),"",E12*F12+N(G12))</f>
        <v/>
      </c>
      <c r="I12" s="10" t="n"/>
      <c r="J12" s="10">
        <f>IF(H12="","",H12-N(I12))</f>
        <v/>
      </c>
      <c r="K12">
        <f>IF(H12="","",IF(J12&lt;=0,"Paid",IF(I12&gt;0,"Partial","Pending")))</f>
        <v/>
      </c>
    </row>
    <row r="13">
      <c r="B13" s="12" t="n"/>
      <c r="F13" s="10" t="n"/>
      <c r="G13" s="10" t="n"/>
      <c r="H13" s="10">
        <f>IF(OR(E13="",F13=""),"",E13*F13+N(G13))</f>
        <v/>
      </c>
      <c r="I13" s="10" t="n"/>
      <c r="J13" s="10">
        <f>IF(H13="","",H13-N(I13))</f>
        <v/>
      </c>
      <c r="K13">
        <f>IF(H13="","",IF(J13&lt;=0,"Paid",IF(I13&gt;0,"Partial","Pending")))</f>
        <v/>
      </c>
    </row>
    <row r="14">
      <c r="B14" s="12" t="n"/>
      <c r="F14" s="10" t="n"/>
      <c r="G14" s="10" t="n"/>
      <c r="H14" s="10">
        <f>IF(OR(E14="",F14=""),"",E14*F14+N(G14))</f>
        <v/>
      </c>
      <c r="I14" s="10" t="n"/>
      <c r="J14" s="10">
        <f>IF(H14="","",H14-N(I14))</f>
        <v/>
      </c>
      <c r="K14">
        <f>IF(H14="","",IF(J14&lt;=0,"Paid",IF(I14&gt;0,"Partial","Pending")))</f>
        <v/>
      </c>
    </row>
    <row r="15">
      <c r="B15" s="12" t="n"/>
      <c r="F15" s="10" t="n"/>
      <c r="G15" s="10" t="n"/>
      <c r="H15" s="10">
        <f>IF(OR(E15="",F15=""),"",E15*F15+N(G15))</f>
        <v/>
      </c>
      <c r="I15" s="10" t="n"/>
      <c r="J15" s="10">
        <f>IF(H15="","",H15-N(I15))</f>
        <v/>
      </c>
      <c r="K15">
        <f>IF(H15="","",IF(J15&lt;=0,"Paid",IF(I15&gt;0,"Partial","Pending")))</f>
        <v/>
      </c>
    </row>
    <row r="16">
      <c r="B16" s="12" t="n"/>
      <c r="F16" s="10" t="n"/>
      <c r="G16" s="10" t="n"/>
      <c r="H16" s="10">
        <f>IF(OR(E16="",F16=""),"",E16*F16+N(G16))</f>
        <v/>
      </c>
      <c r="I16" s="10" t="n"/>
      <c r="J16" s="10">
        <f>IF(H16="","",H16-N(I16))</f>
        <v/>
      </c>
      <c r="K16">
        <f>IF(H16="","",IF(J16&lt;=0,"Paid",IF(I16&gt;0,"Partial","Pending")))</f>
        <v/>
      </c>
    </row>
    <row r="17">
      <c r="B17" s="12" t="n"/>
      <c r="F17" s="10" t="n"/>
      <c r="G17" s="10" t="n"/>
      <c r="H17" s="10">
        <f>IF(OR(E17="",F17=""),"",E17*F17+N(G17))</f>
        <v/>
      </c>
      <c r="I17" s="10" t="n"/>
      <c r="J17" s="10">
        <f>IF(H17="","",H17-N(I17))</f>
        <v/>
      </c>
      <c r="K17">
        <f>IF(H17="","",IF(J17&lt;=0,"Paid",IF(I17&gt;0,"Partial","Pending")))</f>
        <v/>
      </c>
    </row>
    <row r="18">
      <c r="B18" s="12" t="n"/>
      <c r="F18" s="10" t="n"/>
      <c r="G18" s="10" t="n"/>
      <c r="H18" s="10">
        <f>IF(OR(E18="",F18=""),"",E18*F18+N(G18))</f>
        <v/>
      </c>
      <c r="I18" s="10" t="n"/>
      <c r="J18" s="10">
        <f>IF(H18="","",H18-N(I18))</f>
        <v/>
      </c>
      <c r="K18">
        <f>IF(H18="","",IF(J18&lt;=0,"Paid",IF(I18&gt;0,"Partial","Pending")))</f>
        <v/>
      </c>
    </row>
    <row r="19">
      <c r="B19" s="12" t="n"/>
      <c r="F19" s="10" t="n"/>
      <c r="G19" s="10" t="n"/>
      <c r="H19" s="10">
        <f>IF(OR(E19="",F19=""),"",E19*F19+N(G19))</f>
        <v/>
      </c>
      <c r="I19" s="10" t="n"/>
      <c r="J19" s="10">
        <f>IF(H19="","",H19-N(I19))</f>
        <v/>
      </c>
      <c r="K19">
        <f>IF(H19="","",IF(J19&lt;=0,"Paid",IF(I19&gt;0,"Partial","Pending")))</f>
        <v/>
      </c>
    </row>
    <row r="20">
      <c r="B20" s="12" t="n"/>
      <c r="F20" s="10" t="n"/>
      <c r="G20" s="10" t="n"/>
      <c r="H20" s="10">
        <f>IF(OR(E20="",F20=""),"",E20*F20+N(G20))</f>
        <v/>
      </c>
      <c r="I20" s="10" t="n"/>
      <c r="J20" s="10">
        <f>IF(H20="","",H20-N(I20))</f>
        <v/>
      </c>
      <c r="K20">
        <f>IF(H20="","",IF(J20&lt;=0,"Paid",IF(I20&gt;0,"Partial","Pending")))</f>
        <v/>
      </c>
    </row>
    <row r="21">
      <c r="B21" s="12" t="n"/>
      <c r="F21" s="10" t="n"/>
      <c r="G21" s="10" t="n"/>
      <c r="H21" s="10">
        <f>IF(OR(E21="",F21=""),"",E21*F21+N(G21))</f>
        <v/>
      </c>
      <c r="I21" s="10" t="n"/>
      <c r="J21" s="10">
        <f>IF(H21="","",H21-N(I21))</f>
        <v/>
      </c>
      <c r="K21">
        <f>IF(H21="","",IF(J21&lt;=0,"Paid",IF(I21&gt;0,"Partial","Pending")))</f>
        <v/>
      </c>
    </row>
    <row r="22">
      <c r="B22" s="12" t="n"/>
      <c r="F22" s="10" t="n"/>
      <c r="G22" s="10" t="n"/>
      <c r="H22" s="10">
        <f>IF(OR(E22="",F22=""),"",E22*F22+N(G22))</f>
        <v/>
      </c>
      <c r="I22" s="10" t="n"/>
      <c r="J22" s="10">
        <f>IF(H22="","",H22-N(I22))</f>
        <v/>
      </c>
      <c r="K22">
        <f>IF(H22="","",IF(J22&lt;=0,"Paid",IF(I22&gt;0,"Partial","Pending")))</f>
        <v/>
      </c>
    </row>
    <row r="23">
      <c r="B23" s="12" t="n"/>
      <c r="F23" s="10" t="n"/>
      <c r="G23" s="10" t="n"/>
      <c r="H23" s="10">
        <f>IF(OR(E23="",F23=""),"",E23*F23+N(G23))</f>
        <v/>
      </c>
      <c r="I23" s="10" t="n"/>
      <c r="J23" s="10">
        <f>IF(H23="","",H23-N(I23))</f>
        <v/>
      </c>
      <c r="K23">
        <f>IF(H23="","",IF(J23&lt;=0,"Paid",IF(I23&gt;0,"Partial","Pending")))</f>
        <v/>
      </c>
    </row>
    <row r="24">
      <c r="B24" s="12" t="n"/>
      <c r="F24" s="10" t="n"/>
      <c r="G24" s="10" t="n"/>
      <c r="H24" s="10">
        <f>IF(OR(E24="",F24=""),"",E24*F24+N(G24))</f>
        <v/>
      </c>
      <c r="I24" s="10" t="n"/>
      <c r="J24" s="10">
        <f>IF(H24="","",H24-N(I24))</f>
        <v/>
      </c>
      <c r="K24">
        <f>IF(H24="","",IF(J24&lt;=0,"Paid",IF(I24&gt;0,"Partial","Pending")))</f>
        <v/>
      </c>
    </row>
    <row r="25">
      <c r="B25" s="12" t="n"/>
      <c r="F25" s="10" t="n"/>
      <c r="G25" s="10" t="n"/>
      <c r="H25" s="10">
        <f>IF(OR(E25="",F25=""),"",E25*F25+N(G25))</f>
        <v/>
      </c>
      <c r="I25" s="10" t="n"/>
      <c r="J25" s="10">
        <f>IF(H25="","",H25-N(I25))</f>
        <v/>
      </c>
      <c r="K25">
        <f>IF(H25="","",IF(J25&lt;=0,"Paid",IF(I25&gt;0,"Partial","Pending")))</f>
        <v/>
      </c>
    </row>
    <row r="26">
      <c r="B26" s="12" t="n"/>
      <c r="F26" s="10" t="n"/>
      <c r="G26" s="10" t="n"/>
      <c r="H26" s="10">
        <f>IF(OR(E26="",F26=""),"",E26*F26+N(G26))</f>
        <v/>
      </c>
      <c r="I26" s="10" t="n"/>
      <c r="J26" s="10">
        <f>IF(H26="","",H26-N(I26))</f>
        <v/>
      </c>
      <c r="K26">
        <f>IF(H26="","",IF(J26&lt;=0,"Paid",IF(I26&gt;0,"Partial","Pending")))</f>
        <v/>
      </c>
    </row>
    <row r="27">
      <c r="B27" s="12" t="n"/>
      <c r="F27" s="10" t="n"/>
      <c r="G27" s="10" t="n"/>
      <c r="H27" s="10">
        <f>IF(OR(E27="",F27=""),"",E27*F27+N(G27))</f>
        <v/>
      </c>
      <c r="I27" s="10" t="n"/>
      <c r="J27" s="10">
        <f>IF(H27="","",H27-N(I27))</f>
        <v/>
      </c>
      <c r="K27">
        <f>IF(H27="","",IF(J27&lt;=0,"Paid",IF(I27&gt;0,"Partial","Pending")))</f>
        <v/>
      </c>
    </row>
    <row r="28">
      <c r="B28" s="12" t="n"/>
      <c r="F28" s="10" t="n"/>
      <c r="G28" s="10" t="n"/>
      <c r="H28" s="10">
        <f>IF(OR(E28="",F28=""),"",E28*F28+N(G28))</f>
        <v/>
      </c>
      <c r="I28" s="10" t="n"/>
      <c r="J28" s="10">
        <f>IF(H28="","",H28-N(I28))</f>
        <v/>
      </c>
      <c r="K28">
        <f>IF(H28="","",IF(J28&lt;=0,"Paid",IF(I28&gt;0,"Partial","Pending")))</f>
        <v/>
      </c>
    </row>
    <row r="29">
      <c r="B29" s="12" t="n"/>
      <c r="F29" s="10" t="n"/>
      <c r="G29" s="10" t="n"/>
      <c r="H29" s="10">
        <f>IF(OR(E29="",F29=""),"",E29*F29+N(G29))</f>
        <v/>
      </c>
      <c r="I29" s="10" t="n"/>
      <c r="J29" s="10">
        <f>IF(H29="","",H29-N(I29))</f>
        <v/>
      </c>
      <c r="K29">
        <f>IF(H29="","",IF(J29&lt;=0,"Paid",IF(I29&gt;0,"Partial","Pending")))</f>
        <v/>
      </c>
    </row>
    <row r="30">
      <c r="B30" s="12" t="n"/>
      <c r="F30" s="10" t="n"/>
      <c r="G30" s="10" t="n"/>
      <c r="H30" s="10">
        <f>IF(OR(E30="",F30=""),"",E30*F30+N(G30))</f>
        <v/>
      </c>
      <c r="I30" s="10" t="n"/>
      <c r="J30" s="10">
        <f>IF(H30="","",H30-N(I30))</f>
        <v/>
      </c>
      <c r="K30">
        <f>IF(H30="","",IF(J30&lt;=0,"Paid",IF(I30&gt;0,"Partial","Pending")))</f>
        <v/>
      </c>
    </row>
    <row r="31">
      <c r="B31" s="12" t="n"/>
      <c r="F31" s="10" t="n"/>
      <c r="G31" s="10" t="n"/>
      <c r="H31" s="10">
        <f>IF(OR(E31="",F31=""),"",E31*F31+N(G31))</f>
        <v/>
      </c>
      <c r="I31" s="10" t="n"/>
      <c r="J31" s="10">
        <f>IF(H31="","",H31-N(I31))</f>
        <v/>
      </c>
      <c r="K31">
        <f>IF(H31="","",IF(J31&lt;=0,"Paid",IF(I31&gt;0,"Partial","Pending")))</f>
        <v/>
      </c>
    </row>
    <row r="32">
      <c r="B32" s="12" t="n"/>
      <c r="F32" s="10" t="n"/>
      <c r="G32" s="10" t="n"/>
      <c r="H32" s="10">
        <f>IF(OR(E32="",F32=""),"",E32*F32+N(G32))</f>
        <v/>
      </c>
      <c r="I32" s="10" t="n"/>
      <c r="J32" s="10">
        <f>IF(H32="","",H32-N(I32))</f>
        <v/>
      </c>
      <c r="K32">
        <f>IF(H32="","",IF(J32&lt;=0,"Paid",IF(I32&gt;0,"Partial","Pending")))</f>
        <v/>
      </c>
    </row>
    <row r="33">
      <c r="B33" s="12" t="n"/>
      <c r="F33" s="10" t="n"/>
      <c r="G33" s="10" t="n"/>
      <c r="H33" s="10">
        <f>IF(OR(E33="",F33=""),"",E33*F33+N(G33))</f>
        <v/>
      </c>
      <c r="I33" s="10" t="n"/>
      <c r="J33" s="10">
        <f>IF(H33="","",H33-N(I33))</f>
        <v/>
      </c>
      <c r="K33">
        <f>IF(H33="","",IF(J33&lt;=0,"Paid",IF(I33&gt;0,"Partial","Pending")))</f>
        <v/>
      </c>
    </row>
    <row r="34">
      <c r="B34" s="12" t="n"/>
      <c r="F34" s="10" t="n"/>
      <c r="G34" s="10" t="n"/>
      <c r="H34" s="10">
        <f>IF(OR(E34="",F34=""),"",E34*F34+N(G34))</f>
        <v/>
      </c>
      <c r="I34" s="10" t="n"/>
      <c r="J34" s="10">
        <f>IF(H34="","",H34-N(I34))</f>
        <v/>
      </c>
      <c r="K34">
        <f>IF(H34="","",IF(J34&lt;=0,"Paid",IF(I34&gt;0,"Partial","Pending")))</f>
        <v/>
      </c>
    </row>
    <row r="35">
      <c r="B35" s="12" t="n"/>
      <c r="F35" s="10" t="n"/>
      <c r="G35" s="10" t="n"/>
      <c r="H35" s="10">
        <f>IF(OR(E35="",F35=""),"",E35*F35+N(G35))</f>
        <v/>
      </c>
      <c r="I35" s="10" t="n"/>
      <c r="J35" s="10">
        <f>IF(H35="","",H35-N(I35))</f>
        <v/>
      </c>
      <c r="K35">
        <f>IF(H35="","",IF(J35&lt;=0,"Paid",IF(I35&gt;0,"Partial","Pending")))</f>
        <v/>
      </c>
    </row>
    <row r="36">
      <c r="B36" s="12" t="n"/>
      <c r="F36" s="10" t="n"/>
      <c r="G36" s="10" t="n"/>
      <c r="H36" s="10">
        <f>IF(OR(E36="",F36=""),"",E36*F36+N(G36))</f>
        <v/>
      </c>
      <c r="I36" s="10" t="n"/>
      <c r="J36" s="10">
        <f>IF(H36="","",H36-N(I36))</f>
        <v/>
      </c>
      <c r="K36">
        <f>IF(H36="","",IF(J36&lt;=0,"Paid",IF(I36&gt;0,"Partial","Pending")))</f>
        <v/>
      </c>
    </row>
    <row r="37">
      <c r="B37" s="12" t="n"/>
      <c r="F37" s="10" t="n"/>
      <c r="G37" s="10" t="n"/>
      <c r="H37" s="10">
        <f>IF(OR(E37="",F37=""),"",E37*F37+N(G37))</f>
        <v/>
      </c>
      <c r="I37" s="10" t="n"/>
      <c r="J37" s="10">
        <f>IF(H37="","",H37-N(I37))</f>
        <v/>
      </c>
      <c r="K37">
        <f>IF(H37="","",IF(J37&lt;=0,"Paid",IF(I37&gt;0,"Partial","Pending")))</f>
        <v/>
      </c>
    </row>
    <row r="38">
      <c r="B38" s="12" t="n"/>
      <c r="F38" s="10" t="n"/>
      <c r="G38" s="10" t="n"/>
      <c r="H38" s="10">
        <f>IF(OR(E38="",F38=""),"",E38*F38+N(G38))</f>
        <v/>
      </c>
      <c r="I38" s="10" t="n"/>
      <c r="J38" s="10">
        <f>IF(H38="","",H38-N(I38))</f>
        <v/>
      </c>
      <c r="K38">
        <f>IF(H38="","",IF(J38&lt;=0,"Paid",IF(I38&gt;0,"Partial","Pending")))</f>
        <v/>
      </c>
    </row>
    <row r="39">
      <c r="B39" s="12" t="n"/>
      <c r="F39" s="10" t="n"/>
      <c r="G39" s="10" t="n"/>
      <c r="H39" s="10">
        <f>IF(OR(E39="",F39=""),"",E39*F39+N(G39))</f>
        <v/>
      </c>
      <c r="I39" s="10" t="n"/>
      <c r="J39" s="10">
        <f>IF(H39="","",H39-N(I39))</f>
        <v/>
      </c>
      <c r="K39">
        <f>IF(H39="","",IF(J39&lt;=0,"Paid",IF(I39&gt;0,"Partial","Pending")))</f>
        <v/>
      </c>
    </row>
    <row r="40">
      <c r="B40" s="12" t="n"/>
      <c r="F40" s="10" t="n"/>
      <c r="G40" s="10" t="n"/>
      <c r="H40" s="10">
        <f>IF(OR(E40="",F40=""),"",E40*F40+N(G40))</f>
        <v/>
      </c>
      <c r="I40" s="10" t="n"/>
      <c r="J40" s="10">
        <f>IF(H40="","",H40-N(I40))</f>
        <v/>
      </c>
      <c r="K40">
        <f>IF(H40="","",IF(J40&lt;=0,"Paid",IF(I40&gt;0,"Partial","Pending")))</f>
        <v/>
      </c>
    </row>
    <row r="41">
      <c r="B41" s="12" t="n"/>
      <c r="F41" s="10" t="n"/>
      <c r="G41" s="10" t="n"/>
      <c r="H41" s="10">
        <f>IF(OR(E41="",F41=""),"",E41*F41+N(G41))</f>
        <v/>
      </c>
      <c r="I41" s="10" t="n"/>
      <c r="J41" s="10">
        <f>IF(H41="","",H41-N(I41))</f>
        <v/>
      </c>
      <c r="K41">
        <f>IF(H41="","",IF(J41&lt;=0,"Paid",IF(I41&gt;0,"Partial","Pending")))</f>
        <v/>
      </c>
    </row>
    <row r="42">
      <c r="B42" s="12" t="n"/>
      <c r="F42" s="10" t="n"/>
      <c r="G42" s="10" t="n"/>
      <c r="H42" s="10">
        <f>IF(OR(E42="",F42=""),"",E42*F42+N(G42))</f>
        <v/>
      </c>
      <c r="I42" s="10" t="n"/>
      <c r="J42" s="10">
        <f>IF(H42="","",H42-N(I42))</f>
        <v/>
      </c>
      <c r="K42">
        <f>IF(H42="","",IF(J42&lt;=0,"Paid",IF(I42&gt;0,"Partial","Pending")))</f>
        <v/>
      </c>
    </row>
    <row r="43">
      <c r="B43" s="12" t="n"/>
      <c r="F43" s="10" t="n"/>
      <c r="G43" s="10" t="n"/>
      <c r="H43" s="10">
        <f>IF(OR(E43="",F43=""),"",E43*F43+N(G43))</f>
        <v/>
      </c>
      <c r="I43" s="10" t="n"/>
      <c r="J43" s="10">
        <f>IF(H43="","",H43-N(I43))</f>
        <v/>
      </c>
      <c r="K43">
        <f>IF(H43="","",IF(J43&lt;=0,"Paid",IF(I43&gt;0,"Partial","Pending")))</f>
        <v/>
      </c>
    </row>
    <row r="44">
      <c r="B44" s="12" t="n"/>
      <c r="F44" s="10" t="n"/>
      <c r="G44" s="10" t="n"/>
      <c r="H44" s="10">
        <f>IF(OR(E44="",F44=""),"",E44*F44+N(G44))</f>
        <v/>
      </c>
      <c r="I44" s="10" t="n"/>
      <c r="J44" s="10">
        <f>IF(H44="","",H44-N(I44))</f>
        <v/>
      </c>
      <c r="K44">
        <f>IF(H44="","",IF(J44&lt;=0,"Paid",IF(I44&gt;0,"Partial","Pending")))</f>
        <v/>
      </c>
    </row>
    <row r="45">
      <c r="B45" s="12" t="n"/>
      <c r="F45" s="10" t="n"/>
      <c r="G45" s="10" t="n"/>
      <c r="H45" s="10">
        <f>IF(OR(E45="",F45=""),"",E45*F45+N(G45))</f>
        <v/>
      </c>
      <c r="I45" s="10" t="n"/>
      <c r="J45" s="10">
        <f>IF(H45="","",H45-N(I45))</f>
        <v/>
      </c>
      <c r="K45">
        <f>IF(H45="","",IF(J45&lt;=0,"Paid",IF(I45&gt;0,"Partial","Pending")))</f>
        <v/>
      </c>
    </row>
    <row r="46">
      <c r="B46" s="12" t="n"/>
      <c r="F46" s="10" t="n"/>
      <c r="G46" s="10" t="n"/>
      <c r="H46" s="10">
        <f>IF(OR(E46="",F46=""),"",E46*F46+N(G46))</f>
        <v/>
      </c>
      <c r="I46" s="10" t="n"/>
      <c r="J46" s="10">
        <f>IF(H46="","",H46-N(I46))</f>
        <v/>
      </c>
      <c r="K46">
        <f>IF(H46="","",IF(J46&lt;=0,"Paid",IF(I46&gt;0,"Partial","Pending")))</f>
        <v/>
      </c>
    </row>
    <row r="47">
      <c r="B47" s="12" t="n"/>
      <c r="F47" s="10" t="n"/>
      <c r="G47" s="10" t="n"/>
      <c r="H47" s="10">
        <f>IF(OR(E47="",F47=""),"",E47*F47+N(G47))</f>
        <v/>
      </c>
      <c r="I47" s="10" t="n"/>
      <c r="J47" s="10">
        <f>IF(H47="","",H47-N(I47))</f>
        <v/>
      </c>
      <c r="K47">
        <f>IF(H47="","",IF(J47&lt;=0,"Paid",IF(I47&gt;0,"Partial","Pending")))</f>
        <v/>
      </c>
    </row>
    <row r="48">
      <c r="B48" s="12" t="n"/>
      <c r="F48" s="10" t="n"/>
      <c r="G48" s="10" t="n"/>
      <c r="H48" s="10">
        <f>IF(OR(E48="",F48=""),"",E48*F48+N(G48))</f>
        <v/>
      </c>
      <c r="I48" s="10" t="n"/>
      <c r="J48" s="10">
        <f>IF(H48="","",H48-N(I48))</f>
        <v/>
      </c>
      <c r="K48">
        <f>IF(H48="","",IF(J48&lt;=0,"Paid",IF(I48&gt;0,"Partial","Pending")))</f>
        <v/>
      </c>
    </row>
    <row r="49">
      <c r="B49" s="12" t="n"/>
      <c r="F49" s="10" t="n"/>
      <c r="G49" s="10" t="n"/>
      <c r="H49" s="10">
        <f>IF(OR(E49="",F49=""),"",E49*F49+N(G49))</f>
        <v/>
      </c>
      <c r="I49" s="10" t="n"/>
      <c r="J49" s="10">
        <f>IF(H49="","",H49-N(I49))</f>
        <v/>
      </c>
      <c r="K49">
        <f>IF(H49="","",IF(J49&lt;=0,"Paid",IF(I49&gt;0,"Partial","Pending")))</f>
        <v/>
      </c>
    </row>
    <row r="50">
      <c r="B50" s="12" t="n"/>
      <c r="F50" s="10" t="n"/>
      <c r="G50" s="10" t="n"/>
      <c r="H50" s="10">
        <f>IF(OR(E50="",F50=""),"",E50*F50+N(G50))</f>
        <v/>
      </c>
      <c r="I50" s="10" t="n"/>
      <c r="J50" s="10">
        <f>IF(H50="","",H50-N(I50))</f>
        <v/>
      </c>
      <c r="K50">
        <f>IF(H50="","",IF(J50&lt;=0,"Paid",IF(I50&gt;0,"Partial","Pending")))</f>
        <v/>
      </c>
    </row>
    <row r="51">
      <c r="B51" s="12" t="n"/>
      <c r="F51" s="10" t="n"/>
      <c r="G51" s="10" t="n"/>
      <c r="H51" s="10">
        <f>IF(OR(E51="",F51=""),"",E51*F51+N(G51))</f>
        <v/>
      </c>
      <c r="I51" s="10" t="n"/>
      <c r="J51" s="10">
        <f>IF(H51="","",H51-N(I51))</f>
        <v/>
      </c>
      <c r="K51">
        <f>IF(H51="","",IF(J51&lt;=0,"Paid",IF(I51&gt;0,"Partial","Pending")))</f>
        <v/>
      </c>
    </row>
    <row r="52">
      <c r="B52" s="12" t="n"/>
      <c r="F52" s="10" t="n"/>
      <c r="G52" s="10" t="n"/>
      <c r="H52" s="10">
        <f>IF(OR(E52="",F52=""),"",E52*F52+N(G52))</f>
        <v/>
      </c>
      <c r="I52" s="10" t="n"/>
      <c r="J52" s="10">
        <f>IF(H52="","",H52-N(I52))</f>
        <v/>
      </c>
      <c r="K52">
        <f>IF(H52="","",IF(J52&lt;=0,"Paid",IF(I52&gt;0,"Partial","Pending")))</f>
        <v/>
      </c>
    </row>
    <row r="53">
      <c r="B53" s="12" t="n"/>
      <c r="F53" s="10" t="n"/>
      <c r="G53" s="10" t="n"/>
      <c r="H53" s="10">
        <f>IF(OR(E53="",F53=""),"",E53*F53+N(G53))</f>
        <v/>
      </c>
      <c r="I53" s="10" t="n"/>
      <c r="J53" s="10">
        <f>IF(H53="","",H53-N(I53))</f>
        <v/>
      </c>
      <c r="K53">
        <f>IF(H53="","",IF(J53&lt;=0,"Paid",IF(I53&gt;0,"Partial","Pending")))</f>
        <v/>
      </c>
    </row>
    <row r="54">
      <c r="B54" s="12" t="n"/>
      <c r="F54" s="10" t="n"/>
      <c r="G54" s="10" t="n"/>
      <c r="H54" s="10">
        <f>IF(OR(E54="",F54=""),"",E54*F54+N(G54))</f>
        <v/>
      </c>
      <c r="I54" s="10" t="n"/>
      <c r="J54" s="10">
        <f>IF(H54="","",H54-N(I54))</f>
        <v/>
      </c>
      <c r="K54">
        <f>IF(H54="","",IF(J54&lt;=0,"Paid",IF(I54&gt;0,"Partial","Pending")))</f>
        <v/>
      </c>
    </row>
    <row r="55">
      <c r="B55" s="12" t="n"/>
      <c r="F55" s="10" t="n"/>
      <c r="G55" s="10" t="n"/>
      <c r="H55" s="10">
        <f>IF(OR(E55="",F55=""),"",E55*F55+N(G55))</f>
        <v/>
      </c>
      <c r="I55" s="10" t="n"/>
      <c r="J55" s="10">
        <f>IF(H55="","",H55-N(I55))</f>
        <v/>
      </c>
      <c r="K55">
        <f>IF(H55="","",IF(J55&lt;=0,"Paid",IF(I55&gt;0,"Partial","Pending")))</f>
        <v/>
      </c>
    </row>
    <row r="56">
      <c r="B56" s="12" t="n"/>
      <c r="F56" s="10" t="n"/>
      <c r="G56" s="10" t="n"/>
      <c r="H56" s="10">
        <f>IF(OR(E56="",F56=""),"",E56*F56+N(G56))</f>
        <v/>
      </c>
      <c r="I56" s="10" t="n"/>
      <c r="J56" s="10">
        <f>IF(H56="","",H56-N(I56))</f>
        <v/>
      </c>
      <c r="K56">
        <f>IF(H56="","",IF(J56&lt;=0,"Paid",IF(I56&gt;0,"Partial","Pending")))</f>
        <v/>
      </c>
    </row>
    <row r="57">
      <c r="B57" s="12" t="n"/>
      <c r="F57" s="10" t="n"/>
      <c r="G57" s="10" t="n"/>
      <c r="H57" s="10">
        <f>IF(OR(E57="",F57=""),"",E57*F57+N(G57))</f>
        <v/>
      </c>
      <c r="I57" s="10" t="n"/>
      <c r="J57" s="10">
        <f>IF(H57="","",H57-N(I57))</f>
        <v/>
      </c>
      <c r="K57">
        <f>IF(H57="","",IF(J57&lt;=0,"Paid",IF(I57&gt;0,"Partial","Pending")))</f>
        <v/>
      </c>
    </row>
    <row r="58">
      <c r="B58" s="12" t="n"/>
      <c r="F58" s="10" t="n"/>
      <c r="G58" s="10" t="n"/>
      <c r="H58" s="10">
        <f>IF(OR(E58="",F58=""),"",E58*F58+N(G58))</f>
        <v/>
      </c>
      <c r="I58" s="10" t="n"/>
      <c r="J58" s="10">
        <f>IF(H58="","",H58-N(I58))</f>
        <v/>
      </c>
      <c r="K58">
        <f>IF(H58="","",IF(J58&lt;=0,"Paid",IF(I58&gt;0,"Partial","Pending")))</f>
        <v/>
      </c>
    </row>
    <row r="59">
      <c r="B59" s="12" t="n"/>
      <c r="F59" s="10" t="n"/>
      <c r="G59" s="10" t="n"/>
      <c r="H59" s="10">
        <f>IF(OR(E59="",F59=""),"",E59*F59+N(G59))</f>
        <v/>
      </c>
      <c r="I59" s="10" t="n"/>
      <c r="J59" s="10">
        <f>IF(H59="","",H59-N(I59))</f>
        <v/>
      </c>
      <c r="K59">
        <f>IF(H59="","",IF(J59&lt;=0,"Paid",IF(I59&gt;0,"Partial","Pending")))</f>
        <v/>
      </c>
    </row>
    <row r="60">
      <c r="B60" s="12" t="n"/>
      <c r="F60" s="10" t="n"/>
      <c r="G60" s="10" t="n"/>
      <c r="H60" s="10">
        <f>IF(OR(E60="",F60=""),"",E60*F60+N(G60))</f>
        <v/>
      </c>
      <c r="I60" s="10" t="n"/>
      <c r="J60" s="10">
        <f>IF(H60="","",H60-N(I60))</f>
        <v/>
      </c>
      <c r="K60">
        <f>IF(H60="","",IF(J60&lt;=0,"Paid",IF(I60&gt;0,"Partial","Pending")))</f>
        <v/>
      </c>
    </row>
    <row r="61">
      <c r="B61" s="12" t="n"/>
      <c r="F61" s="10" t="n"/>
      <c r="G61" s="10" t="n"/>
      <c r="H61" s="10">
        <f>IF(OR(E61="",F61=""),"",E61*F61+N(G61))</f>
        <v/>
      </c>
      <c r="I61" s="10" t="n"/>
      <c r="J61" s="10">
        <f>IF(H61="","",H61-N(I61))</f>
        <v/>
      </c>
      <c r="K61">
        <f>IF(H61="","",IF(J61&lt;=0,"Paid",IF(I61&gt;0,"Partial","Pending")))</f>
        <v/>
      </c>
    </row>
    <row r="62">
      <c r="B62" s="12" t="n"/>
      <c r="F62" s="10" t="n"/>
      <c r="G62" s="10" t="n"/>
      <c r="H62" s="10">
        <f>IF(OR(E62="",F62=""),"",E62*F62+N(G62))</f>
        <v/>
      </c>
      <c r="I62" s="10" t="n"/>
      <c r="J62" s="10">
        <f>IF(H62="","",H62-N(I62))</f>
        <v/>
      </c>
      <c r="K62">
        <f>IF(H62="","",IF(J62&lt;=0,"Paid",IF(I62&gt;0,"Partial","Pending")))</f>
        <v/>
      </c>
    </row>
    <row r="63">
      <c r="B63" s="12" t="n"/>
      <c r="F63" s="10" t="n"/>
      <c r="G63" s="10" t="n"/>
      <c r="H63" s="10">
        <f>IF(OR(E63="",F63=""),"",E63*F63+N(G63))</f>
        <v/>
      </c>
      <c r="I63" s="10" t="n"/>
      <c r="J63" s="10">
        <f>IF(H63="","",H63-N(I63))</f>
        <v/>
      </c>
      <c r="K63">
        <f>IF(H63="","",IF(J63&lt;=0,"Paid",IF(I63&gt;0,"Partial","Pending")))</f>
        <v/>
      </c>
    </row>
    <row r="64">
      <c r="B64" s="12" t="n"/>
      <c r="F64" s="10" t="n"/>
      <c r="G64" s="10" t="n"/>
      <c r="H64" s="10">
        <f>IF(OR(E64="",F64=""),"",E64*F64+N(G64))</f>
        <v/>
      </c>
      <c r="I64" s="10" t="n"/>
      <c r="J64" s="10">
        <f>IF(H64="","",H64-N(I64))</f>
        <v/>
      </c>
      <c r="K64">
        <f>IF(H64="","",IF(J64&lt;=0,"Paid",IF(I64&gt;0,"Partial","Pending")))</f>
        <v/>
      </c>
    </row>
    <row r="65">
      <c r="B65" s="12" t="n"/>
      <c r="F65" s="10" t="n"/>
      <c r="G65" s="10" t="n"/>
      <c r="H65" s="10">
        <f>IF(OR(E65="",F65=""),"",E65*F65+N(G65))</f>
        <v/>
      </c>
      <c r="I65" s="10" t="n"/>
      <c r="J65" s="10">
        <f>IF(H65="","",H65-N(I65))</f>
        <v/>
      </c>
      <c r="K65">
        <f>IF(H65="","",IF(J65&lt;=0,"Paid",IF(I65&gt;0,"Partial","Pending")))</f>
        <v/>
      </c>
    </row>
    <row r="66">
      <c r="B66" s="12" t="n"/>
      <c r="F66" s="10" t="n"/>
      <c r="G66" s="10" t="n"/>
      <c r="H66" s="10">
        <f>IF(OR(E66="",F66=""),"",E66*F66+N(G66))</f>
        <v/>
      </c>
      <c r="I66" s="10" t="n"/>
      <c r="J66" s="10">
        <f>IF(H66="","",H66-N(I66))</f>
        <v/>
      </c>
      <c r="K66">
        <f>IF(H66="","",IF(J66&lt;=0,"Paid",IF(I66&gt;0,"Partial","Pending")))</f>
        <v/>
      </c>
    </row>
    <row r="67">
      <c r="B67" s="12" t="n"/>
      <c r="F67" s="10" t="n"/>
      <c r="G67" s="10" t="n"/>
      <c r="H67" s="10">
        <f>IF(OR(E67="",F67=""),"",E67*F67+N(G67))</f>
        <v/>
      </c>
      <c r="I67" s="10" t="n"/>
      <c r="J67" s="10">
        <f>IF(H67="","",H67-N(I67))</f>
        <v/>
      </c>
      <c r="K67">
        <f>IF(H67="","",IF(J67&lt;=0,"Paid",IF(I67&gt;0,"Partial","Pending")))</f>
        <v/>
      </c>
    </row>
    <row r="68">
      <c r="B68" s="12" t="n"/>
      <c r="F68" s="10" t="n"/>
      <c r="G68" s="10" t="n"/>
      <c r="H68" s="10">
        <f>IF(OR(E68="",F68=""),"",E68*F68+N(G68))</f>
        <v/>
      </c>
      <c r="I68" s="10" t="n"/>
      <c r="J68" s="10">
        <f>IF(H68="","",H68-N(I68))</f>
        <v/>
      </c>
      <c r="K68">
        <f>IF(H68="","",IF(J68&lt;=0,"Paid",IF(I68&gt;0,"Partial","Pending")))</f>
        <v/>
      </c>
    </row>
    <row r="69">
      <c r="B69" s="12" t="n"/>
      <c r="F69" s="10" t="n"/>
      <c r="G69" s="10" t="n"/>
      <c r="H69" s="10">
        <f>IF(OR(E69="",F69=""),"",E69*F69+N(G69))</f>
        <v/>
      </c>
      <c r="I69" s="10" t="n"/>
      <c r="J69" s="10">
        <f>IF(H69="","",H69-N(I69))</f>
        <v/>
      </c>
      <c r="K69">
        <f>IF(H69="","",IF(J69&lt;=0,"Paid",IF(I69&gt;0,"Partial","Pending")))</f>
        <v/>
      </c>
    </row>
    <row r="70">
      <c r="B70" s="12" t="n"/>
      <c r="F70" s="10" t="n"/>
      <c r="G70" s="10" t="n"/>
      <c r="H70" s="10">
        <f>IF(OR(E70="",F70=""),"",E70*F70+N(G70))</f>
        <v/>
      </c>
      <c r="I70" s="10" t="n"/>
      <c r="J70" s="10">
        <f>IF(H70="","",H70-N(I70))</f>
        <v/>
      </c>
      <c r="K70">
        <f>IF(H70="","",IF(J70&lt;=0,"Paid",IF(I70&gt;0,"Partial","Pending")))</f>
        <v/>
      </c>
    </row>
    <row r="71">
      <c r="B71" s="12" t="n"/>
      <c r="F71" s="10" t="n"/>
      <c r="G71" s="10" t="n"/>
      <c r="H71" s="10">
        <f>IF(OR(E71="",F71=""),"",E71*F71+N(G71))</f>
        <v/>
      </c>
      <c r="I71" s="10" t="n"/>
      <c r="J71" s="10">
        <f>IF(H71="","",H71-N(I71))</f>
        <v/>
      </c>
      <c r="K71">
        <f>IF(H71="","",IF(J71&lt;=0,"Paid",IF(I71&gt;0,"Partial","Pending")))</f>
        <v/>
      </c>
    </row>
    <row r="72">
      <c r="B72" s="12" t="n"/>
      <c r="F72" s="10" t="n"/>
      <c r="G72" s="10" t="n"/>
      <c r="H72" s="10">
        <f>IF(OR(E72="",F72=""),"",E72*F72+N(G72))</f>
        <v/>
      </c>
      <c r="I72" s="10" t="n"/>
      <c r="J72" s="10">
        <f>IF(H72="","",H72-N(I72))</f>
        <v/>
      </c>
      <c r="K72">
        <f>IF(H72="","",IF(J72&lt;=0,"Paid",IF(I72&gt;0,"Partial","Pending")))</f>
        <v/>
      </c>
    </row>
    <row r="73">
      <c r="B73" s="12" t="n"/>
      <c r="F73" s="10" t="n"/>
      <c r="G73" s="10" t="n"/>
      <c r="H73" s="10">
        <f>IF(OR(E73="",F73=""),"",E73*F73+N(G73))</f>
        <v/>
      </c>
      <c r="I73" s="10" t="n"/>
      <c r="J73" s="10">
        <f>IF(H73="","",H73-N(I73))</f>
        <v/>
      </c>
      <c r="K73">
        <f>IF(H73="","",IF(J73&lt;=0,"Paid",IF(I73&gt;0,"Partial","Pending")))</f>
        <v/>
      </c>
    </row>
    <row r="74">
      <c r="B74" s="12" t="n"/>
      <c r="F74" s="10" t="n"/>
      <c r="G74" s="10" t="n"/>
      <c r="H74" s="10">
        <f>IF(OR(E74="",F74=""),"",E74*F74+N(G74))</f>
        <v/>
      </c>
      <c r="I74" s="10" t="n"/>
      <c r="J74" s="10">
        <f>IF(H74="","",H74-N(I74))</f>
        <v/>
      </c>
      <c r="K74">
        <f>IF(H74="","",IF(J74&lt;=0,"Paid",IF(I74&gt;0,"Partial","Pending")))</f>
        <v/>
      </c>
    </row>
    <row r="75">
      <c r="B75" s="12" t="n"/>
      <c r="F75" s="10" t="n"/>
      <c r="G75" s="10" t="n"/>
      <c r="H75" s="10">
        <f>IF(OR(E75="",F75=""),"",E75*F75+N(G75))</f>
        <v/>
      </c>
      <c r="I75" s="10" t="n"/>
      <c r="J75" s="10">
        <f>IF(H75="","",H75-N(I75))</f>
        <v/>
      </c>
      <c r="K75">
        <f>IF(H75="","",IF(J75&lt;=0,"Paid",IF(I75&gt;0,"Partial","Pending")))</f>
        <v/>
      </c>
    </row>
    <row r="76">
      <c r="B76" s="12" t="n"/>
      <c r="F76" s="10" t="n"/>
      <c r="G76" s="10" t="n"/>
      <c r="H76" s="10">
        <f>IF(OR(E76="",F76=""),"",E76*F76+N(G76))</f>
        <v/>
      </c>
      <c r="I76" s="10" t="n"/>
      <c r="J76" s="10">
        <f>IF(H76="","",H76-N(I76))</f>
        <v/>
      </c>
      <c r="K76">
        <f>IF(H76="","",IF(J76&lt;=0,"Paid",IF(I76&gt;0,"Partial","Pending")))</f>
        <v/>
      </c>
    </row>
    <row r="77">
      <c r="B77" s="12" t="n"/>
      <c r="F77" s="10" t="n"/>
      <c r="G77" s="10" t="n"/>
      <c r="H77" s="10">
        <f>IF(OR(E77="",F77=""),"",E77*F77+N(G77))</f>
        <v/>
      </c>
      <c r="I77" s="10" t="n"/>
      <c r="J77" s="10">
        <f>IF(H77="","",H77-N(I77))</f>
        <v/>
      </c>
      <c r="K77">
        <f>IF(H77="","",IF(J77&lt;=0,"Paid",IF(I77&gt;0,"Partial","Pending")))</f>
        <v/>
      </c>
    </row>
    <row r="78">
      <c r="B78" s="12" t="n"/>
      <c r="F78" s="10" t="n"/>
      <c r="G78" s="10" t="n"/>
      <c r="H78" s="10">
        <f>IF(OR(E78="",F78=""),"",E78*F78+N(G78))</f>
        <v/>
      </c>
      <c r="I78" s="10" t="n"/>
      <c r="J78" s="10">
        <f>IF(H78="","",H78-N(I78))</f>
        <v/>
      </c>
      <c r="K78">
        <f>IF(H78="","",IF(J78&lt;=0,"Paid",IF(I78&gt;0,"Partial","Pending")))</f>
        <v/>
      </c>
    </row>
    <row r="79">
      <c r="B79" s="12" t="n"/>
      <c r="F79" s="10" t="n"/>
      <c r="G79" s="10" t="n"/>
      <c r="H79" s="10">
        <f>IF(OR(E79="",F79=""),"",E79*F79+N(G79))</f>
        <v/>
      </c>
      <c r="I79" s="10" t="n"/>
      <c r="J79" s="10">
        <f>IF(H79="","",H79-N(I79))</f>
        <v/>
      </c>
      <c r="K79">
        <f>IF(H79="","",IF(J79&lt;=0,"Paid",IF(I79&gt;0,"Partial","Pending")))</f>
        <v/>
      </c>
    </row>
    <row r="80">
      <c r="B80" s="12" t="n"/>
      <c r="F80" s="10" t="n"/>
      <c r="G80" s="10" t="n"/>
      <c r="H80" s="10">
        <f>IF(OR(E80="",F80=""),"",E80*F80+N(G80))</f>
        <v/>
      </c>
      <c r="I80" s="10" t="n"/>
      <c r="J80" s="10">
        <f>IF(H80="","",H80-N(I80))</f>
        <v/>
      </c>
      <c r="K80">
        <f>IF(H80="","",IF(J80&lt;=0,"Paid",IF(I80&gt;0,"Partial","Pending")))</f>
        <v/>
      </c>
    </row>
    <row r="81">
      <c r="B81" s="12" t="n"/>
      <c r="F81" s="10" t="n"/>
      <c r="G81" s="10" t="n"/>
      <c r="H81" s="10">
        <f>IF(OR(E81="",F81=""),"",E81*F81+N(G81))</f>
        <v/>
      </c>
      <c r="I81" s="10" t="n"/>
      <c r="J81" s="10">
        <f>IF(H81="","",H81-N(I81))</f>
        <v/>
      </c>
      <c r="K81">
        <f>IF(H81="","",IF(J81&lt;=0,"Paid",IF(I81&gt;0,"Partial","Pending")))</f>
        <v/>
      </c>
    </row>
    <row r="82">
      <c r="B82" s="12" t="n"/>
      <c r="F82" s="10" t="n"/>
      <c r="G82" s="10" t="n"/>
      <c r="H82" s="10">
        <f>IF(OR(E82="",F82=""),"",E82*F82+N(G82))</f>
        <v/>
      </c>
      <c r="I82" s="10" t="n"/>
      <c r="J82" s="10">
        <f>IF(H82="","",H82-N(I82))</f>
        <v/>
      </c>
      <c r="K82">
        <f>IF(H82="","",IF(J82&lt;=0,"Paid",IF(I82&gt;0,"Partial","Pending")))</f>
        <v/>
      </c>
    </row>
    <row r="83">
      <c r="B83" s="12" t="n"/>
      <c r="F83" s="10" t="n"/>
      <c r="G83" s="10" t="n"/>
      <c r="H83" s="10">
        <f>IF(OR(E83="",F83=""),"",E83*F83+N(G83))</f>
        <v/>
      </c>
      <c r="I83" s="10" t="n"/>
      <c r="J83" s="10">
        <f>IF(H83="","",H83-N(I83))</f>
        <v/>
      </c>
      <c r="K83">
        <f>IF(H83="","",IF(J83&lt;=0,"Paid",IF(I83&gt;0,"Partial","Pending")))</f>
        <v/>
      </c>
    </row>
    <row r="84">
      <c r="B84" s="12" t="n"/>
      <c r="F84" s="10" t="n"/>
      <c r="G84" s="10" t="n"/>
      <c r="H84" s="10">
        <f>IF(OR(E84="",F84=""),"",E84*F84+N(G84))</f>
        <v/>
      </c>
      <c r="I84" s="10" t="n"/>
      <c r="J84" s="10">
        <f>IF(H84="","",H84-N(I84))</f>
        <v/>
      </c>
      <c r="K84">
        <f>IF(H84="","",IF(J84&lt;=0,"Paid",IF(I84&gt;0,"Partial","Pending")))</f>
        <v/>
      </c>
    </row>
    <row r="85">
      <c r="B85" s="12" t="n"/>
      <c r="F85" s="10" t="n"/>
      <c r="G85" s="10" t="n"/>
      <c r="H85" s="10">
        <f>IF(OR(E85="",F85=""),"",E85*F85+N(G85))</f>
        <v/>
      </c>
      <c r="I85" s="10" t="n"/>
      <c r="J85" s="10">
        <f>IF(H85="","",H85-N(I85))</f>
        <v/>
      </c>
      <c r="K85">
        <f>IF(H85="","",IF(J85&lt;=0,"Paid",IF(I85&gt;0,"Partial","Pending")))</f>
        <v/>
      </c>
    </row>
    <row r="86">
      <c r="B86" s="12" t="n"/>
      <c r="F86" s="10" t="n"/>
      <c r="G86" s="10" t="n"/>
      <c r="H86" s="10">
        <f>IF(OR(E86="",F86=""),"",E86*F86+N(G86))</f>
        <v/>
      </c>
      <c r="I86" s="10" t="n"/>
      <c r="J86" s="10">
        <f>IF(H86="","",H86-N(I86))</f>
        <v/>
      </c>
      <c r="K86">
        <f>IF(H86="","",IF(J86&lt;=0,"Paid",IF(I86&gt;0,"Partial","Pending")))</f>
        <v/>
      </c>
    </row>
    <row r="87">
      <c r="B87" s="12" t="n"/>
      <c r="F87" s="10" t="n"/>
      <c r="G87" s="10" t="n"/>
      <c r="H87" s="10">
        <f>IF(OR(E87="",F87=""),"",E87*F87+N(G87))</f>
        <v/>
      </c>
      <c r="I87" s="10" t="n"/>
      <c r="J87" s="10">
        <f>IF(H87="","",H87-N(I87))</f>
        <v/>
      </c>
      <c r="K87">
        <f>IF(H87="","",IF(J87&lt;=0,"Paid",IF(I87&gt;0,"Partial","Pending")))</f>
        <v/>
      </c>
    </row>
    <row r="88">
      <c r="B88" s="12" t="n"/>
      <c r="F88" s="10" t="n"/>
      <c r="G88" s="10" t="n"/>
      <c r="H88" s="10">
        <f>IF(OR(E88="",F88=""),"",E88*F88+N(G88))</f>
        <v/>
      </c>
      <c r="I88" s="10" t="n"/>
      <c r="J88" s="10">
        <f>IF(H88="","",H88-N(I88))</f>
        <v/>
      </c>
      <c r="K88">
        <f>IF(H88="","",IF(J88&lt;=0,"Paid",IF(I88&gt;0,"Partial","Pending")))</f>
        <v/>
      </c>
    </row>
    <row r="89">
      <c r="B89" s="12" t="n"/>
      <c r="F89" s="10" t="n"/>
      <c r="G89" s="10" t="n"/>
      <c r="H89" s="10">
        <f>IF(OR(E89="",F89=""),"",E89*F89+N(G89))</f>
        <v/>
      </c>
      <c r="I89" s="10" t="n"/>
      <c r="J89" s="10">
        <f>IF(H89="","",H89-N(I89))</f>
        <v/>
      </c>
      <c r="K89">
        <f>IF(H89="","",IF(J89&lt;=0,"Paid",IF(I89&gt;0,"Partial","Pending")))</f>
        <v/>
      </c>
    </row>
    <row r="90">
      <c r="B90" s="12" t="n"/>
      <c r="F90" s="10" t="n"/>
      <c r="G90" s="10" t="n"/>
      <c r="H90" s="10">
        <f>IF(OR(E90="",F90=""),"",E90*F90+N(G90))</f>
        <v/>
      </c>
      <c r="I90" s="10" t="n"/>
      <c r="J90" s="10">
        <f>IF(H90="","",H90-N(I90))</f>
        <v/>
      </c>
      <c r="K90">
        <f>IF(H90="","",IF(J90&lt;=0,"Paid",IF(I90&gt;0,"Partial","Pending")))</f>
        <v/>
      </c>
    </row>
    <row r="91">
      <c r="B91" s="12" t="n"/>
      <c r="F91" s="10" t="n"/>
      <c r="G91" s="10" t="n"/>
      <c r="H91" s="10">
        <f>IF(OR(E91="",F91=""),"",E91*F91+N(G91))</f>
        <v/>
      </c>
      <c r="I91" s="10" t="n"/>
      <c r="J91" s="10">
        <f>IF(H91="","",H91-N(I91))</f>
        <v/>
      </c>
      <c r="K91">
        <f>IF(H91="","",IF(J91&lt;=0,"Paid",IF(I91&gt;0,"Partial","Pending")))</f>
        <v/>
      </c>
    </row>
    <row r="92">
      <c r="B92" s="12" t="n"/>
      <c r="F92" s="10" t="n"/>
      <c r="G92" s="10" t="n"/>
      <c r="H92" s="10">
        <f>IF(OR(E92="",F92=""),"",E92*F92+N(G92))</f>
        <v/>
      </c>
      <c r="I92" s="10" t="n"/>
      <c r="J92" s="10">
        <f>IF(H92="","",H92-N(I92))</f>
        <v/>
      </c>
      <c r="K92">
        <f>IF(H92="","",IF(J92&lt;=0,"Paid",IF(I92&gt;0,"Partial","Pending")))</f>
        <v/>
      </c>
    </row>
    <row r="93">
      <c r="B93" s="12" t="n"/>
      <c r="F93" s="10" t="n"/>
      <c r="G93" s="10" t="n"/>
      <c r="H93" s="10">
        <f>IF(OR(E93="",F93=""),"",E93*F93+N(G93))</f>
        <v/>
      </c>
      <c r="I93" s="10" t="n"/>
      <c r="J93" s="10">
        <f>IF(H93="","",H93-N(I93))</f>
        <v/>
      </c>
      <c r="K93">
        <f>IF(H93="","",IF(J93&lt;=0,"Paid",IF(I93&gt;0,"Partial","Pending")))</f>
        <v/>
      </c>
    </row>
    <row r="94">
      <c r="B94" s="12" t="n"/>
      <c r="F94" s="10" t="n"/>
      <c r="G94" s="10" t="n"/>
      <c r="H94" s="10">
        <f>IF(OR(E94="",F94=""),"",E94*F94+N(G94))</f>
        <v/>
      </c>
      <c r="I94" s="10" t="n"/>
      <c r="J94" s="10">
        <f>IF(H94="","",H94-N(I94))</f>
        <v/>
      </c>
      <c r="K94">
        <f>IF(H94="","",IF(J94&lt;=0,"Paid",IF(I94&gt;0,"Partial","Pending")))</f>
        <v/>
      </c>
    </row>
    <row r="95">
      <c r="B95" s="12" t="n"/>
      <c r="F95" s="10" t="n"/>
      <c r="G95" s="10" t="n"/>
      <c r="H95" s="10">
        <f>IF(OR(E95="",F95=""),"",E95*F95+N(G95))</f>
        <v/>
      </c>
      <c r="I95" s="10" t="n"/>
      <c r="J95" s="10">
        <f>IF(H95="","",H95-N(I95))</f>
        <v/>
      </c>
      <c r="K95">
        <f>IF(H95="","",IF(J95&lt;=0,"Paid",IF(I95&gt;0,"Partial","Pending")))</f>
        <v/>
      </c>
    </row>
    <row r="96">
      <c r="B96" s="12" t="n"/>
      <c r="F96" s="10" t="n"/>
      <c r="G96" s="10" t="n"/>
      <c r="H96" s="10">
        <f>IF(OR(E96="",F96=""),"",E96*F96+N(G96))</f>
        <v/>
      </c>
      <c r="I96" s="10" t="n"/>
      <c r="J96" s="10">
        <f>IF(H96="","",H96-N(I96))</f>
        <v/>
      </c>
      <c r="K96">
        <f>IF(H96="","",IF(J96&lt;=0,"Paid",IF(I96&gt;0,"Partial","Pending")))</f>
        <v/>
      </c>
    </row>
    <row r="97">
      <c r="B97" s="12" t="n"/>
      <c r="F97" s="10" t="n"/>
      <c r="G97" s="10" t="n"/>
      <c r="H97" s="10">
        <f>IF(OR(E97="",F97=""),"",E97*F97+N(G97))</f>
        <v/>
      </c>
      <c r="I97" s="10" t="n"/>
      <c r="J97" s="10">
        <f>IF(H97="","",H97-N(I97))</f>
        <v/>
      </c>
      <c r="K97">
        <f>IF(H97="","",IF(J97&lt;=0,"Paid",IF(I97&gt;0,"Partial","Pending")))</f>
        <v/>
      </c>
    </row>
    <row r="98">
      <c r="B98" s="12" t="n"/>
      <c r="F98" s="10" t="n"/>
      <c r="G98" s="10" t="n"/>
      <c r="H98" s="10">
        <f>IF(OR(E98="",F98=""),"",E98*F98+N(G98))</f>
        <v/>
      </c>
      <c r="I98" s="10" t="n"/>
      <c r="J98" s="10">
        <f>IF(H98="","",H98-N(I98))</f>
        <v/>
      </c>
      <c r="K98">
        <f>IF(H98="","",IF(J98&lt;=0,"Paid",IF(I98&gt;0,"Partial","Pending")))</f>
        <v/>
      </c>
    </row>
    <row r="99">
      <c r="B99" s="12" t="n"/>
      <c r="F99" s="10" t="n"/>
      <c r="G99" s="10" t="n"/>
      <c r="H99" s="10">
        <f>IF(OR(E99="",F99=""),"",E99*F99+N(G99))</f>
        <v/>
      </c>
      <c r="I99" s="10" t="n"/>
      <c r="J99" s="10">
        <f>IF(H99="","",H99-N(I99))</f>
        <v/>
      </c>
      <c r="K99">
        <f>IF(H99="","",IF(J99&lt;=0,"Paid",IF(I99&gt;0,"Partial","Pending")))</f>
        <v/>
      </c>
    </row>
    <row r="100">
      <c r="B100" s="12" t="n"/>
      <c r="F100" s="10" t="n"/>
      <c r="G100" s="10" t="n"/>
      <c r="H100" s="10">
        <f>IF(OR(E100="",F100=""),"",E100*F100+N(G100))</f>
        <v/>
      </c>
      <c r="I100" s="10" t="n"/>
      <c r="J100" s="10">
        <f>IF(H100="","",H100-N(I100))</f>
        <v/>
      </c>
      <c r="K100">
        <f>IF(H100="","",IF(J100&lt;=0,"Paid",IF(I100&gt;0,"Partial","Pending")))</f>
        <v/>
      </c>
    </row>
    <row r="101">
      <c r="B101" s="12" t="n"/>
      <c r="F101" s="10" t="n"/>
      <c r="G101" s="10" t="n"/>
      <c r="H101" s="10">
        <f>IF(OR(E101="",F101=""),"",E101*F101+N(G101))</f>
        <v/>
      </c>
      <c r="I101" s="10" t="n"/>
      <c r="J101" s="10">
        <f>IF(H101="","",H101-N(I101))</f>
        <v/>
      </c>
      <c r="K101">
        <f>IF(H101="","",IF(J101&lt;=0,"Paid",IF(I101&gt;0,"Partial","Pending")))</f>
        <v/>
      </c>
    </row>
    <row r="102">
      <c r="B102" s="12" t="n"/>
      <c r="F102" s="10" t="n"/>
      <c r="G102" s="10" t="n"/>
      <c r="H102" s="10">
        <f>IF(OR(E102="",F102=""),"",E102*F102+N(G102))</f>
        <v/>
      </c>
      <c r="I102" s="10" t="n"/>
      <c r="J102" s="10">
        <f>IF(H102="","",H102-N(I102))</f>
        <v/>
      </c>
      <c r="K102">
        <f>IF(H102="","",IF(J102&lt;=0,"Paid",IF(I102&gt;0,"Partial","Pending")))</f>
        <v/>
      </c>
    </row>
    <row r="103">
      <c r="B103" s="12" t="n"/>
      <c r="F103" s="10" t="n"/>
      <c r="G103" s="10" t="n"/>
      <c r="H103" s="10">
        <f>IF(OR(E103="",F103=""),"",E103*F103+N(G103))</f>
        <v/>
      </c>
      <c r="I103" s="10" t="n"/>
      <c r="J103" s="10">
        <f>IF(H103="","",H103-N(I103))</f>
        <v/>
      </c>
      <c r="K103">
        <f>IF(H103="","",IF(J103&lt;=0,"Paid",IF(I103&gt;0,"Partial","Pending")))</f>
        <v/>
      </c>
    </row>
    <row r="104">
      <c r="B104" s="12" t="n"/>
      <c r="F104" s="10" t="n"/>
      <c r="G104" s="10" t="n"/>
      <c r="H104" s="10">
        <f>IF(OR(E104="",F104=""),"",E104*F104+N(G104))</f>
        <v/>
      </c>
      <c r="I104" s="10" t="n"/>
      <c r="J104" s="10">
        <f>IF(H104="","",H104-N(I104))</f>
        <v/>
      </c>
      <c r="K104">
        <f>IF(H104="","",IF(J104&lt;=0,"Paid",IF(I104&gt;0,"Partial","Pending")))</f>
        <v/>
      </c>
    </row>
    <row r="105">
      <c r="B105" s="12" t="n"/>
      <c r="F105" s="10" t="n"/>
      <c r="G105" s="10" t="n"/>
      <c r="H105" s="10">
        <f>IF(OR(E105="",F105=""),"",E105*F105+N(G105))</f>
        <v/>
      </c>
      <c r="I105" s="10" t="n"/>
      <c r="J105" s="10">
        <f>IF(H105="","",H105-N(I105))</f>
        <v/>
      </c>
      <c r="K105">
        <f>IF(H105="","",IF(J105&lt;=0,"Paid",IF(I105&gt;0,"Partial","Pending")))</f>
        <v/>
      </c>
    </row>
    <row r="106">
      <c r="B106" s="12" t="n"/>
      <c r="F106" s="10" t="n"/>
      <c r="G106" s="10" t="n"/>
      <c r="H106" s="10">
        <f>IF(OR(E106="",F106=""),"",E106*F106+N(G106))</f>
        <v/>
      </c>
      <c r="I106" s="10" t="n"/>
      <c r="J106" s="10">
        <f>IF(H106="","",H106-N(I106))</f>
        <v/>
      </c>
      <c r="K106">
        <f>IF(H106="","",IF(J106&lt;=0,"Paid",IF(I106&gt;0,"Partial","Pending")))</f>
        <v/>
      </c>
    </row>
    <row r="107">
      <c r="B107" s="12" t="n"/>
      <c r="F107" s="10" t="n"/>
      <c r="G107" s="10" t="n"/>
      <c r="H107" s="10">
        <f>IF(OR(E107="",F107=""),"",E107*F107+N(G107))</f>
        <v/>
      </c>
      <c r="I107" s="10" t="n"/>
      <c r="J107" s="10">
        <f>IF(H107="","",H107-N(I107))</f>
        <v/>
      </c>
      <c r="K107">
        <f>IF(H107="","",IF(J107&lt;=0,"Paid",IF(I107&gt;0,"Partial","Pending")))</f>
        <v/>
      </c>
    </row>
    <row r="108">
      <c r="B108" s="12" t="n"/>
      <c r="F108" s="10" t="n"/>
      <c r="G108" s="10" t="n"/>
      <c r="H108" s="10">
        <f>IF(OR(E108="",F108=""),"",E108*F108+N(G108))</f>
        <v/>
      </c>
      <c r="I108" s="10" t="n"/>
      <c r="J108" s="10">
        <f>IF(H108="","",H108-N(I108))</f>
        <v/>
      </c>
      <c r="K108">
        <f>IF(H108="","",IF(J108&lt;=0,"Paid",IF(I108&gt;0,"Partial","Pending")))</f>
        <v/>
      </c>
    </row>
    <row r="109">
      <c r="B109" s="12" t="n"/>
      <c r="F109" s="10" t="n"/>
      <c r="G109" s="10" t="n"/>
      <c r="H109" s="10">
        <f>IF(OR(E109="",F109=""),"",E109*F109+N(G109))</f>
        <v/>
      </c>
      <c r="I109" s="10" t="n"/>
      <c r="J109" s="10">
        <f>IF(H109="","",H109-N(I109))</f>
        <v/>
      </c>
      <c r="K109">
        <f>IF(H109="","",IF(J109&lt;=0,"Paid",IF(I109&gt;0,"Partial","Pending")))</f>
        <v/>
      </c>
    </row>
    <row r="110">
      <c r="B110" s="12" t="n"/>
      <c r="F110" s="10" t="n"/>
      <c r="G110" s="10" t="n"/>
      <c r="H110" s="10">
        <f>IF(OR(E110="",F110=""),"",E110*F110+N(G110))</f>
        <v/>
      </c>
      <c r="I110" s="10" t="n"/>
      <c r="J110" s="10">
        <f>IF(H110="","",H110-N(I110))</f>
        <v/>
      </c>
      <c r="K110">
        <f>IF(H110="","",IF(J110&lt;=0,"Paid",IF(I110&gt;0,"Partial","Pending")))</f>
        <v/>
      </c>
    </row>
    <row r="111">
      <c r="B111" s="12" t="n"/>
      <c r="F111" s="10" t="n"/>
      <c r="G111" s="10" t="n"/>
      <c r="H111" s="10">
        <f>IF(OR(E111="",F111=""),"",E111*F111+N(G111))</f>
        <v/>
      </c>
      <c r="I111" s="10" t="n"/>
      <c r="J111" s="10">
        <f>IF(H111="","",H111-N(I111))</f>
        <v/>
      </c>
      <c r="K111">
        <f>IF(H111="","",IF(J111&lt;=0,"Paid",IF(I111&gt;0,"Partial","Pending")))</f>
        <v/>
      </c>
    </row>
    <row r="112">
      <c r="B112" s="12" t="n"/>
      <c r="F112" s="10" t="n"/>
      <c r="G112" s="10" t="n"/>
      <c r="H112" s="10">
        <f>IF(OR(E112="",F112=""),"",E112*F112+N(G112))</f>
        <v/>
      </c>
      <c r="I112" s="10" t="n"/>
      <c r="J112" s="10">
        <f>IF(H112="","",H112-N(I112))</f>
        <v/>
      </c>
      <c r="K112">
        <f>IF(H112="","",IF(J112&lt;=0,"Paid",IF(I112&gt;0,"Partial","Pending")))</f>
        <v/>
      </c>
    </row>
    <row r="113">
      <c r="B113" s="12" t="n"/>
      <c r="F113" s="10" t="n"/>
      <c r="G113" s="10" t="n"/>
      <c r="H113" s="10">
        <f>IF(OR(E113="",F113=""),"",E113*F113+N(G113))</f>
        <v/>
      </c>
      <c r="I113" s="10" t="n"/>
      <c r="J113" s="10">
        <f>IF(H113="","",H113-N(I113))</f>
        <v/>
      </c>
      <c r="K113">
        <f>IF(H113="","",IF(J113&lt;=0,"Paid",IF(I113&gt;0,"Partial","Pending")))</f>
        <v/>
      </c>
    </row>
    <row r="114">
      <c r="B114" s="12" t="n"/>
      <c r="F114" s="10" t="n"/>
      <c r="G114" s="10" t="n"/>
      <c r="H114" s="10">
        <f>IF(OR(E114="",F114=""),"",E114*F114+N(G114))</f>
        <v/>
      </c>
      <c r="I114" s="10" t="n"/>
      <c r="J114" s="10">
        <f>IF(H114="","",H114-N(I114))</f>
        <v/>
      </c>
      <c r="K114">
        <f>IF(H114="","",IF(J114&lt;=0,"Paid",IF(I114&gt;0,"Partial","Pending")))</f>
        <v/>
      </c>
    </row>
    <row r="115">
      <c r="B115" s="12" t="n"/>
      <c r="F115" s="10" t="n"/>
      <c r="G115" s="10" t="n"/>
      <c r="H115" s="10">
        <f>IF(OR(E115="",F115=""),"",E115*F115+N(G115))</f>
        <v/>
      </c>
      <c r="I115" s="10" t="n"/>
      <c r="J115" s="10">
        <f>IF(H115="","",H115-N(I115))</f>
        <v/>
      </c>
      <c r="K115">
        <f>IF(H115="","",IF(J115&lt;=0,"Paid",IF(I115&gt;0,"Partial","Pending")))</f>
        <v/>
      </c>
    </row>
    <row r="116">
      <c r="B116" s="12" t="n"/>
      <c r="F116" s="10" t="n"/>
      <c r="G116" s="10" t="n"/>
      <c r="H116" s="10">
        <f>IF(OR(E116="",F116=""),"",E116*F116+N(G116))</f>
        <v/>
      </c>
      <c r="I116" s="10" t="n"/>
      <c r="J116" s="10">
        <f>IF(H116="","",H116-N(I116))</f>
        <v/>
      </c>
      <c r="K116">
        <f>IF(H116="","",IF(J116&lt;=0,"Paid",IF(I116&gt;0,"Partial","Pending")))</f>
        <v/>
      </c>
    </row>
    <row r="117">
      <c r="B117" s="12" t="n"/>
      <c r="F117" s="10" t="n"/>
      <c r="G117" s="10" t="n"/>
      <c r="H117" s="10">
        <f>IF(OR(E117="",F117=""),"",E117*F117+N(G117))</f>
        <v/>
      </c>
      <c r="I117" s="10" t="n"/>
      <c r="J117" s="10">
        <f>IF(H117="","",H117-N(I117))</f>
        <v/>
      </c>
      <c r="K117">
        <f>IF(H117="","",IF(J117&lt;=0,"Paid",IF(I117&gt;0,"Partial","Pending")))</f>
        <v/>
      </c>
    </row>
    <row r="118">
      <c r="B118" s="12" t="n"/>
      <c r="F118" s="10" t="n"/>
      <c r="G118" s="10" t="n"/>
      <c r="H118" s="10">
        <f>IF(OR(E118="",F118=""),"",E118*F118+N(G118))</f>
        <v/>
      </c>
      <c r="I118" s="10" t="n"/>
      <c r="J118" s="10">
        <f>IF(H118="","",H118-N(I118))</f>
        <v/>
      </c>
      <c r="K118">
        <f>IF(H118="","",IF(J118&lt;=0,"Paid",IF(I118&gt;0,"Partial","Pending")))</f>
        <v/>
      </c>
    </row>
    <row r="119">
      <c r="B119" s="12" t="n"/>
      <c r="F119" s="10" t="n"/>
      <c r="G119" s="10" t="n"/>
      <c r="H119" s="10">
        <f>IF(OR(E119="",F119=""),"",E119*F119+N(G119))</f>
        <v/>
      </c>
      <c r="I119" s="10" t="n"/>
      <c r="J119" s="10">
        <f>IF(H119="","",H119-N(I119))</f>
        <v/>
      </c>
      <c r="K119">
        <f>IF(H119="","",IF(J119&lt;=0,"Paid",IF(I119&gt;0,"Partial","Pending")))</f>
        <v/>
      </c>
    </row>
    <row r="120">
      <c r="B120" s="12" t="n"/>
      <c r="F120" s="10" t="n"/>
      <c r="G120" s="10" t="n"/>
      <c r="H120" s="10">
        <f>IF(OR(E120="",F120=""),"",E120*F120+N(G120))</f>
        <v/>
      </c>
      <c r="I120" s="10" t="n"/>
      <c r="J120" s="10">
        <f>IF(H120="","",H120-N(I120))</f>
        <v/>
      </c>
      <c r="K120">
        <f>IF(H120="","",IF(J120&lt;=0,"Paid",IF(I120&gt;0,"Partial","Pending")))</f>
        <v/>
      </c>
    </row>
    <row r="121">
      <c r="B121" s="12" t="n"/>
      <c r="F121" s="10" t="n"/>
      <c r="G121" s="10" t="n"/>
      <c r="H121" s="10">
        <f>IF(OR(E121="",F121=""),"",E121*F121+N(G121))</f>
        <v/>
      </c>
      <c r="I121" s="10" t="n"/>
      <c r="J121" s="10">
        <f>IF(H121="","",H121-N(I121))</f>
        <v/>
      </c>
      <c r="K121">
        <f>IF(H121="","",IF(J121&lt;=0,"Paid",IF(I121&gt;0,"Partial","Pending")))</f>
        <v/>
      </c>
    </row>
    <row r="122">
      <c r="B122" s="12" t="n"/>
      <c r="F122" s="10" t="n"/>
      <c r="G122" s="10" t="n"/>
      <c r="H122" s="10">
        <f>IF(OR(E122="",F122=""),"",E122*F122+N(G122))</f>
        <v/>
      </c>
      <c r="I122" s="10" t="n"/>
      <c r="J122" s="10">
        <f>IF(H122="","",H122-N(I122))</f>
        <v/>
      </c>
      <c r="K122">
        <f>IF(H122="","",IF(J122&lt;=0,"Paid",IF(I122&gt;0,"Partial","Pending")))</f>
        <v/>
      </c>
    </row>
    <row r="123">
      <c r="B123" s="12" t="n"/>
      <c r="F123" s="10" t="n"/>
      <c r="G123" s="10" t="n"/>
      <c r="H123" s="10">
        <f>IF(OR(E123="",F123=""),"",E123*F123+N(G123))</f>
        <v/>
      </c>
      <c r="I123" s="10" t="n"/>
      <c r="J123" s="10">
        <f>IF(H123="","",H123-N(I123))</f>
        <v/>
      </c>
      <c r="K123">
        <f>IF(H123="","",IF(J123&lt;=0,"Paid",IF(I123&gt;0,"Partial","Pending")))</f>
        <v/>
      </c>
    </row>
    <row r="124">
      <c r="B124" s="12" t="n"/>
      <c r="F124" s="10" t="n"/>
      <c r="G124" s="10" t="n"/>
      <c r="H124" s="10">
        <f>IF(OR(E124="",F124=""),"",E124*F124+N(G124))</f>
        <v/>
      </c>
      <c r="I124" s="10" t="n"/>
      <c r="J124" s="10">
        <f>IF(H124="","",H124-N(I124))</f>
        <v/>
      </c>
      <c r="K124">
        <f>IF(H124="","",IF(J124&lt;=0,"Paid",IF(I124&gt;0,"Partial","Pending")))</f>
        <v/>
      </c>
    </row>
    <row r="125">
      <c r="B125" s="12" t="n"/>
      <c r="F125" s="10" t="n"/>
      <c r="G125" s="10" t="n"/>
      <c r="H125" s="10">
        <f>IF(OR(E125="",F125=""),"",E125*F125+N(G125))</f>
        <v/>
      </c>
      <c r="I125" s="10" t="n"/>
      <c r="J125" s="10">
        <f>IF(H125="","",H125-N(I125))</f>
        <v/>
      </c>
      <c r="K125">
        <f>IF(H125="","",IF(J125&lt;=0,"Paid",IF(I125&gt;0,"Partial","Pending")))</f>
        <v/>
      </c>
    </row>
    <row r="126">
      <c r="B126" s="12" t="n"/>
      <c r="F126" s="10" t="n"/>
      <c r="G126" s="10" t="n"/>
      <c r="H126" s="10">
        <f>IF(OR(E126="",F126=""),"",E126*F126+N(G126))</f>
        <v/>
      </c>
      <c r="I126" s="10" t="n"/>
      <c r="J126" s="10">
        <f>IF(H126="","",H126-N(I126))</f>
        <v/>
      </c>
      <c r="K126">
        <f>IF(H126="","",IF(J126&lt;=0,"Paid",IF(I126&gt;0,"Partial","Pending")))</f>
        <v/>
      </c>
    </row>
    <row r="127">
      <c r="B127" s="12" t="n"/>
      <c r="F127" s="10" t="n"/>
      <c r="G127" s="10" t="n"/>
      <c r="H127" s="10">
        <f>IF(OR(E127="",F127=""),"",E127*F127+N(G127))</f>
        <v/>
      </c>
      <c r="I127" s="10" t="n"/>
      <c r="J127" s="10">
        <f>IF(H127="","",H127-N(I127))</f>
        <v/>
      </c>
      <c r="K127">
        <f>IF(H127="","",IF(J127&lt;=0,"Paid",IF(I127&gt;0,"Partial","Pending")))</f>
        <v/>
      </c>
    </row>
    <row r="128">
      <c r="B128" s="12" t="n"/>
      <c r="F128" s="10" t="n"/>
      <c r="G128" s="10" t="n"/>
      <c r="H128" s="10">
        <f>IF(OR(E128="",F128=""),"",E128*F128+N(G128))</f>
        <v/>
      </c>
      <c r="I128" s="10" t="n"/>
      <c r="J128" s="10">
        <f>IF(H128="","",H128-N(I128))</f>
        <v/>
      </c>
      <c r="K128">
        <f>IF(H128="","",IF(J128&lt;=0,"Paid",IF(I128&gt;0,"Partial","Pending")))</f>
        <v/>
      </c>
    </row>
    <row r="129">
      <c r="B129" s="12" t="n"/>
      <c r="F129" s="10" t="n"/>
      <c r="G129" s="10" t="n"/>
      <c r="H129" s="10">
        <f>IF(OR(E129="",F129=""),"",E129*F129+N(G129))</f>
        <v/>
      </c>
      <c r="I129" s="10" t="n"/>
      <c r="J129" s="10">
        <f>IF(H129="","",H129-N(I129))</f>
        <v/>
      </c>
      <c r="K129">
        <f>IF(H129="","",IF(J129&lt;=0,"Paid",IF(I129&gt;0,"Partial","Pending")))</f>
        <v/>
      </c>
    </row>
    <row r="130">
      <c r="B130" s="12" t="n"/>
      <c r="F130" s="10" t="n"/>
      <c r="G130" s="10" t="n"/>
      <c r="H130" s="10">
        <f>IF(OR(E130="",F130=""),"",E130*F130+N(G130))</f>
        <v/>
      </c>
      <c r="I130" s="10" t="n"/>
      <c r="J130" s="10">
        <f>IF(H130="","",H130-N(I130))</f>
        <v/>
      </c>
      <c r="K130">
        <f>IF(H130="","",IF(J130&lt;=0,"Paid",IF(I130&gt;0,"Partial","Pending")))</f>
        <v/>
      </c>
    </row>
    <row r="131">
      <c r="B131" s="12" t="n"/>
      <c r="F131" s="10" t="n"/>
      <c r="G131" s="10" t="n"/>
      <c r="H131" s="10">
        <f>IF(OR(E131="",F131=""),"",E131*F131+N(G131))</f>
        <v/>
      </c>
      <c r="I131" s="10" t="n"/>
      <c r="J131" s="10">
        <f>IF(H131="","",H131-N(I131))</f>
        <v/>
      </c>
      <c r="K131">
        <f>IF(H131="","",IF(J131&lt;=0,"Paid",IF(I131&gt;0,"Partial","Pending")))</f>
        <v/>
      </c>
    </row>
    <row r="132">
      <c r="B132" s="12" t="n"/>
      <c r="F132" s="10" t="n"/>
      <c r="G132" s="10" t="n"/>
      <c r="H132" s="10">
        <f>IF(OR(E132="",F132=""),"",E132*F132+N(G132))</f>
        <v/>
      </c>
      <c r="I132" s="10" t="n"/>
      <c r="J132" s="10">
        <f>IF(H132="","",H132-N(I132))</f>
        <v/>
      </c>
      <c r="K132">
        <f>IF(H132="","",IF(J132&lt;=0,"Paid",IF(I132&gt;0,"Partial","Pending")))</f>
        <v/>
      </c>
    </row>
    <row r="133">
      <c r="B133" s="12" t="n"/>
      <c r="F133" s="10" t="n"/>
      <c r="G133" s="10" t="n"/>
      <c r="H133" s="10">
        <f>IF(OR(E133="",F133=""),"",E133*F133+N(G133))</f>
        <v/>
      </c>
      <c r="I133" s="10" t="n"/>
      <c r="J133" s="10">
        <f>IF(H133="","",H133-N(I133))</f>
        <v/>
      </c>
      <c r="K133">
        <f>IF(H133="","",IF(J133&lt;=0,"Paid",IF(I133&gt;0,"Partial","Pending")))</f>
        <v/>
      </c>
    </row>
    <row r="134">
      <c r="B134" s="12" t="n"/>
      <c r="F134" s="10" t="n"/>
      <c r="G134" s="10" t="n"/>
      <c r="H134" s="10">
        <f>IF(OR(E134="",F134=""),"",E134*F134+N(G134))</f>
        <v/>
      </c>
      <c r="I134" s="10" t="n"/>
      <c r="J134" s="10">
        <f>IF(H134="","",H134-N(I134))</f>
        <v/>
      </c>
      <c r="K134">
        <f>IF(H134="","",IF(J134&lt;=0,"Paid",IF(I134&gt;0,"Partial","Pending")))</f>
        <v/>
      </c>
    </row>
    <row r="135">
      <c r="B135" s="12" t="n"/>
      <c r="F135" s="10" t="n"/>
      <c r="G135" s="10" t="n"/>
      <c r="H135" s="10">
        <f>IF(OR(E135="",F135=""),"",E135*F135+N(G135))</f>
        <v/>
      </c>
      <c r="I135" s="10" t="n"/>
      <c r="J135" s="10">
        <f>IF(H135="","",H135-N(I135))</f>
        <v/>
      </c>
      <c r="K135">
        <f>IF(H135="","",IF(J135&lt;=0,"Paid",IF(I135&gt;0,"Partial","Pending")))</f>
        <v/>
      </c>
    </row>
    <row r="136">
      <c r="B136" s="12" t="n"/>
      <c r="F136" s="10" t="n"/>
      <c r="G136" s="10" t="n"/>
      <c r="H136" s="10">
        <f>IF(OR(E136="",F136=""),"",E136*F136+N(G136))</f>
        <v/>
      </c>
      <c r="I136" s="10" t="n"/>
      <c r="J136" s="10">
        <f>IF(H136="","",H136-N(I136))</f>
        <v/>
      </c>
      <c r="K136">
        <f>IF(H136="","",IF(J136&lt;=0,"Paid",IF(I136&gt;0,"Partial","Pending")))</f>
        <v/>
      </c>
    </row>
    <row r="137">
      <c r="B137" s="12" t="n"/>
      <c r="F137" s="10" t="n"/>
      <c r="G137" s="10" t="n"/>
      <c r="H137" s="10">
        <f>IF(OR(E137="",F137=""),"",E137*F137+N(G137))</f>
        <v/>
      </c>
      <c r="I137" s="10" t="n"/>
      <c r="J137" s="10">
        <f>IF(H137="","",H137-N(I137))</f>
        <v/>
      </c>
      <c r="K137">
        <f>IF(H137="","",IF(J137&lt;=0,"Paid",IF(I137&gt;0,"Partial","Pending")))</f>
        <v/>
      </c>
    </row>
    <row r="138">
      <c r="B138" s="12" t="n"/>
      <c r="F138" s="10" t="n"/>
      <c r="G138" s="10" t="n"/>
      <c r="H138" s="10">
        <f>IF(OR(E138="",F138=""),"",E138*F138+N(G138))</f>
        <v/>
      </c>
      <c r="I138" s="10" t="n"/>
      <c r="J138" s="10">
        <f>IF(H138="","",H138-N(I138))</f>
        <v/>
      </c>
      <c r="K138">
        <f>IF(H138="","",IF(J138&lt;=0,"Paid",IF(I138&gt;0,"Partial","Pending")))</f>
        <v/>
      </c>
    </row>
    <row r="139">
      <c r="B139" s="12" t="n"/>
      <c r="F139" s="10" t="n"/>
      <c r="G139" s="10" t="n"/>
      <c r="H139" s="10">
        <f>IF(OR(E139="",F139=""),"",E139*F139+N(G139))</f>
        <v/>
      </c>
      <c r="I139" s="10" t="n"/>
      <c r="J139" s="10">
        <f>IF(H139="","",H139-N(I139))</f>
        <v/>
      </c>
      <c r="K139">
        <f>IF(H139="","",IF(J139&lt;=0,"Paid",IF(I139&gt;0,"Partial","Pending")))</f>
        <v/>
      </c>
    </row>
    <row r="140">
      <c r="B140" s="12" t="n"/>
      <c r="F140" s="10" t="n"/>
      <c r="G140" s="10" t="n"/>
      <c r="H140" s="10">
        <f>IF(OR(E140="",F140=""),"",E140*F140+N(G140))</f>
        <v/>
      </c>
      <c r="I140" s="10" t="n"/>
      <c r="J140" s="10">
        <f>IF(H140="","",H140-N(I140))</f>
        <v/>
      </c>
      <c r="K140">
        <f>IF(H140="","",IF(J140&lt;=0,"Paid",IF(I140&gt;0,"Partial","Pending")))</f>
        <v/>
      </c>
    </row>
    <row r="141">
      <c r="B141" s="12" t="n"/>
      <c r="F141" s="10" t="n"/>
      <c r="G141" s="10" t="n"/>
      <c r="H141" s="10">
        <f>IF(OR(E141="",F141=""),"",E141*F141+N(G141))</f>
        <v/>
      </c>
      <c r="I141" s="10" t="n"/>
      <c r="J141" s="10">
        <f>IF(H141="","",H141-N(I141))</f>
        <v/>
      </c>
      <c r="K141">
        <f>IF(H141="","",IF(J141&lt;=0,"Paid",IF(I141&gt;0,"Partial","Pending")))</f>
        <v/>
      </c>
    </row>
    <row r="142">
      <c r="B142" s="12" t="n"/>
      <c r="F142" s="10" t="n"/>
      <c r="G142" s="10" t="n"/>
      <c r="H142" s="10">
        <f>IF(OR(E142="",F142=""),"",E142*F142+N(G142))</f>
        <v/>
      </c>
      <c r="I142" s="10" t="n"/>
      <c r="J142" s="10">
        <f>IF(H142="","",H142-N(I142))</f>
        <v/>
      </c>
      <c r="K142">
        <f>IF(H142="","",IF(J142&lt;=0,"Paid",IF(I142&gt;0,"Partial","Pending")))</f>
        <v/>
      </c>
    </row>
    <row r="143">
      <c r="B143" s="12" t="n"/>
      <c r="F143" s="10" t="n"/>
      <c r="G143" s="10" t="n"/>
      <c r="H143" s="10">
        <f>IF(OR(E143="",F143=""),"",E143*F143+N(G143))</f>
        <v/>
      </c>
      <c r="I143" s="10" t="n"/>
      <c r="J143" s="10">
        <f>IF(H143="","",H143-N(I143))</f>
        <v/>
      </c>
      <c r="K143">
        <f>IF(H143="","",IF(J143&lt;=0,"Paid",IF(I143&gt;0,"Partial","Pending")))</f>
        <v/>
      </c>
    </row>
    <row r="144">
      <c r="B144" s="12" t="n"/>
      <c r="F144" s="10" t="n"/>
      <c r="G144" s="10" t="n"/>
      <c r="H144" s="10">
        <f>IF(OR(E144="",F144=""),"",E144*F144+N(G144))</f>
        <v/>
      </c>
      <c r="I144" s="10" t="n"/>
      <c r="J144" s="10">
        <f>IF(H144="","",H144-N(I144))</f>
        <v/>
      </c>
      <c r="K144">
        <f>IF(H144="","",IF(J144&lt;=0,"Paid",IF(I144&gt;0,"Partial","Pending")))</f>
        <v/>
      </c>
    </row>
    <row r="145">
      <c r="B145" s="12" t="n"/>
      <c r="F145" s="10" t="n"/>
      <c r="G145" s="10" t="n"/>
      <c r="H145" s="10">
        <f>IF(OR(E145="",F145=""),"",E145*F145+N(G145))</f>
        <v/>
      </c>
      <c r="I145" s="10" t="n"/>
      <c r="J145" s="10">
        <f>IF(H145="","",H145-N(I145))</f>
        <v/>
      </c>
      <c r="K145">
        <f>IF(H145="","",IF(J145&lt;=0,"Paid",IF(I145&gt;0,"Partial","Pending")))</f>
        <v/>
      </c>
    </row>
    <row r="146">
      <c r="B146" s="12" t="n"/>
      <c r="F146" s="10" t="n"/>
      <c r="G146" s="10" t="n"/>
      <c r="H146" s="10">
        <f>IF(OR(E146="",F146=""),"",E146*F146+N(G146))</f>
        <v/>
      </c>
      <c r="I146" s="10" t="n"/>
      <c r="J146" s="10">
        <f>IF(H146="","",H146-N(I146))</f>
        <v/>
      </c>
      <c r="K146">
        <f>IF(H146="","",IF(J146&lt;=0,"Paid",IF(I146&gt;0,"Partial","Pending")))</f>
        <v/>
      </c>
    </row>
    <row r="147">
      <c r="B147" s="12" t="n"/>
      <c r="F147" s="10" t="n"/>
      <c r="G147" s="10" t="n"/>
      <c r="H147" s="10">
        <f>IF(OR(E147="",F147=""),"",E147*F147+N(G147))</f>
        <v/>
      </c>
      <c r="I147" s="10" t="n"/>
      <c r="J147" s="10">
        <f>IF(H147="","",H147-N(I147))</f>
        <v/>
      </c>
      <c r="K147">
        <f>IF(H147="","",IF(J147&lt;=0,"Paid",IF(I147&gt;0,"Partial","Pending")))</f>
        <v/>
      </c>
    </row>
    <row r="148">
      <c r="B148" s="12" t="n"/>
      <c r="F148" s="10" t="n"/>
      <c r="G148" s="10" t="n"/>
      <c r="H148" s="10">
        <f>IF(OR(E148="",F148=""),"",E148*F148+N(G148))</f>
        <v/>
      </c>
      <c r="I148" s="10" t="n"/>
      <c r="J148" s="10">
        <f>IF(H148="","",H148-N(I148))</f>
        <v/>
      </c>
      <c r="K148">
        <f>IF(H148="","",IF(J148&lt;=0,"Paid",IF(I148&gt;0,"Partial","Pending")))</f>
        <v/>
      </c>
    </row>
    <row r="149">
      <c r="B149" s="12" t="n"/>
      <c r="F149" s="10" t="n"/>
      <c r="G149" s="10" t="n"/>
      <c r="H149" s="10">
        <f>IF(OR(E149="",F149=""),"",E149*F149+N(G149))</f>
        <v/>
      </c>
      <c r="I149" s="10" t="n"/>
      <c r="J149" s="10">
        <f>IF(H149="","",H149-N(I149))</f>
        <v/>
      </c>
      <c r="K149">
        <f>IF(H149="","",IF(J149&lt;=0,"Paid",IF(I149&gt;0,"Partial","Pending")))</f>
        <v/>
      </c>
    </row>
    <row r="150">
      <c r="B150" s="12" t="n"/>
      <c r="F150" s="10" t="n"/>
      <c r="G150" s="10" t="n"/>
      <c r="H150" s="10">
        <f>IF(OR(E150="",F150=""),"",E150*F150+N(G150))</f>
        <v/>
      </c>
      <c r="I150" s="10" t="n"/>
      <c r="J150" s="10">
        <f>IF(H150="","",H150-N(I150))</f>
        <v/>
      </c>
      <c r="K150">
        <f>IF(H150="","",IF(J150&lt;=0,"Paid",IF(I150&gt;0,"Partial","Pending")))</f>
        <v/>
      </c>
    </row>
    <row r="151">
      <c r="B151" s="12" t="n"/>
      <c r="F151" s="10" t="n"/>
      <c r="G151" s="10" t="n"/>
      <c r="H151" s="10">
        <f>IF(OR(E151="",F151=""),"",E151*F151+N(G151))</f>
        <v/>
      </c>
      <c r="I151" s="10" t="n"/>
      <c r="J151" s="10">
        <f>IF(H151="","",H151-N(I151))</f>
        <v/>
      </c>
      <c r="K151">
        <f>IF(H151="","",IF(J151&lt;=0,"Paid",IF(I151&gt;0,"Partial","Pending")))</f>
        <v/>
      </c>
    </row>
    <row r="152">
      <c r="B152" s="12" t="n"/>
      <c r="F152" s="10" t="n"/>
      <c r="G152" s="10" t="n"/>
      <c r="H152" s="10">
        <f>IF(OR(E152="",F152=""),"",E152*F152+N(G152))</f>
        <v/>
      </c>
      <c r="I152" s="10" t="n"/>
      <c r="J152" s="10">
        <f>IF(H152="","",H152-N(I152))</f>
        <v/>
      </c>
      <c r="K152">
        <f>IF(H152="","",IF(J152&lt;=0,"Paid",IF(I152&gt;0,"Partial","Pending")))</f>
        <v/>
      </c>
    </row>
    <row r="153">
      <c r="B153" s="12" t="n"/>
      <c r="F153" s="10" t="n"/>
      <c r="G153" s="10" t="n"/>
      <c r="H153" s="10">
        <f>IF(OR(E153="",F153=""),"",E153*F153+N(G153))</f>
        <v/>
      </c>
      <c r="I153" s="10" t="n"/>
      <c r="J153" s="10">
        <f>IF(H153="","",H153-N(I153))</f>
        <v/>
      </c>
      <c r="K153">
        <f>IF(H153="","",IF(J153&lt;=0,"Paid",IF(I153&gt;0,"Partial","Pending")))</f>
        <v/>
      </c>
    </row>
    <row r="154">
      <c r="B154" s="12" t="n"/>
      <c r="F154" s="10" t="n"/>
      <c r="G154" s="10" t="n"/>
      <c r="H154" s="10">
        <f>IF(OR(E154="",F154=""),"",E154*F154+N(G154))</f>
        <v/>
      </c>
      <c r="I154" s="10" t="n"/>
      <c r="J154" s="10">
        <f>IF(H154="","",H154-N(I154))</f>
        <v/>
      </c>
      <c r="K154">
        <f>IF(H154="","",IF(J154&lt;=0,"Paid",IF(I154&gt;0,"Partial","Pending")))</f>
        <v/>
      </c>
    </row>
    <row r="155">
      <c r="B155" s="12" t="n"/>
      <c r="F155" s="10" t="n"/>
      <c r="G155" s="10" t="n"/>
      <c r="H155" s="10">
        <f>IF(OR(E155="",F155=""),"",E155*F155+N(G155))</f>
        <v/>
      </c>
      <c r="I155" s="10" t="n"/>
      <c r="J155" s="10">
        <f>IF(H155="","",H155-N(I155))</f>
        <v/>
      </c>
      <c r="K155">
        <f>IF(H155="","",IF(J155&lt;=0,"Paid",IF(I155&gt;0,"Partial","Pending")))</f>
        <v/>
      </c>
    </row>
    <row r="156">
      <c r="B156" s="12" t="n"/>
      <c r="F156" s="10" t="n"/>
      <c r="G156" s="10" t="n"/>
      <c r="H156" s="10">
        <f>IF(OR(E156="",F156=""),"",E156*F156+N(G156))</f>
        <v/>
      </c>
      <c r="I156" s="10" t="n"/>
      <c r="J156" s="10">
        <f>IF(H156="","",H156-N(I156))</f>
        <v/>
      </c>
      <c r="K156">
        <f>IF(H156="","",IF(J156&lt;=0,"Paid",IF(I156&gt;0,"Partial","Pending")))</f>
        <v/>
      </c>
    </row>
    <row r="157">
      <c r="B157" s="12" t="n"/>
      <c r="F157" s="10" t="n"/>
      <c r="G157" s="10" t="n"/>
      <c r="H157" s="10">
        <f>IF(OR(E157="",F157=""),"",E157*F157+N(G157))</f>
        <v/>
      </c>
      <c r="I157" s="10" t="n"/>
      <c r="J157" s="10">
        <f>IF(H157="","",H157-N(I157))</f>
        <v/>
      </c>
      <c r="K157">
        <f>IF(H157="","",IF(J157&lt;=0,"Paid",IF(I157&gt;0,"Partial","Pending")))</f>
        <v/>
      </c>
    </row>
    <row r="158">
      <c r="B158" s="12" t="n"/>
      <c r="F158" s="10" t="n"/>
      <c r="G158" s="10" t="n"/>
      <c r="H158" s="10">
        <f>IF(OR(E158="",F158=""),"",E158*F158+N(G158))</f>
        <v/>
      </c>
      <c r="I158" s="10" t="n"/>
      <c r="J158" s="10">
        <f>IF(H158="","",H158-N(I158))</f>
        <v/>
      </c>
      <c r="K158">
        <f>IF(H158="","",IF(J158&lt;=0,"Paid",IF(I158&gt;0,"Partial","Pending")))</f>
        <v/>
      </c>
    </row>
    <row r="159">
      <c r="B159" s="12" t="n"/>
      <c r="F159" s="10" t="n"/>
      <c r="G159" s="10" t="n"/>
      <c r="H159" s="10">
        <f>IF(OR(E159="",F159=""),"",E159*F159+N(G159))</f>
        <v/>
      </c>
      <c r="I159" s="10" t="n"/>
      <c r="J159" s="10">
        <f>IF(H159="","",H159-N(I159))</f>
        <v/>
      </c>
      <c r="K159">
        <f>IF(H159="","",IF(J159&lt;=0,"Paid",IF(I159&gt;0,"Partial","Pending")))</f>
        <v/>
      </c>
    </row>
    <row r="160">
      <c r="B160" s="12" t="n"/>
      <c r="F160" s="10" t="n"/>
      <c r="G160" s="10" t="n"/>
      <c r="H160" s="10">
        <f>IF(OR(E160="",F160=""),"",E160*F160+N(G160))</f>
        <v/>
      </c>
      <c r="I160" s="10" t="n"/>
      <c r="J160" s="10">
        <f>IF(H160="","",H160-N(I160))</f>
        <v/>
      </c>
      <c r="K160">
        <f>IF(H160="","",IF(J160&lt;=0,"Paid",IF(I160&gt;0,"Partial","Pending")))</f>
        <v/>
      </c>
    </row>
    <row r="161">
      <c r="B161" s="12" t="n"/>
      <c r="F161" s="10" t="n"/>
      <c r="G161" s="10" t="n"/>
      <c r="H161" s="10">
        <f>IF(OR(E161="",F161=""),"",E161*F161+N(G161))</f>
        <v/>
      </c>
      <c r="I161" s="10" t="n"/>
      <c r="J161" s="10">
        <f>IF(H161="","",H161-N(I161))</f>
        <v/>
      </c>
      <c r="K161">
        <f>IF(H161="","",IF(J161&lt;=0,"Paid",IF(I161&gt;0,"Partial","Pending")))</f>
        <v/>
      </c>
    </row>
    <row r="162">
      <c r="B162" s="12" t="n"/>
      <c r="F162" s="10" t="n"/>
      <c r="G162" s="10" t="n"/>
      <c r="H162" s="10">
        <f>IF(OR(E162="",F162=""),"",E162*F162+N(G162))</f>
        <v/>
      </c>
      <c r="I162" s="10" t="n"/>
      <c r="J162" s="10">
        <f>IF(H162="","",H162-N(I162))</f>
        <v/>
      </c>
      <c r="K162">
        <f>IF(H162="","",IF(J162&lt;=0,"Paid",IF(I162&gt;0,"Partial","Pending")))</f>
        <v/>
      </c>
    </row>
    <row r="163">
      <c r="B163" s="12" t="n"/>
      <c r="F163" s="10" t="n"/>
      <c r="G163" s="10" t="n"/>
      <c r="H163" s="10">
        <f>IF(OR(E163="",F163=""),"",E163*F163+N(G163))</f>
        <v/>
      </c>
      <c r="I163" s="10" t="n"/>
      <c r="J163" s="10">
        <f>IF(H163="","",H163-N(I163))</f>
        <v/>
      </c>
      <c r="K163">
        <f>IF(H163="","",IF(J163&lt;=0,"Paid",IF(I163&gt;0,"Partial","Pending")))</f>
        <v/>
      </c>
    </row>
    <row r="164">
      <c r="B164" s="12" t="n"/>
      <c r="F164" s="10" t="n"/>
      <c r="G164" s="10" t="n"/>
      <c r="H164" s="10">
        <f>IF(OR(E164="",F164=""),"",E164*F164+N(G164))</f>
        <v/>
      </c>
      <c r="I164" s="10" t="n"/>
      <c r="J164" s="10">
        <f>IF(H164="","",H164-N(I164))</f>
        <v/>
      </c>
      <c r="K164">
        <f>IF(H164="","",IF(J164&lt;=0,"Paid",IF(I164&gt;0,"Partial","Pending")))</f>
        <v/>
      </c>
    </row>
    <row r="165">
      <c r="B165" s="12" t="n"/>
      <c r="F165" s="10" t="n"/>
      <c r="G165" s="10" t="n"/>
      <c r="H165" s="10">
        <f>IF(OR(E165="",F165=""),"",E165*F165+N(G165))</f>
        <v/>
      </c>
      <c r="I165" s="10" t="n"/>
      <c r="J165" s="10">
        <f>IF(H165="","",H165-N(I165))</f>
        <v/>
      </c>
      <c r="K165">
        <f>IF(H165="","",IF(J165&lt;=0,"Paid",IF(I165&gt;0,"Partial","Pending")))</f>
        <v/>
      </c>
    </row>
    <row r="166">
      <c r="B166" s="12" t="n"/>
      <c r="F166" s="10" t="n"/>
      <c r="G166" s="10" t="n"/>
      <c r="H166" s="10">
        <f>IF(OR(E166="",F166=""),"",E166*F166+N(G166))</f>
        <v/>
      </c>
      <c r="I166" s="10" t="n"/>
      <c r="J166" s="10">
        <f>IF(H166="","",H166-N(I166))</f>
        <v/>
      </c>
      <c r="K166">
        <f>IF(H166="","",IF(J166&lt;=0,"Paid",IF(I166&gt;0,"Partial","Pending")))</f>
        <v/>
      </c>
    </row>
    <row r="167">
      <c r="B167" s="12" t="n"/>
      <c r="F167" s="10" t="n"/>
      <c r="G167" s="10" t="n"/>
      <c r="H167" s="10">
        <f>IF(OR(E167="",F167=""),"",E167*F167+N(G167))</f>
        <v/>
      </c>
      <c r="I167" s="10" t="n"/>
      <c r="J167" s="10">
        <f>IF(H167="","",H167-N(I167))</f>
        <v/>
      </c>
      <c r="K167">
        <f>IF(H167="","",IF(J167&lt;=0,"Paid",IF(I167&gt;0,"Partial","Pending")))</f>
        <v/>
      </c>
    </row>
    <row r="168">
      <c r="B168" s="12" t="n"/>
      <c r="F168" s="10" t="n"/>
      <c r="G168" s="10" t="n"/>
      <c r="H168" s="10">
        <f>IF(OR(E168="",F168=""),"",E168*F168+N(G168))</f>
        <v/>
      </c>
      <c r="I168" s="10" t="n"/>
      <c r="J168" s="10">
        <f>IF(H168="","",H168-N(I168))</f>
        <v/>
      </c>
      <c r="K168">
        <f>IF(H168="","",IF(J168&lt;=0,"Paid",IF(I168&gt;0,"Partial","Pending")))</f>
        <v/>
      </c>
    </row>
    <row r="169">
      <c r="B169" s="12" t="n"/>
      <c r="F169" s="10" t="n"/>
      <c r="G169" s="10" t="n"/>
      <c r="H169" s="10">
        <f>IF(OR(E169="",F169=""),"",E169*F169+N(G169))</f>
        <v/>
      </c>
      <c r="I169" s="10" t="n"/>
      <c r="J169" s="10">
        <f>IF(H169="","",H169-N(I169))</f>
        <v/>
      </c>
      <c r="K169">
        <f>IF(H169="","",IF(J169&lt;=0,"Paid",IF(I169&gt;0,"Partial","Pending")))</f>
        <v/>
      </c>
    </row>
    <row r="170">
      <c r="B170" s="12" t="n"/>
      <c r="F170" s="10" t="n"/>
      <c r="G170" s="10" t="n"/>
      <c r="H170" s="10">
        <f>IF(OR(E170="",F170=""),"",E170*F170+N(G170))</f>
        <v/>
      </c>
      <c r="I170" s="10" t="n"/>
      <c r="J170" s="10">
        <f>IF(H170="","",H170-N(I170))</f>
        <v/>
      </c>
      <c r="K170">
        <f>IF(H170="","",IF(J170&lt;=0,"Paid",IF(I170&gt;0,"Partial","Pending")))</f>
        <v/>
      </c>
    </row>
    <row r="171">
      <c r="B171" s="12" t="n"/>
      <c r="F171" s="10" t="n"/>
      <c r="G171" s="10" t="n"/>
      <c r="H171" s="10">
        <f>IF(OR(E171="",F171=""),"",E171*F171+N(G171))</f>
        <v/>
      </c>
      <c r="I171" s="10" t="n"/>
      <c r="J171" s="10">
        <f>IF(H171="","",H171-N(I171))</f>
        <v/>
      </c>
      <c r="K171">
        <f>IF(H171="","",IF(J171&lt;=0,"Paid",IF(I171&gt;0,"Partial","Pending")))</f>
        <v/>
      </c>
    </row>
    <row r="172">
      <c r="B172" s="12" t="n"/>
      <c r="F172" s="10" t="n"/>
      <c r="G172" s="10" t="n"/>
      <c r="H172" s="10">
        <f>IF(OR(E172="",F172=""),"",E172*F172+N(G172))</f>
        <v/>
      </c>
      <c r="I172" s="10" t="n"/>
      <c r="J172" s="10">
        <f>IF(H172="","",H172-N(I172))</f>
        <v/>
      </c>
      <c r="K172">
        <f>IF(H172="","",IF(J172&lt;=0,"Paid",IF(I172&gt;0,"Partial","Pending")))</f>
        <v/>
      </c>
    </row>
    <row r="173">
      <c r="B173" s="12" t="n"/>
      <c r="F173" s="10" t="n"/>
      <c r="G173" s="10" t="n"/>
      <c r="H173" s="10">
        <f>IF(OR(E173="",F173=""),"",E173*F173+N(G173))</f>
        <v/>
      </c>
      <c r="I173" s="10" t="n"/>
      <c r="J173" s="10">
        <f>IF(H173="","",H173-N(I173))</f>
        <v/>
      </c>
      <c r="K173">
        <f>IF(H173="","",IF(J173&lt;=0,"Paid",IF(I173&gt;0,"Partial","Pending")))</f>
        <v/>
      </c>
    </row>
    <row r="174">
      <c r="B174" s="12" t="n"/>
      <c r="F174" s="10" t="n"/>
      <c r="G174" s="10" t="n"/>
      <c r="H174" s="10">
        <f>IF(OR(E174="",F174=""),"",E174*F174+N(G174))</f>
        <v/>
      </c>
      <c r="I174" s="10" t="n"/>
      <c r="J174" s="10">
        <f>IF(H174="","",H174-N(I174))</f>
        <v/>
      </c>
      <c r="K174">
        <f>IF(H174="","",IF(J174&lt;=0,"Paid",IF(I174&gt;0,"Partial","Pending")))</f>
        <v/>
      </c>
    </row>
    <row r="175">
      <c r="B175" s="12" t="n"/>
      <c r="F175" s="10" t="n"/>
      <c r="G175" s="10" t="n"/>
      <c r="H175" s="10">
        <f>IF(OR(E175="",F175=""),"",E175*F175+N(G175))</f>
        <v/>
      </c>
      <c r="I175" s="10" t="n"/>
      <c r="J175" s="10">
        <f>IF(H175="","",H175-N(I175))</f>
        <v/>
      </c>
      <c r="K175">
        <f>IF(H175="","",IF(J175&lt;=0,"Paid",IF(I175&gt;0,"Partial","Pending")))</f>
        <v/>
      </c>
    </row>
    <row r="176">
      <c r="B176" s="12" t="n"/>
      <c r="F176" s="10" t="n"/>
      <c r="G176" s="10" t="n"/>
      <c r="H176" s="10">
        <f>IF(OR(E176="",F176=""),"",E176*F176+N(G176))</f>
        <v/>
      </c>
      <c r="I176" s="10" t="n"/>
      <c r="J176" s="10">
        <f>IF(H176="","",H176-N(I176))</f>
        <v/>
      </c>
      <c r="K176">
        <f>IF(H176="","",IF(J176&lt;=0,"Paid",IF(I176&gt;0,"Partial","Pending")))</f>
        <v/>
      </c>
    </row>
    <row r="177">
      <c r="B177" s="12" t="n"/>
      <c r="F177" s="10" t="n"/>
      <c r="G177" s="10" t="n"/>
      <c r="H177" s="10">
        <f>IF(OR(E177="",F177=""),"",E177*F177+N(G177))</f>
        <v/>
      </c>
      <c r="I177" s="10" t="n"/>
      <c r="J177" s="10">
        <f>IF(H177="","",H177-N(I177))</f>
        <v/>
      </c>
      <c r="K177">
        <f>IF(H177="","",IF(J177&lt;=0,"Paid",IF(I177&gt;0,"Partial","Pending")))</f>
        <v/>
      </c>
    </row>
    <row r="178">
      <c r="B178" s="12" t="n"/>
      <c r="F178" s="10" t="n"/>
      <c r="G178" s="10" t="n"/>
      <c r="H178" s="10">
        <f>IF(OR(E178="",F178=""),"",E178*F178+N(G178))</f>
        <v/>
      </c>
      <c r="I178" s="10" t="n"/>
      <c r="J178" s="10">
        <f>IF(H178="","",H178-N(I178))</f>
        <v/>
      </c>
      <c r="K178">
        <f>IF(H178="","",IF(J178&lt;=0,"Paid",IF(I178&gt;0,"Partial","Pending")))</f>
        <v/>
      </c>
    </row>
    <row r="179">
      <c r="B179" s="12" t="n"/>
      <c r="F179" s="10" t="n"/>
      <c r="G179" s="10" t="n"/>
      <c r="H179" s="10">
        <f>IF(OR(E179="",F179=""),"",E179*F179+N(G179))</f>
        <v/>
      </c>
      <c r="I179" s="10" t="n"/>
      <c r="J179" s="10">
        <f>IF(H179="","",H179-N(I179))</f>
        <v/>
      </c>
      <c r="K179">
        <f>IF(H179="","",IF(J179&lt;=0,"Paid",IF(I179&gt;0,"Partial","Pending")))</f>
        <v/>
      </c>
    </row>
    <row r="180">
      <c r="B180" s="12" t="n"/>
      <c r="F180" s="10" t="n"/>
      <c r="G180" s="10" t="n"/>
      <c r="H180" s="10">
        <f>IF(OR(E180="",F180=""),"",E180*F180+N(G180))</f>
        <v/>
      </c>
      <c r="I180" s="10" t="n"/>
      <c r="J180" s="10">
        <f>IF(H180="","",H180-N(I180))</f>
        <v/>
      </c>
      <c r="K180">
        <f>IF(H180="","",IF(J180&lt;=0,"Paid",IF(I180&gt;0,"Partial","Pending")))</f>
        <v/>
      </c>
    </row>
    <row r="181">
      <c r="B181" s="12" t="n"/>
      <c r="F181" s="10" t="n"/>
      <c r="G181" s="10" t="n"/>
      <c r="H181" s="10">
        <f>IF(OR(E181="",F181=""),"",E181*F181+N(G181))</f>
        <v/>
      </c>
      <c r="I181" s="10" t="n"/>
      <c r="J181" s="10">
        <f>IF(H181="","",H181-N(I181))</f>
        <v/>
      </c>
      <c r="K181">
        <f>IF(H181="","",IF(J181&lt;=0,"Paid",IF(I181&gt;0,"Partial","Pending")))</f>
        <v/>
      </c>
    </row>
    <row r="182">
      <c r="B182" s="12" t="n"/>
      <c r="F182" s="10" t="n"/>
      <c r="G182" s="10" t="n"/>
      <c r="H182" s="10">
        <f>IF(OR(E182="",F182=""),"",E182*F182+N(G182))</f>
        <v/>
      </c>
      <c r="I182" s="10" t="n"/>
      <c r="J182" s="10">
        <f>IF(H182="","",H182-N(I182))</f>
        <v/>
      </c>
      <c r="K182">
        <f>IF(H182="","",IF(J182&lt;=0,"Paid",IF(I182&gt;0,"Partial","Pending")))</f>
        <v/>
      </c>
    </row>
    <row r="183">
      <c r="B183" s="12" t="n"/>
      <c r="F183" s="10" t="n"/>
      <c r="G183" s="10" t="n"/>
      <c r="H183" s="10">
        <f>IF(OR(E183="",F183=""),"",E183*F183+N(G183))</f>
        <v/>
      </c>
      <c r="I183" s="10" t="n"/>
      <c r="J183" s="10">
        <f>IF(H183="","",H183-N(I183))</f>
        <v/>
      </c>
      <c r="K183">
        <f>IF(H183="","",IF(J183&lt;=0,"Paid",IF(I183&gt;0,"Partial","Pending")))</f>
        <v/>
      </c>
    </row>
    <row r="184">
      <c r="B184" s="12" t="n"/>
      <c r="F184" s="10" t="n"/>
      <c r="G184" s="10" t="n"/>
      <c r="H184" s="10">
        <f>IF(OR(E184="",F184=""),"",E184*F184+N(G184))</f>
        <v/>
      </c>
      <c r="I184" s="10" t="n"/>
      <c r="J184" s="10">
        <f>IF(H184="","",H184-N(I184))</f>
        <v/>
      </c>
      <c r="K184">
        <f>IF(H184="","",IF(J184&lt;=0,"Paid",IF(I184&gt;0,"Partial","Pending")))</f>
        <v/>
      </c>
    </row>
    <row r="185">
      <c r="B185" s="12" t="n"/>
      <c r="F185" s="10" t="n"/>
      <c r="G185" s="10" t="n"/>
      <c r="H185" s="10">
        <f>IF(OR(E185="",F185=""),"",E185*F185+N(G185))</f>
        <v/>
      </c>
      <c r="I185" s="10" t="n"/>
      <c r="J185" s="10">
        <f>IF(H185="","",H185-N(I185))</f>
        <v/>
      </c>
      <c r="K185">
        <f>IF(H185="","",IF(J185&lt;=0,"Paid",IF(I185&gt;0,"Partial","Pending")))</f>
        <v/>
      </c>
    </row>
    <row r="186">
      <c r="B186" s="12" t="n"/>
      <c r="F186" s="10" t="n"/>
      <c r="G186" s="10" t="n"/>
      <c r="H186" s="10">
        <f>IF(OR(E186="",F186=""),"",E186*F186+N(G186))</f>
        <v/>
      </c>
      <c r="I186" s="10" t="n"/>
      <c r="J186" s="10">
        <f>IF(H186="","",H186-N(I186))</f>
        <v/>
      </c>
      <c r="K186">
        <f>IF(H186="","",IF(J186&lt;=0,"Paid",IF(I186&gt;0,"Partial","Pending")))</f>
        <v/>
      </c>
    </row>
    <row r="187">
      <c r="B187" s="12" t="n"/>
      <c r="F187" s="10" t="n"/>
      <c r="G187" s="10" t="n"/>
      <c r="H187" s="10">
        <f>IF(OR(E187="",F187=""),"",E187*F187+N(G187))</f>
        <v/>
      </c>
      <c r="I187" s="10" t="n"/>
      <c r="J187" s="10">
        <f>IF(H187="","",H187-N(I187))</f>
        <v/>
      </c>
      <c r="K187">
        <f>IF(H187="","",IF(J187&lt;=0,"Paid",IF(I187&gt;0,"Partial","Pending")))</f>
        <v/>
      </c>
    </row>
    <row r="188">
      <c r="B188" s="12" t="n"/>
      <c r="F188" s="10" t="n"/>
      <c r="G188" s="10" t="n"/>
      <c r="H188" s="10">
        <f>IF(OR(E188="",F188=""),"",E188*F188+N(G188))</f>
        <v/>
      </c>
      <c r="I188" s="10" t="n"/>
      <c r="J188" s="10">
        <f>IF(H188="","",H188-N(I188))</f>
        <v/>
      </c>
      <c r="K188">
        <f>IF(H188="","",IF(J188&lt;=0,"Paid",IF(I188&gt;0,"Partial","Pending")))</f>
        <v/>
      </c>
    </row>
    <row r="189">
      <c r="B189" s="12" t="n"/>
      <c r="F189" s="10" t="n"/>
      <c r="G189" s="10" t="n"/>
      <c r="H189" s="10">
        <f>IF(OR(E189="",F189=""),"",E189*F189+N(G189))</f>
        <v/>
      </c>
      <c r="I189" s="10" t="n"/>
      <c r="J189" s="10">
        <f>IF(H189="","",H189-N(I189))</f>
        <v/>
      </c>
      <c r="K189">
        <f>IF(H189="","",IF(J189&lt;=0,"Paid",IF(I189&gt;0,"Partial","Pending")))</f>
        <v/>
      </c>
    </row>
    <row r="190">
      <c r="B190" s="12" t="n"/>
      <c r="F190" s="10" t="n"/>
      <c r="G190" s="10" t="n"/>
      <c r="H190" s="10">
        <f>IF(OR(E190="",F190=""),"",E190*F190+N(G190))</f>
        <v/>
      </c>
      <c r="I190" s="10" t="n"/>
      <c r="J190" s="10">
        <f>IF(H190="","",H190-N(I190))</f>
        <v/>
      </c>
      <c r="K190">
        <f>IF(H190="","",IF(J190&lt;=0,"Paid",IF(I190&gt;0,"Partial","Pending")))</f>
        <v/>
      </c>
    </row>
    <row r="191">
      <c r="B191" s="12" t="n"/>
      <c r="F191" s="10" t="n"/>
      <c r="G191" s="10" t="n"/>
      <c r="H191" s="10">
        <f>IF(OR(E191="",F191=""),"",E191*F191+N(G191))</f>
        <v/>
      </c>
      <c r="I191" s="10" t="n"/>
      <c r="J191" s="10">
        <f>IF(H191="","",H191-N(I191))</f>
        <v/>
      </c>
      <c r="K191">
        <f>IF(H191="","",IF(J191&lt;=0,"Paid",IF(I191&gt;0,"Partial","Pending")))</f>
        <v/>
      </c>
    </row>
    <row r="192">
      <c r="B192" s="12" t="n"/>
      <c r="F192" s="10" t="n"/>
      <c r="G192" s="10" t="n"/>
      <c r="H192" s="10">
        <f>IF(OR(E192="",F192=""),"",E192*F192+N(G192))</f>
        <v/>
      </c>
      <c r="I192" s="10" t="n"/>
      <c r="J192" s="10">
        <f>IF(H192="","",H192-N(I192))</f>
        <v/>
      </c>
      <c r="K192">
        <f>IF(H192="","",IF(J192&lt;=0,"Paid",IF(I192&gt;0,"Partial","Pending")))</f>
        <v/>
      </c>
    </row>
    <row r="193">
      <c r="B193" s="12" t="n"/>
      <c r="F193" s="10" t="n"/>
      <c r="G193" s="10" t="n"/>
      <c r="H193" s="10">
        <f>IF(OR(E193="",F193=""),"",E193*F193+N(G193))</f>
        <v/>
      </c>
      <c r="I193" s="10" t="n"/>
      <c r="J193" s="10">
        <f>IF(H193="","",H193-N(I193))</f>
        <v/>
      </c>
      <c r="K193">
        <f>IF(H193="","",IF(J193&lt;=0,"Paid",IF(I193&gt;0,"Partial","Pending")))</f>
        <v/>
      </c>
    </row>
    <row r="194">
      <c r="B194" s="12" t="n"/>
      <c r="F194" s="10" t="n"/>
      <c r="G194" s="10" t="n"/>
      <c r="H194" s="10">
        <f>IF(OR(E194="",F194=""),"",E194*F194+N(G194))</f>
        <v/>
      </c>
      <c r="I194" s="10" t="n"/>
      <c r="J194" s="10">
        <f>IF(H194="","",H194-N(I194))</f>
        <v/>
      </c>
      <c r="K194">
        <f>IF(H194="","",IF(J194&lt;=0,"Paid",IF(I194&gt;0,"Partial","Pending")))</f>
        <v/>
      </c>
    </row>
    <row r="195">
      <c r="B195" s="12" t="n"/>
      <c r="F195" s="10" t="n"/>
      <c r="G195" s="10" t="n"/>
      <c r="H195" s="10">
        <f>IF(OR(E195="",F195=""),"",E195*F195+N(G195))</f>
        <v/>
      </c>
      <c r="I195" s="10" t="n"/>
      <c r="J195" s="10">
        <f>IF(H195="","",H195-N(I195))</f>
        <v/>
      </c>
      <c r="K195">
        <f>IF(H195="","",IF(J195&lt;=0,"Paid",IF(I195&gt;0,"Partial","Pending")))</f>
        <v/>
      </c>
    </row>
    <row r="196">
      <c r="B196" s="12" t="n"/>
      <c r="F196" s="10" t="n"/>
      <c r="G196" s="10" t="n"/>
      <c r="H196" s="10">
        <f>IF(OR(E196="",F196=""),"",E196*F196+N(G196))</f>
        <v/>
      </c>
      <c r="I196" s="10" t="n"/>
      <c r="J196" s="10">
        <f>IF(H196="","",H196-N(I196))</f>
        <v/>
      </c>
      <c r="K196">
        <f>IF(H196="","",IF(J196&lt;=0,"Paid",IF(I196&gt;0,"Partial","Pending")))</f>
        <v/>
      </c>
    </row>
    <row r="197">
      <c r="B197" s="12" t="n"/>
      <c r="F197" s="10" t="n"/>
      <c r="G197" s="10" t="n"/>
      <c r="H197" s="10">
        <f>IF(OR(E197="",F197=""),"",E197*F197+N(G197))</f>
        <v/>
      </c>
      <c r="I197" s="10" t="n"/>
      <c r="J197" s="10">
        <f>IF(H197="","",H197-N(I197))</f>
        <v/>
      </c>
      <c r="K197">
        <f>IF(H197="","",IF(J197&lt;=0,"Paid",IF(I197&gt;0,"Partial","Pending")))</f>
        <v/>
      </c>
    </row>
    <row r="198">
      <c r="B198" s="12" t="n"/>
      <c r="F198" s="10" t="n"/>
      <c r="G198" s="10" t="n"/>
      <c r="H198" s="10">
        <f>IF(OR(E198="",F198=""),"",E198*F198+N(G198))</f>
        <v/>
      </c>
      <c r="I198" s="10" t="n"/>
      <c r="J198" s="10">
        <f>IF(H198="","",H198-N(I198))</f>
        <v/>
      </c>
      <c r="K198">
        <f>IF(H198="","",IF(J198&lt;=0,"Paid",IF(I198&gt;0,"Partial","Pending")))</f>
        <v/>
      </c>
    </row>
    <row r="199">
      <c r="B199" s="12" t="n"/>
      <c r="F199" s="10" t="n"/>
      <c r="G199" s="10" t="n"/>
      <c r="H199" s="10">
        <f>IF(OR(E199="",F199=""),"",E199*F199+N(G199))</f>
        <v/>
      </c>
      <c r="I199" s="10" t="n"/>
      <c r="J199" s="10">
        <f>IF(H199="","",H199-N(I199))</f>
        <v/>
      </c>
      <c r="K199">
        <f>IF(H199="","",IF(J199&lt;=0,"Paid",IF(I199&gt;0,"Partial","Pending")))</f>
        <v/>
      </c>
    </row>
    <row r="200">
      <c r="B200" s="12" t="n"/>
      <c r="F200" s="10" t="n"/>
      <c r="G200" s="10" t="n"/>
      <c r="H200" s="10">
        <f>IF(OR(E200="",F200=""),"",E200*F200+N(G200))</f>
        <v/>
      </c>
      <c r="I200" s="10" t="n"/>
      <c r="J200" s="10">
        <f>IF(H200="","",H200-N(I200))</f>
        <v/>
      </c>
      <c r="K200">
        <f>IF(H200="","",IF(J200&lt;=0,"Paid",IF(I200&gt;0,"Partial","Pending")))</f>
        <v/>
      </c>
    </row>
    <row r="201">
      <c r="B201" s="12" t="n"/>
      <c r="F201" s="10" t="n"/>
      <c r="G201" s="10" t="n"/>
      <c r="H201" s="10">
        <f>IF(OR(E201="",F201=""),"",E201*F201+N(G201))</f>
        <v/>
      </c>
      <c r="I201" s="10" t="n"/>
      <c r="J201" s="10">
        <f>IF(H201="","",H201-N(I201))</f>
        <v/>
      </c>
      <c r="K201">
        <f>IF(H201="","",IF(J201&lt;=0,"Paid",IF(I201&gt;0,"Partial","Pending")))</f>
        <v/>
      </c>
    </row>
    <row r="202">
      <c r="B202" s="12" t="n"/>
      <c r="F202" s="10" t="n"/>
      <c r="G202" s="10" t="n"/>
      <c r="H202" s="10">
        <f>IF(OR(E202="",F202=""),"",E202*F202+N(G202))</f>
        <v/>
      </c>
      <c r="I202" s="10" t="n"/>
      <c r="J202" s="10">
        <f>IF(H202="","",H202-N(I202))</f>
        <v/>
      </c>
      <c r="K202">
        <f>IF(H202="","",IF(J202&lt;=0,"Paid",IF(I202&gt;0,"Partial","Pending")))</f>
        <v/>
      </c>
    </row>
    <row r="203">
      <c r="B203" s="12" t="n"/>
      <c r="F203" s="10" t="n"/>
      <c r="G203" s="10" t="n"/>
      <c r="H203" s="10">
        <f>IF(OR(E203="",F203=""),"",E203*F203+N(G203))</f>
        <v/>
      </c>
      <c r="I203" s="10" t="n"/>
      <c r="J203" s="10">
        <f>IF(H203="","",H203-N(I203))</f>
        <v/>
      </c>
      <c r="K203">
        <f>IF(H203="","",IF(J203&lt;=0,"Paid",IF(I203&gt;0,"Partial","Pending")))</f>
        <v/>
      </c>
    </row>
    <row r="204">
      <c r="B204" s="12" t="n"/>
      <c r="F204" s="10" t="n"/>
      <c r="G204" s="10" t="n"/>
      <c r="H204" s="10">
        <f>IF(OR(E204="",F204=""),"",E204*F204+N(G204))</f>
        <v/>
      </c>
      <c r="I204" s="10" t="n"/>
      <c r="J204" s="10">
        <f>IF(H204="","",H204-N(I204))</f>
        <v/>
      </c>
      <c r="K204">
        <f>IF(H204="","",IF(J204&lt;=0,"Paid",IF(I204&gt;0,"Partial","Pending")))</f>
        <v/>
      </c>
    </row>
    <row r="205">
      <c r="B205" s="12" t="n"/>
      <c r="F205" s="10" t="n"/>
      <c r="G205" s="10" t="n"/>
      <c r="H205" s="10">
        <f>IF(OR(E205="",F205=""),"",E205*F205+N(G205))</f>
        <v/>
      </c>
      <c r="I205" s="10" t="n"/>
      <c r="J205" s="10">
        <f>IF(H205="","",H205-N(I205))</f>
        <v/>
      </c>
      <c r="K205">
        <f>IF(H205="","",IF(J205&lt;=0,"Paid",IF(I205&gt;0,"Partial","Pending")))</f>
        <v/>
      </c>
    </row>
    <row r="206">
      <c r="B206" s="12" t="n"/>
      <c r="F206" s="10" t="n"/>
      <c r="G206" s="10" t="n"/>
      <c r="H206" s="10">
        <f>IF(OR(E206="",F206=""),"",E206*F206+N(G206))</f>
        <v/>
      </c>
      <c r="I206" s="10" t="n"/>
      <c r="J206" s="10">
        <f>IF(H206="","",H206-N(I206))</f>
        <v/>
      </c>
      <c r="K206">
        <f>IF(H206="","",IF(J206&lt;=0,"Paid",IF(I206&gt;0,"Partial","Pending")))</f>
        <v/>
      </c>
    </row>
    <row r="207">
      <c r="B207" s="12" t="n"/>
      <c r="F207" s="10" t="n"/>
      <c r="G207" s="10" t="n"/>
      <c r="H207" s="10">
        <f>IF(OR(E207="",F207=""),"",E207*F207+N(G207))</f>
        <v/>
      </c>
      <c r="I207" s="10" t="n"/>
      <c r="J207" s="10">
        <f>IF(H207="","",H207-N(I207))</f>
        <v/>
      </c>
      <c r="K207">
        <f>IF(H207="","",IF(J207&lt;=0,"Paid",IF(I207&gt;0,"Partial","Pending")))</f>
        <v/>
      </c>
    </row>
    <row r="208">
      <c r="B208" s="12" t="n"/>
      <c r="F208" s="10" t="n"/>
      <c r="G208" s="10" t="n"/>
      <c r="H208" s="10">
        <f>IF(OR(E208="",F208=""),"",E208*F208+N(G208))</f>
        <v/>
      </c>
      <c r="I208" s="10" t="n"/>
      <c r="J208" s="10">
        <f>IF(H208="","",H208-N(I208))</f>
        <v/>
      </c>
      <c r="K208">
        <f>IF(H208="","",IF(J208&lt;=0,"Paid",IF(I208&gt;0,"Partial","Pending")))</f>
        <v/>
      </c>
    </row>
    <row r="209">
      <c r="B209" s="12" t="n"/>
      <c r="F209" s="10" t="n"/>
      <c r="G209" s="10" t="n"/>
      <c r="H209" s="10">
        <f>IF(OR(E209="",F209=""),"",E209*F209+N(G209))</f>
        <v/>
      </c>
      <c r="I209" s="10" t="n"/>
      <c r="J209" s="10">
        <f>IF(H209="","",H209-N(I209))</f>
        <v/>
      </c>
      <c r="K209">
        <f>IF(H209="","",IF(J209&lt;=0,"Paid",IF(I209&gt;0,"Partial","Pending")))</f>
        <v/>
      </c>
    </row>
    <row r="210">
      <c r="B210" s="12" t="n"/>
      <c r="F210" s="10" t="n"/>
      <c r="G210" s="10" t="n"/>
      <c r="H210" s="10">
        <f>IF(OR(E210="",F210=""),"",E210*F210+N(G210))</f>
        <v/>
      </c>
      <c r="I210" s="10" t="n"/>
      <c r="J210" s="10">
        <f>IF(H210="","",H210-N(I210))</f>
        <v/>
      </c>
      <c r="K210">
        <f>IF(H210="","",IF(J210&lt;=0,"Paid",IF(I210&gt;0,"Partial","Pending")))</f>
        <v/>
      </c>
    </row>
    <row r="211">
      <c r="B211" s="12" t="n"/>
      <c r="F211" s="10" t="n"/>
      <c r="G211" s="10" t="n"/>
      <c r="H211" s="10">
        <f>IF(OR(E211="",F211=""),"",E211*F211+N(G211))</f>
        <v/>
      </c>
      <c r="I211" s="10" t="n"/>
      <c r="J211" s="10">
        <f>IF(H211="","",H211-N(I211))</f>
        <v/>
      </c>
      <c r="K211">
        <f>IF(H211="","",IF(J211&lt;=0,"Paid",IF(I211&gt;0,"Partial","Pending")))</f>
        <v/>
      </c>
    </row>
    <row r="212">
      <c r="B212" s="12" t="n"/>
      <c r="F212" s="10" t="n"/>
      <c r="G212" s="10" t="n"/>
      <c r="H212" s="10">
        <f>IF(OR(E212="",F212=""),"",E212*F212+N(G212))</f>
        <v/>
      </c>
      <c r="I212" s="10" t="n"/>
      <c r="J212" s="10">
        <f>IF(H212="","",H212-N(I212))</f>
        <v/>
      </c>
      <c r="K212">
        <f>IF(H212="","",IF(J212&lt;=0,"Paid",IF(I212&gt;0,"Partial","Pending")))</f>
        <v/>
      </c>
    </row>
    <row r="213">
      <c r="B213" s="12" t="n"/>
      <c r="F213" s="10" t="n"/>
      <c r="G213" s="10" t="n"/>
      <c r="H213" s="10">
        <f>IF(OR(E213="",F213=""),"",E213*F213+N(G213))</f>
        <v/>
      </c>
      <c r="I213" s="10" t="n"/>
      <c r="J213" s="10">
        <f>IF(H213="","",H213-N(I213))</f>
        <v/>
      </c>
      <c r="K213">
        <f>IF(H213="","",IF(J213&lt;=0,"Paid",IF(I213&gt;0,"Partial","Pending")))</f>
        <v/>
      </c>
    </row>
    <row r="214">
      <c r="B214" s="12" t="n"/>
      <c r="F214" s="10" t="n"/>
      <c r="G214" s="10" t="n"/>
      <c r="H214" s="10">
        <f>IF(OR(E214="",F214=""),"",E214*F214+N(G214))</f>
        <v/>
      </c>
      <c r="I214" s="10" t="n"/>
      <c r="J214" s="10">
        <f>IF(H214="","",H214-N(I214))</f>
        <v/>
      </c>
      <c r="K214">
        <f>IF(H214="","",IF(J214&lt;=0,"Paid",IF(I214&gt;0,"Partial","Pending")))</f>
        <v/>
      </c>
    </row>
    <row r="215">
      <c r="B215" s="12" t="n"/>
      <c r="F215" s="10" t="n"/>
      <c r="G215" s="10" t="n"/>
      <c r="H215" s="10">
        <f>IF(OR(E215="",F215=""),"",E215*F215+N(G215))</f>
        <v/>
      </c>
      <c r="I215" s="10" t="n"/>
      <c r="J215" s="10">
        <f>IF(H215="","",H215-N(I215))</f>
        <v/>
      </c>
      <c r="K215">
        <f>IF(H215="","",IF(J215&lt;=0,"Paid",IF(I215&gt;0,"Partial","Pending")))</f>
        <v/>
      </c>
    </row>
    <row r="216">
      <c r="B216" s="12" t="n"/>
      <c r="F216" s="10" t="n"/>
      <c r="G216" s="10" t="n"/>
      <c r="H216" s="10">
        <f>IF(OR(E216="",F216=""),"",E216*F216+N(G216))</f>
        <v/>
      </c>
      <c r="I216" s="10" t="n"/>
      <c r="J216" s="10">
        <f>IF(H216="","",H216-N(I216))</f>
        <v/>
      </c>
      <c r="K216">
        <f>IF(H216="","",IF(J216&lt;=0,"Paid",IF(I216&gt;0,"Partial","Pending")))</f>
        <v/>
      </c>
    </row>
    <row r="217">
      <c r="B217" s="12" t="n"/>
      <c r="F217" s="10" t="n"/>
      <c r="G217" s="10" t="n"/>
      <c r="H217" s="10">
        <f>IF(OR(E217="",F217=""),"",E217*F217+N(G217))</f>
        <v/>
      </c>
      <c r="I217" s="10" t="n"/>
      <c r="J217" s="10">
        <f>IF(H217="","",H217-N(I217))</f>
        <v/>
      </c>
      <c r="K217">
        <f>IF(H217="","",IF(J217&lt;=0,"Paid",IF(I217&gt;0,"Partial","Pending")))</f>
        <v/>
      </c>
    </row>
    <row r="218">
      <c r="B218" s="12" t="n"/>
      <c r="F218" s="10" t="n"/>
      <c r="G218" s="10" t="n"/>
      <c r="H218" s="10">
        <f>IF(OR(E218="",F218=""),"",E218*F218+N(G218))</f>
        <v/>
      </c>
      <c r="I218" s="10" t="n"/>
      <c r="J218" s="10">
        <f>IF(H218="","",H218-N(I218))</f>
        <v/>
      </c>
      <c r="K218">
        <f>IF(H218="","",IF(J218&lt;=0,"Paid",IF(I218&gt;0,"Partial","Pending")))</f>
        <v/>
      </c>
    </row>
    <row r="219">
      <c r="B219" s="12" t="n"/>
      <c r="F219" s="10" t="n"/>
      <c r="G219" s="10" t="n"/>
      <c r="H219" s="10">
        <f>IF(OR(E219="",F219=""),"",E219*F219+N(G219))</f>
        <v/>
      </c>
      <c r="I219" s="10" t="n"/>
      <c r="J219" s="10">
        <f>IF(H219="","",H219-N(I219))</f>
        <v/>
      </c>
      <c r="K219">
        <f>IF(H219="","",IF(J219&lt;=0,"Paid",IF(I219&gt;0,"Partial","Pending")))</f>
        <v/>
      </c>
    </row>
    <row r="220">
      <c r="B220" s="12" t="n"/>
      <c r="F220" s="10" t="n"/>
      <c r="G220" s="10" t="n"/>
      <c r="H220" s="10">
        <f>IF(OR(E220="",F220=""),"",E220*F220+N(G220))</f>
        <v/>
      </c>
      <c r="I220" s="10" t="n"/>
      <c r="J220" s="10">
        <f>IF(H220="","",H220-N(I220))</f>
        <v/>
      </c>
      <c r="K220">
        <f>IF(H220="","",IF(J220&lt;=0,"Paid",IF(I220&gt;0,"Partial","Pending")))</f>
        <v/>
      </c>
    </row>
    <row r="221">
      <c r="B221" s="12" t="n"/>
      <c r="F221" s="10" t="n"/>
      <c r="G221" s="10" t="n"/>
      <c r="H221" s="10">
        <f>IF(OR(E221="",F221=""),"",E221*F221+N(G221))</f>
        <v/>
      </c>
      <c r="I221" s="10" t="n"/>
      <c r="J221" s="10">
        <f>IF(H221="","",H221-N(I221))</f>
        <v/>
      </c>
      <c r="K221">
        <f>IF(H221="","",IF(J221&lt;=0,"Paid",IF(I221&gt;0,"Partial","Pending")))</f>
        <v/>
      </c>
    </row>
    <row r="222">
      <c r="B222" s="12" t="n"/>
      <c r="F222" s="10" t="n"/>
      <c r="G222" s="10" t="n"/>
      <c r="H222" s="10">
        <f>IF(OR(E222="",F222=""),"",E222*F222+N(G222))</f>
        <v/>
      </c>
      <c r="I222" s="10" t="n"/>
      <c r="J222" s="10">
        <f>IF(H222="","",H222-N(I222))</f>
        <v/>
      </c>
      <c r="K222">
        <f>IF(H222="","",IF(J222&lt;=0,"Paid",IF(I222&gt;0,"Partial","Pending")))</f>
        <v/>
      </c>
    </row>
    <row r="223">
      <c r="B223" s="12" t="n"/>
      <c r="F223" s="10" t="n"/>
      <c r="G223" s="10" t="n"/>
      <c r="H223" s="10">
        <f>IF(OR(E223="",F223=""),"",E223*F223+N(G223))</f>
        <v/>
      </c>
      <c r="I223" s="10" t="n"/>
      <c r="J223" s="10">
        <f>IF(H223="","",H223-N(I223))</f>
        <v/>
      </c>
      <c r="K223">
        <f>IF(H223="","",IF(J223&lt;=0,"Paid",IF(I223&gt;0,"Partial","Pending")))</f>
        <v/>
      </c>
    </row>
    <row r="224">
      <c r="B224" s="12" t="n"/>
      <c r="F224" s="10" t="n"/>
      <c r="G224" s="10" t="n"/>
      <c r="H224" s="10">
        <f>IF(OR(E224="",F224=""),"",E224*F224+N(G224))</f>
        <v/>
      </c>
      <c r="I224" s="10" t="n"/>
      <c r="J224" s="10">
        <f>IF(H224="","",H224-N(I224))</f>
        <v/>
      </c>
      <c r="K224">
        <f>IF(H224="","",IF(J224&lt;=0,"Paid",IF(I224&gt;0,"Partial","Pending")))</f>
        <v/>
      </c>
    </row>
    <row r="225">
      <c r="B225" s="12" t="n"/>
      <c r="F225" s="10" t="n"/>
      <c r="G225" s="10" t="n"/>
      <c r="H225" s="10">
        <f>IF(OR(E225="",F225=""),"",E225*F225+N(G225))</f>
        <v/>
      </c>
      <c r="I225" s="10" t="n"/>
      <c r="J225" s="10">
        <f>IF(H225="","",H225-N(I225))</f>
        <v/>
      </c>
      <c r="K225">
        <f>IF(H225="","",IF(J225&lt;=0,"Paid",IF(I225&gt;0,"Partial","Pending")))</f>
        <v/>
      </c>
    </row>
    <row r="226">
      <c r="B226" s="12" t="n"/>
      <c r="F226" s="10" t="n"/>
      <c r="G226" s="10" t="n"/>
      <c r="H226" s="10">
        <f>IF(OR(E226="",F226=""),"",E226*F226+N(G226))</f>
        <v/>
      </c>
      <c r="I226" s="10" t="n"/>
      <c r="J226" s="10">
        <f>IF(H226="","",H226-N(I226))</f>
        <v/>
      </c>
      <c r="K226">
        <f>IF(H226="","",IF(J226&lt;=0,"Paid",IF(I226&gt;0,"Partial","Pending")))</f>
        <v/>
      </c>
    </row>
    <row r="227">
      <c r="B227" s="12" t="n"/>
      <c r="F227" s="10" t="n"/>
      <c r="G227" s="10" t="n"/>
      <c r="H227" s="10">
        <f>IF(OR(E227="",F227=""),"",E227*F227+N(G227))</f>
        <v/>
      </c>
      <c r="I227" s="10" t="n"/>
      <c r="J227" s="10">
        <f>IF(H227="","",H227-N(I227))</f>
        <v/>
      </c>
      <c r="K227">
        <f>IF(H227="","",IF(J227&lt;=0,"Paid",IF(I227&gt;0,"Partial","Pending")))</f>
        <v/>
      </c>
    </row>
    <row r="228">
      <c r="B228" s="12" t="n"/>
      <c r="F228" s="10" t="n"/>
      <c r="G228" s="10" t="n"/>
      <c r="H228" s="10">
        <f>IF(OR(E228="",F228=""),"",E228*F228+N(G228))</f>
        <v/>
      </c>
      <c r="I228" s="10" t="n"/>
      <c r="J228" s="10">
        <f>IF(H228="","",H228-N(I228))</f>
        <v/>
      </c>
      <c r="K228">
        <f>IF(H228="","",IF(J228&lt;=0,"Paid",IF(I228&gt;0,"Partial","Pending")))</f>
        <v/>
      </c>
    </row>
    <row r="229">
      <c r="B229" s="12" t="n"/>
      <c r="F229" s="10" t="n"/>
      <c r="G229" s="10" t="n"/>
      <c r="H229" s="10">
        <f>IF(OR(E229="",F229=""),"",E229*F229+N(G229))</f>
        <v/>
      </c>
      <c r="I229" s="10" t="n"/>
      <c r="J229" s="10">
        <f>IF(H229="","",H229-N(I229))</f>
        <v/>
      </c>
      <c r="K229">
        <f>IF(H229="","",IF(J229&lt;=0,"Paid",IF(I229&gt;0,"Partial","Pending")))</f>
        <v/>
      </c>
    </row>
    <row r="230">
      <c r="B230" s="12" t="n"/>
      <c r="F230" s="10" t="n"/>
      <c r="G230" s="10" t="n"/>
      <c r="H230" s="10">
        <f>IF(OR(E230="",F230=""),"",E230*F230+N(G230))</f>
        <v/>
      </c>
      <c r="I230" s="10" t="n"/>
      <c r="J230" s="10">
        <f>IF(H230="","",H230-N(I230))</f>
        <v/>
      </c>
      <c r="K230">
        <f>IF(H230="","",IF(J230&lt;=0,"Paid",IF(I230&gt;0,"Partial","Pending")))</f>
        <v/>
      </c>
    </row>
    <row r="231">
      <c r="B231" s="12" t="n"/>
      <c r="F231" s="10" t="n"/>
      <c r="G231" s="10" t="n"/>
      <c r="H231" s="10">
        <f>IF(OR(E231="",F231=""),"",E231*F231+N(G231))</f>
        <v/>
      </c>
      <c r="I231" s="10" t="n"/>
      <c r="J231" s="10">
        <f>IF(H231="","",H231-N(I231))</f>
        <v/>
      </c>
      <c r="K231">
        <f>IF(H231="","",IF(J231&lt;=0,"Paid",IF(I231&gt;0,"Partial","Pending")))</f>
        <v/>
      </c>
    </row>
    <row r="232">
      <c r="B232" s="12" t="n"/>
      <c r="F232" s="10" t="n"/>
      <c r="G232" s="10" t="n"/>
      <c r="H232" s="10">
        <f>IF(OR(E232="",F232=""),"",E232*F232+N(G232))</f>
        <v/>
      </c>
      <c r="I232" s="10" t="n"/>
      <c r="J232" s="10">
        <f>IF(H232="","",H232-N(I232))</f>
        <v/>
      </c>
      <c r="K232">
        <f>IF(H232="","",IF(J232&lt;=0,"Paid",IF(I232&gt;0,"Partial","Pending")))</f>
        <v/>
      </c>
    </row>
    <row r="233">
      <c r="B233" s="12" t="n"/>
      <c r="F233" s="10" t="n"/>
      <c r="G233" s="10" t="n"/>
      <c r="H233" s="10">
        <f>IF(OR(E233="",F233=""),"",E233*F233+N(G233))</f>
        <v/>
      </c>
      <c r="I233" s="10" t="n"/>
      <c r="J233" s="10">
        <f>IF(H233="","",H233-N(I233))</f>
        <v/>
      </c>
      <c r="K233">
        <f>IF(H233="","",IF(J233&lt;=0,"Paid",IF(I233&gt;0,"Partial","Pending")))</f>
        <v/>
      </c>
    </row>
    <row r="234">
      <c r="B234" s="12" t="n"/>
      <c r="F234" s="10" t="n"/>
      <c r="G234" s="10" t="n"/>
      <c r="H234" s="10">
        <f>IF(OR(E234="",F234=""),"",E234*F234+N(G234))</f>
        <v/>
      </c>
      <c r="I234" s="10" t="n"/>
      <c r="J234" s="10">
        <f>IF(H234="","",H234-N(I234))</f>
        <v/>
      </c>
      <c r="K234">
        <f>IF(H234="","",IF(J234&lt;=0,"Paid",IF(I234&gt;0,"Partial","Pending")))</f>
        <v/>
      </c>
    </row>
    <row r="235">
      <c r="B235" s="12" t="n"/>
      <c r="F235" s="10" t="n"/>
      <c r="G235" s="10" t="n"/>
      <c r="H235" s="10">
        <f>IF(OR(E235="",F235=""),"",E235*F235+N(G235))</f>
        <v/>
      </c>
      <c r="I235" s="10" t="n"/>
      <c r="J235" s="10">
        <f>IF(H235="","",H235-N(I235))</f>
        <v/>
      </c>
      <c r="K235">
        <f>IF(H235="","",IF(J235&lt;=0,"Paid",IF(I235&gt;0,"Partial","Pending")))</f>
        <v/>
      </c>
    </row>
    <row r="236">
      <c r="B236" s="12" t="n"/>
      <c r="F236" s="10" t="n"/>
      <c r="G236" s="10" t="n"/>
      <c r="H236" s="10">
        <f>IF(OR(E236="",F236=""),"",E236*F236+N(G236))</f>
        <v/>
      </c>
      <c r="I236" s="10" t="n"/>
      <c r="J236" s="10">
        <f>IF(H236="","",H236-N(I236))</f>
        <v/>
      </c>
      <c r="K236">
        <f>IF(H236="","",IF(J236&lt;=0,"Paid",IF(I236&gt;0,"Partial","Pending")))</f>
        <v/>
      </c>
    </row>
    <row r="237">
      <c r="B237" s="12" t="n"/>
      <c r="F237" s="10" t="n"/>
      <c r="G237" s="10" t="n"/>
      <c r="H237" s="10">
        <f>IF(OR(E237="",F237=""),"",E237*F237+N(G237))</f>
        <v/>
      </c>
      <c r="I237" s="10" t="n"/>
      <c r="J237" s="10">
        <f>IF(H237="","",H237-N(I237))</f>
        <v/>
      </c>
      <c r="K237">
        <f>IF(H237="","",IF(J237&lt;=0,"Paid",IF(I237&gt;0,"Partial","Pending")))</f>
        <v/>
      </c>
    </row>
    <row r="238">
      <c r="B238" s="12" t="n"/>
      <c r="F238" s="10" t="n"/>
      <c r="G238" s="10" t="n"/>
      <c r="H238" s="10">
        <f>IF(OR(E238="",F238=""),"",E238*F238+N(G238))</f>
        <v/>
      </c>
      <c r="I238" s="10" t="n"/>
      <c r="J238" s="10">
        <f>IF(H238="","",H238-N(I238))</f>
        <v/>
      </c>
      <c r="K238">
        <f>IF(H238="","",IF(J238&lt;=0,"Paid",IF(I238&gt;0,"Partial","Pending")))</f>
        <v/>
      </c>
    </row>
    <row r="239">
      <c r="B239" s="12" t="n"/>
      <c r="F239" s="10" t="n"/>
      <c r="G239" s="10" t="n"/>
      <c r="H239" s="10">
        <f>IF(OR(E239="",F239=""),"",E239*F239+N(G239))</f>
        <v/>
      </c>
      <c r="I239" s="10" t="n"/>
      <c r="J239" s="10">
        <f>IF(H239="","",H239-N(I239))</f>
        <v/>
      </c>
      <c r="K239">
        <f>IF(H239="","",IF(J239&lt;=0,"Paid",IF(I239&gt;0,"Partial","Pending")))</f>
        <v/>
      </c>
    </row>
    <row r="240">
      <c r="B240" s="12" t="n"/>
      <c r="F240" s="10" t="n"/>
      <c r="G240" s="10" t="n"/>
      <c r="H240" s="10">
        <f>IF(OR(E240="",F240=""),"",E240*F240+N(G240))</f>
        <v/>
      </c>
      <c r="I240" s="10" t="n"/>
      <c r="J240" s="10">
        <f>IF(H240="","",H240-N(I240))</f>
        <v/>
      </c>
      <c r="K240">
        <f>IF(H240="","",IF(J240&lt;=0,"Paid",IF(I240&gt;0,"Partial","Pending")))</f>
        <v/>
      </c>
    </row>
    <row r="241">
      <c r="B241" s="12" t="n"/>
      <c r="F241" s="10" t="n"/>
      <c r="G241" s="10" t="n"/>
      <c r="H241" s="10">
        <f>IF(OR(E241="",F241=""),"",E241*F241+N(G241))</f>
        <v/>
      </c>
      <c r="I241" s="10" t="n"/>
      <c r="J241" s="10">
        <f>IF(H241="","",H241-N(I241))</f>
        <v/>
      </c>
      <c r="K241">
        <f>IF(H241="","",IF(J241&lt;=0,"Paid",IF(I241&gt;0,"Partial","Pending")))</f>
        <v/>
      </c>
    </row>
    <row r="242">
      <c r="B242" s="12" t="n"/>
      <c r="F242" s="10" t="n"/>
      <c r="G242" s="10" t="n"/>
      <c r="H242" s="10">
        <f>IF(OR(E242="",F242=""),"",E242*F242+N(G242))</f>
        <v/>
      </c>
      <c r="I242" s="10" t="n"/>
      <c r="J242" s="10">
        <f>IF(H242="","",H242-N(I242))</f>
        <v/>
      </c>
      <c r="K242">
        <f>IF(H242="","",IF(J242&lt;=0,"Paid",IF(I242&gt;0,"Partial","Pending")))</f>
        <v/>
      </c>
    </row>
    <row r="243">
      <c r="B243" s="12" t="n"/>
      <c r="F243" s="10" t="n"/>
      <c r="G243" s="10" t="n"/>
      <c r="H243" s="10">
        <f>IF(OR(E243="",F243=""),"",E243*F243+N(G243))</f>
        <v/>
      </c>
      <c r="I243" s="10" t="n"/>
      <c r="J243" s="10">
        <f>IF(H243="","",H243-N(I243))</f>
        <v/>
      </c>
      <c r="K243">
        <f>IF(H243="","",IF(J243&lt;=0,"Paid",IF(I243&gt;0,"Partial","Pending")))</f>
        <v/>
      </c>
    </row>
    <row r="244">
      <c r="B244" s="12" t="n"/>
      <c r="F244" s="10" t="n"/>
      <c r="G244" s="10" t="n"/>
      <c r="H244" s="10">
        <f>IF(OR(E244="",F244=""),"",E244*F244+N(G244))</f>
        <v/>
      </c>
      <c r="I244" s="10" t="n"/>
      <c r="J244" s="10">
        <f>IF(H244="","",H244-N(I244))</f>
        <v/>
      </c>
      <c r="K244">
        <f>IF(H244="","",IF(J244&lt;=0,"Paid",IF(I244&gt;0,"Partial","Pending")))</f>
        <v/>
      </c>
    </row>
    <row r="245">
      <c r="B245" s="12" t="n"/>
      <c r="F245" s="10" t="n"/>
      <c r="G245" s="10" t="n"/>
      <c r="H245" s="10">
        <f>IF(OR(E245="",F245=""),"",E245*F245+N(G245))</f>
        <v/>
      </c>
      <c r="I245" s="10" t="n"/>
      <c r="J245" s="10">
        <f>IF(H245="","",H245-N(I245))</f>
        <v/>
      </c>
      <c r="K245">
        <f>IF(H245="","",IF(J245&lt;=0,"Paid",IF(I245&gt;0,"Partial","Pending")))</f>
        <v/>
      </c>
    </row>
    <row r="246">
      <c r="B246" s="12" t="n"/>
      <c r="F246" s="10" t="n"/>
      <c r="G246" s="10" t="n"/>
      <c r="H246" s="10">
        <f>IF(OR(E246="",F246=""),"",E246*F246+N(G246))</f>
        <v/>
      </c>
      <c r="I246" s="10" t="n"/>
      <c r="J246" s="10">
        <f>IF(H246="","",H246-N(I246))</f>
        <v/>
      </c>
      <c r="K246">
        <f>IF(H246="","",IF(J246&lt;=0,"Paid",IF(I246&gt;0,"Partial","Pending")))</f>
        <v/>
      </c>
    </row>
    <row r="247">
      <c r="B247" s="12" t="n"/>
      <c r="F247" s="10" t="n"/>
      <c r="G247" s="10" t="n"/>
      <c r="H247" s="10">
        <f>IF(OR(E247="",F247=""),"",E247*F247+N(G247))</f>
        <v/>
      </c>
      <c r="I247" s="10" t="n"/>
      <c r="J247" s="10">
        <f>IF(H247="","",H247-N(I247))</f>
        <v/>
      </c>
      <c r="K247">
        <f>IF(H247="","",IF(J247&lt;=0,"Paid",IF(I247&gt;0,"Partial","Pending")))</f>
        <v/>
      </c>
    </row>
    <row r="248">
      <c r="B248" s="12" t="n"/>
      <c r="F248" s="10" t="n"/>
      <c r="G248" s="10" t="n"/>
      <c r="H248" s="10">
        <f>IF(OR(E248="",F248=""),"",E248*F248+N(G248))</f>
        <v/>
      </c>
      <c r="I248" s="10" t="n"/>
      <c r="J248" s="10">
        <f>IF(H248="","",H248-N(I248))</f>
        <v/>
      </c>
      <c r="K248">
        <f>IF(H248="","",IF(J248&lt;=0,"Paid",IF(I248&gt;0,"Partial","Pending")))</f>
        <v/>
      </c>
    </row>
    <row r="249">
      <c r="B249" s="12" t="n"/>
      <c r="F249" s="10" t="n"/>
      <c r="G249" s="10" t="n"/>
      <c r="H249" s="10">
        <f>IF(OR(E249="",F249=""),"",E249*F249+N(G249))</f>
        <v/>
      </c>
      <c r="I249" s="10" t="n"/>
      <c r="J249" s="10">
        <f>IF(H249="","",H249-N(I249))</f>
        <v/>
      </c>
      <c r="K249">
        <f>IF(H249="","",IF(J249&lt;=0,"Paid",IF(I249&gt;0,"Partial","Pending")))</f>
        <v/>
      </c>
    </row>
    <row r="250">
      <c r="B250" s="12" t="n"/>
      <c r="F250" s="10" t="n"/>
      <c r="G250" s="10" t="n"/>
      <c r="H250" s="10">
        <f>IF(OR(E250="",F250=""),"",E250*F250+N(G250))</f>
        <v/>
      </c>
      <c r="I250" s="10" t="n"/>
      <c r="J250" s="10">
        <f>IF(H250="","",H250-N(I250))</f>
        <v/>
      </c>
      <c r="K250">
        <f>IF(H250="","",IF(J250&lt;=0,"Paid",IF(I250&gt;0,"Partial","Pending")))</f>
        <v/>
      </c>
    </row>
    <row r="251">
      <c r="B251" s="12" t="n"/>
      <c r="F251" s="10" t="n"/>
      <c r="G251" s="10" t="n"/>
      <c r="H251" s="10">
        <f>IF(OR(E251="",F251=""),"",E251*F251+N(G251))</f>
        <v/>
      </c>
      <c r="I251" s="10" t="n"/>
      <c r="J251" s="10">
        <f>IF(H251="","",H251-N(I251))</f>
        <v/>
      </c>
      <c r="K251">
        <f>IF(H251="","",IF(J251&lt;=0,"Paid",IF(I251&gt;0,"Partial","Pending")))</f>
        <v/>
      </c>
    </row>
    <row r="252">
      <c r="B252" s="12" t="n"/>
      <c r="F252" s="10" t="n"/>
      <c r="G252" s="10" t="n"/>
      <c r="H252" s="10">
        <f>IF(OR(E252="",F252=""),"",E252*F252+N(G252))</f>
        <v/>
      </c>
      <c r="I252" s="10" t="n"/>
      <c r="J252" s="10">
        <f>IF(H252="","",H252-N(I252))</f>
        <v/>
      </c>
      <c r="K252">
        <f>IF(H252="","",IF(J252&lt;=0,"Paid",IF(I252&gt;0,"Partial","Pending")))</f>
        <v/>
      </c>
    </row>
    <row r="253">
      <c r="B253" s="12" t="n"/>
      <c r="F253" s="10" t="n"/>
      <c r="G253" s="10" t="n"/>
      <c r="H253" s="10">
        <f>IF(OR(E253="",F253=""),"",E253*F253+N(G253))</f>
        <v/>
      </c>
      <c r="I253" s="10" t="n"/>
      <c r="J253" s="10">
        <f>IF(H253="","",H253-N(I253))</f>
        <v/>
      </c>
      <c r="K253">
        <f>IF(H253="","",IF(J253&lt;=0,"Paid",IF(I253&gt;0,"Partial","Pending")))</f>
        <v/>
      </c>
    </row>
    <row r="254">
      <c r="B254" s="12" t="n"/>
      <c r="F254" s="10" t="n"/>
      <c r="G254" s="10" t="n"/>
      <c r="H254" s="10">
        <f>IF(OR(E254="",F254=""),"",E254*F254+N(G254))</f>
        <v/>
      </c>
      <c r="I254" s="10" t="n"/>
      <c r="J254" s="10">
        <f>IF(H254="","",H254-N(I254))</f>
        <v/>
      </c>
      <c r="K254">
        <f>IF(H254="","",IF(J254&lt;=0,"Paid",IF(I254&gt;0,"Partial","Pending")))</f>
        <v/>
      </c>
    </row>
    <row r="255">
      <c r="B255" s="12" t="n"/>
      <c r="F255" s="10" t="n"/>
      <c r="G255" s="10" t="n"/>
      <c r="H255" s="10">
        <f>IF(OR(E255="",F255=""),"",E255*F255+N(G255))</f>
        <v/>
      </c>
      <c r="I255" s="10" t="n"/>
      <c r="J255" s="10">
        <f>IF(H255="","",H255-N(I255))</f>
        <v/>
      </c>
      <c r="K255">
        <f>IF(H255="","",IF(J255&lt;=0,"Paid",IF(I255&gt;0,"Partial","Pending")))</f>
        <v/>
      </c>
    </row>
    <row r="256">
      <c r="B256" s="12" t="n"/>
      <c r="F256" s="10" t="n"/>
      <c r="G256" s="10" t="n"/>
      <c r="H256" s="10">
        <f>IF(OR(E256="",F256=""),"",E256*F256+N(G256))</f>
        <v/>
      </c>
      <c r="I256" s="10" t="n"/>
      <c r="J256" s="10">
        <f>IF(H256="","",H256-N(I256))</f>
        <v/>
      </c>
      <c r="K256">
        <f>IF(H256="","",IF(J256&lt;=0,"Paid",IF(I256&gt;0,"Partial","Pending")))</f>
        <v/>
      </c>
    </row>
    <row r="257">
      <c r="B257" s="12" t="n"/>
      <c r="F257" s="10" t="n"/>
      <c r="G257" s="10" t="n"/>
      <c r="H257" s="10">
        <f>IF(OR(E257="",F257=""),"",E257*F257+N(G257))</f>
        <v/>
      </c>
      <c r="I257" s="10" t="n"/>
      <c r="J257" s="10">
        <f>IF(H257="","",H257-N(I257))</f>
        <v/>
      </c>
      <c r="K257">
        <f>IF(H257="","",IF(J257&lt;=0,"Paid",IF(I257&gt;0,"Partial","Pending")))</f>
        <v/>
      </c>
    </row>
    <row r="258">
      <c r="B258" s="12" t="n"/>
      <c r="F258" s="10" t="n"/>
      <c r="G258" s="10" t="n"/>
      <c r="H258" s="10">
        <f>IF(OR(E258="",F258=""),"",E258*F258+N(G258))</f>
        <v/>
      </c>
      <c r="I258" s="10" t="n"/>
      <c r="J258" s="10">
        <f>IF(H258="","",H258-N(I258))</f>
        <v/>
      </c>
      <c r="K258">
        <f>IF(H258="","",IF(J258&lt;=0,"Paid",IF(I258&gt;0,"Partial","Pending")))</f>
        <v/>
      </c>
    </row>
    <row r="259">
      <c r="B259" s="12" t="n"/>
      <c r="F259" s="10" t="n"/>
      <c r="G259" s="10" t="n"/>
      <c r="H259" s="10">
        <f>IF(OR(E259="",F259=""),"",E259*F259+N(G259))</f>
        <v/>
      </c>
      <c r="I259" s="10" t="n"/>
      <c r="J259" s="10">
        <f>IF(H259="","",H259-N(I259))</f>
        <v/>
      </c>
      <c r="K259">
        <f>IF(H259="","",IF(J259&lt;=0,"Paid",IF(I259&gt;0,"Partial","Pending")))</f>
        <v/>
      </c>
    </row>
    <row r="260">
      <c r="B260" s="12" t="n"/>
      <c r="F260" s="10" t="n"/>
      <c r="G260" s="10" t="n"/>
      <c r="H260" s="10">
        <f>IF(OR(E260="",F260=""),"",E260*F260+N(G260))</f>
        <v/>
      </c>
      <c r="I260" s="10" t="n"/>
      <c r="J260" s="10">
        <f>IF(H260="","",H260-N(I260))</f>
        <v/>
      </c>
      <c r="K260">
        <f>IF(H260="","",IF(J260&lt;=0,"Paid",IF(I260&gt;0,"Partial","Pending")))</f>
        <v/>
      </c>
    </row>
    <row r="261">
      <c r="B261" s="12" t="n"/>
      <c r="F261" s="10" t="n"/>
      <c r="G261" s="10" t="n"/>
      <c r="H261" s="10">
        <f>IF(OR(E261="",F261=""),"",E261*F261+N(G261))</f>
        <v/>
      </c>
      <c r="I261" s="10" t="n"/>
      <c r="J261" s="10">
        <f>IF(H261="","",H261-N(I261))</f>
        <v/>
      </c>
      <c r="K261">
        <f>IF(H261="","",IF(J261&lt;=0,"Paid",IF(I261&gt;0,"Partial","Pending")))</f>
        <v/>
      </c>
    </row>
    <row r="262">
      <c r="B262" s="12" t="n"/>
      <c r="F262" s="10" t="n"/>
      <c r="G262" s="10" t="n"/>
      <c r="H262" s="10">
        <f>IF(OR(E262="",F262=""),"",E262*F262+N(G262))</f>
        <v/>
      </c>
      <c r="I262" s="10" t="n"/>
      <c r="J262" s="10">
        <f>IF(H262="","",H262-N(I262))</f>
        <v/>
      </c>
      <c r="K262">
        <f>IF(H262="","",IF(J262&lt;=0,"Paid",IF(I262&gt;0,"Partial","Pending")))</f>
        <v/>
      </c>
    </row>
    <row r="263">
      <c r="B263" s="12" t="n"/>
      <c r="F263" s="10" t="n"/>
      <c r="G263" s="10" t="n"/>
      <c r="H263" s="10">
        <f>IF(OR(E263="",F263=""),"",E263*F263+N(G263))</f>
        <v/>
      </c>
      <c r="I263" s="10" t="n"/>
      <c r="J263" s="10">
        <f>IF(H263="","",H263-N(I263))</f>
        <v/>
      </c>
      <c r="K263">
        <f>IF(H263="","",IF(J263&lt;=0,"Paid",IF(I263&gt;0,"Partial","Pending")))</f>
        <v/>
      </c>
    </row>
    <row r="264">
      <c r="B264" s="12" t="n"/>
      <c r="F264" s="10" t="n"/>
      <c r="G264" s="10" t="n"/>
      <c r="H264" s="10">
        <f>IF(OR(E264="",F264=""),"",E264*F264+N(G264))</f>
        <v/>
      </c>
      <c r="I264" s="10" t="n"/>
      <c r="J264" s="10">
        <f>IF(H264="","",H264-N(I264))</f>
        <v/>
      </c>
      <c r="K264">
        <f>IF(H264="","",IF(J264&lt;=0,"Paid",IF(I264&gt;0,"Partial","Pending")))</f>
        <v/>
      </c>
    </row>
    <row r="265">
      <c r="B265" s="12" t="n"/>
      <c r="F265" s="10" t="n"/>
      <c r="G265" s="10" t="n"/>
      <c r="H265" s="10">
        <f>IF(OR(E265="",F265=""),"",E265*F265+N(G265))</f>
        <v/>
      </c>
      <c r="I265" s="10" t="n"/>
      <c r="J265" s="10">
        <f>IF(H265="","",H265-N(I265))</f>
        <v/>
      </c>
      <c r="K265">
        <f>IF(H265="","",IF(J265&lt;=0,"Paid",IF(I265&gt;0,"Partial","Pending")))</f>
        <v/>
      </c>
    </row>
    <row r="266">
      <c r="B266" s="12" t="n"/>
      <c r="F266" s="10" t="n"/>
      <c r="G266" s="10" t="n"/>
      <c r="H266" s="10">
        <f>IF(OR(E266="",F266=""),"",E266*F266+N(G266))</f>
        <v/>
      </c>
      <c r="I266" s="10" t="n"/>
      <c r="J266" s="10">
        <f>IF(H266="","",H266-N(I266))</f>
        <v/>
      </c>
      <c r="K266">
        <f>IF(H266="","",IF(J266&lt;=0,"Paid",IF(I266&gt;0,"Partial","Pending")))</f>
        <v/>
      </c>
    </row>
    <row r="267">
      <c r="B267" s="12" t="n"/>
      <c r="F267" s="10" t="n"/>
      <c r="G267" s="10" t="n"/>
      <c r="H267" s="10">
        <f>IF(OR(E267="",F267=""),"",E267*F267+N(G267))</f>
        <v/>
      </c>
      <c r="I267" s="10" t="n"/>
      <c r="J267" s="10">
        <f>IF(H267="","",H267-N(I267))</f>
        <v/>
      </c>
      <c r="K267">
        <f>IF(H267="","",IF(J267&lt;=0,"Paid",IF(I267&gt;0,"Partial","Pending")))</f>
        <v/>
      </c>
    </row>
    <row r="268">
      <c r="B268" s="12" t="n"/>
      <c r="F268" s="10" t="n"/>
      <c r="G268" s="10" t="n"/>
      <c r="H268" s="10">
        <f>IF(OR(E268="",F268=""),"",E268*F268+N(G268))</f>
        <v/>
      </c>
      <c r="I268" s="10" t="n"/>
      <c r="J268" s="10">
        <f>IF(H268="","",H268-N(I268))</f>
        <v/>
      </c>
      <c r="K268">
        <f>IF(H268="","",IF(J268&lt;=0,"Paid",IF(I268&gt;0,"Partial","Pending")))</f>
        <v/>
      </c>
    </row>
    <row r="269">
      <c r="B269" s="12" t="n"/>
      <c r="F269" s="10" t="n"/>
      <c r="G269" s="10" t="n"/>
      <c r="H269" s="10">
        <f>IF(OR(E269="",F269=""),"",E269*F269+N(G269))</f>
        <v/>
      </c>
      <c r="I269" s="10" t="n"/>
      <c r="J269" s="10">
        <f>IF(H269="","",H269-N(I269))</f>
        <v/>
      </c>
      <c r="K269">
        <f>IF(H269="","",IF(J269&lt;=0,"Paid",IF(I269&gt;0,"Partial","Pending")))</f>
        <v/>
      </c>
    </row>
    <row r="270">
      <c r="B270" s="12" t="n"/>
      <c r="F270" s="10" t="n"/>
      <c r="G270" s="10" t="n"/>
      <c r="H270" s="10">
        <f>IF(OR(E270="",F270=""),"",E270*F270+N(G270))</f>
        <v/>
      </c>
      <c r="I270" s="10" t="n"/>
      <c r="J270" s="10">
        <f>IF(H270="","",H270-N(I270))</f>
        <v/>
      </c>
      <c r="K270">
        <f>IF(H270="","",IF(J270&lt;=0,"Paid",IF(I270&gt;0,"Partial","Pending")))</f>
        <v/>
      </c>
    </row>
    <row r="271">
      <c r="B271" s="12" t="n"/>
      <c r="F271" s="10" t="n"/>
      <c r="G271" s="10" t="n"/>
      <c r="H271" s="10">
        <f>IF(OR(E271="",F271=""),"",E271*F271+N(G271))</f>
        <v/>
      </c>
      <c r="I271" s="10" t="n"/>
      <c r="J271" s="10">
        <f>IF(H271="","",H271-N(I271))</f>
        <v/>
      </c>
      <c r="K271">
        <f>IF(H271="","",IF(J271&lt;=0,"Paid",IF(I271&gt;0,"Partial","Pending")))</f>
        <v/>
      </c>
    </row>
    <row r="272">
      <c r="B272" s="12" t="n"/>
      <c r="F272" s="10" t="n"/>
      <c r="G272" s="10" t="n"/>
      <c r="H272" s="10">
        <f>IF(OR(E272="",F272=""),"",E272*F272+N(G272))</f>
        <v/>
      </c>
      <c r="I272" s="10" t="n"/>
      <c r="J272" s="10">
        <f>IF(H272="","",H272-N(I272))</f>
        <v/>
      </c>
      <c r="K272">
        <f>IF(H272="","",IF(J272&lt;=0,"Paid",IF(I272&gt;0,"Partial","Pending")))</f>
        <v/>
      </c>
    </row>
    <row r="273">
      <c r="B273" s="12" t="n"/>
      <c r="F273" s="10" t="n"/>
      <c r="G273" s="10" t="n"/>
      <c r="H273" s="10">
        <f>IF(OR(E273="",F273=""),"",E273*F273+N(G273))</f>
        <v/>
      </c>
      <c r="I273" s="10" t="n"/>
      <c r="J273" s="10">
        <f>IF(H273="","",H273-N(I273))</f>
        <v/>
      </c>
      <c r="K273">
        <f>IF(H273="","",IF(J273&lt;=0,"Paid",IF(I273&gt;0,"Partial","Pending")))</f>
        <v/>
      </c>
    </row>
    <row r="274">
      <c r="B274" s="12" t="n"/>
      <c r="F274" s="10" t="n"/>
      <c r="G274" s="10" t="n"/>
      <c r="H274" s="10">
        <f>IF(OR(E274="",F274=""),"",E274*F274+N(G274))</f>
        <v/>
      </c>
      <c r="I274" s="10" t="n"/>
      <c r="J274" s="10">
        <f>IF(H274="","",H274-N(I274))</f>
        <v/>
      </c>
      <c r="K274">
        <f>IF(H274="","",IF(J274&lt;=0,"Paid",IF(I274&gt;0,"Partial","Pending")))</f>
        <v/>
      </c>
    </row>
    <row r="275">
      <c r="B275" s="12" t="n"/>
      <c r="F275" s="10" t="n"/>
      <c r="G275" s="10" t="n"/>
      <c r="H275" s="10">
        <f>IF(OR(E275="",F275=""),"",E275*F275+N(G275))</f>
        <v/>
      </c>
      <c r="I275" s="10" t="n"/>
      <c r="J275" s="10">
        <f>IF(H275="","",H275-N(I275))</f>
        <v/>
      </c>
      <c r="K275">
        <f>IF(H275="","",IF(J275&lt;=0,"Paid",IF(I275&gt;0,"Partial","Pending")))</f>
        <v/>
      </c>
    </row>
    <row r="276">
      <c r="B276" s="12" t="n"/>
      <c r="F276" s="10" t="n"/>
      <c r="G276" s="10" t="n"/>
      <c r="H276" s="10">
        <f>IF(OR(E276="",F276=""),"",E276*F276+N(G276))</f>
        <v/>
      </c>
      <c r="I276" s="10" t="n"/>
      <c r="J276" s="10">
        <f>IF(H276="","",H276-N(I276))</f>
        <v/>
      </c>
      <c r="K276">
        <f>IF(H276="","",IF(J276&lt;=0,"Paid",IF(I276&gt;0,"Partial","Pending")))</f>
        <v/>
      </c>
    </row>
    <row r="277">
      <c r="B277" s="12" t="n"/>
      <c r="F277" s="10" t="n"/>
      <c r="G277" s="10" t="n"/>
      <c r="H277" s="10">
        <f>IF(OR(E277="",F277=""),"",E277*F277+N(G277))</f>
        <v/>
      </c>
      <c r="I277" s="10" t="n"/>
      <c r="J277" s="10">
        <f>IF(H277="","",H277-N(I277))</f>
        <v/>
      </c>
      <c r="K277">
        <f>IF(H277="","",IF(J277&lt;=0,"Paid",IF(I277&gt;0,"Partial","Pending")))</f>
        <v/>
      </c>
    </row>
    <row r="278">
      <c r="B278" s="12" t="n"/>
      <c r="F278" s="10" t="n"/>
      <c r="G278" s="10" t="n"/>
      <c r="H278" s="10">
        <f>IF(OR(E278="",F278=""),"",E278*F278+N(G278))</f>
        <v/>
      </c>
      <c r="I278" s="10" t="n"/>
      <c r="J278" s="10">
        <f>IF(H278="","",H278-N(I278))</f>
        <v/>
      </c>
      <c r="K278">
        <f>IF(H278="","",IF(J278&lt;=0,"Paid",IF(I278&gt;0,"Partial","Pending")))</f>
        <v/>
      </c>
    </row>
    <row r="279">
      <c r="B279" s="12" t="n"/>
      <c r="F279" s="10" t="n"/>
      <c r="G279" s="10" t="n"/>
      <c r="H279" s="10">
        <f>IF(OR(E279="",F279=""),"",E279*F279+N(G279))</f>
        <v/>
      </c>
      <c r="I279" s="10" t="n"/>
      <c r="J279" s="10">
        <f>IF(H279="","",H279-N(I279))</f>
        <v/>
      </c>
      <c r="K279">
        <f>IF(H279="","",IF(J279&lt;=0,"Paid",IF(I279&gt;0,"Partial","Pending")))</f>
        <v/>
      </c>
    </row>
    <row r="280">
      <c r="B280" s="12" t="n"/>
      <c r="F280" s="10" t="n"/>
      <c r="G280" s="10" t="n"/>
      <c r="H280" s="10">
        <f>IF(OR(E280="",F280=""),"",E280*F280+N(G280))</f>
        <v/>
      </c>
      <c r="I280" s="10" t="n"/>
      <c r="J280" s="10">
        <f>IF(H280="","",H280-N(I280))</f>
        <v/>
      </c>
      <c r="K280">
        <f>IF(H280="","",IF(J280&lt;=0,"Paid",IF(I280&gt;0,"Partial","Pending")))</f>
        <v/>
      </c>
    </row>
    <row r="281">
      <c r="B281" s="12" t="n"/>
      <c r="F281" s="10" t="n"/>
      <c r="G281" s="10" t="n"/>
      <c r="H281" s="10">
        <f>IF(OR(E281="",F281=""),"",E281*F281+N(G281))</f>
        <v/>
      </c>
      <c r="I281" s="10" t="n"/>
      <c r="J281" s="10">
        <f>IF(H281="","",H281-N(I281))</f>
        <v/>
      </c>
      <c r="K281">
        <f>IF(H281="","",IF(J281&lt;=0,"Paid",IF(I281&gt;0,"Partial","Pending")))</f>
        <v/>
      </c>
    </row>
    <row r="282">
      <c r="B282" s="12" t="n"/>
      <c r="F282" s="10" t="n"/>
      <c r="G282" s="10" t="n"/>
      <c r="H282" s="10">
        <f>IF(OR(E282="",F282=""),"",E282*F282+N(G282))</f>
        <v/>
      </c>
      <c r="I282" s="10" t="n"/>
      <c r="J282" s="10">
        <f>IF(H282="","",H282-N(I282))</f>
        <v/>
      </c>
      <c r="K282">
        <f>IF(H282="","",IF(J282&lt;=0,"Paid",IF(I282&gt;0,"Partial","Pending")))</f>
        <v/>
      </c>
    </row>
    <row r="283">
      <c r="B283" s="12" t="n"/>
      <c r="F283" s="10" t="n"/>
      <c r="G283" s="10" t="n"/>
      <c r="H283" s="10">
        <f>IF(OR(E283="",F283=""),"",E283*F283+N(G283))</f>
        <v/>
      </c>
      <c r="I283" s="10" t="n"/>
      <c r="J283" s="10">
        <f>IF(H283="","",H283-N(I283))</f>
        <v/>
      </c>
      <c r="K283">
        <f>IF(H283="","",IF(J283&lt;=0,"Paid",IF(I283&gt;0,"Partial","Pending")))</f>
        <v/>
      </c>
    </row>
    <row r="284">
      <c r="B284" s="12" t="n"/>
      <c r="F284" s="10" t="n"/>
      <c r="G284" s="10" t="n"/>
      <c r="H284" s="10">
        <f>IF(OR(E284="",F284=""),"",E284*F284+N(G284))</f>
        <v/>
      </c>
      <c r="I284" s="10" t="n"/>
      <c r="J284" s="10">
        <f>IF(H284="","",H284-N(I284))</f>
        <v/>
      </c>
      <c r="K284">
        <f>IF(H284="","",IF(J284&lt;=0,"Paid",IF(I284&gt;0,"Partial","Pending")))</f>
        <v/>
      </c>
    </row>
    <row r="285">
      <c r="B285" s="12" t="n"/>
      <c r="F285" s="10" t="n"/>
      <c r="G285" s="10" t="n"/>
      <c r="H285" s="10">
        <f>IF(OR(E285="",F285=""),"",E285*F285+N(G285))</f>
        <v/>
      </c>
      <c r="I285" s="10" t="n"/>
      <c r="J285" s="10">
        <f>IF(H285="","",H285-N(I285))</f>
        <v/>
      </c>
      <c r="K285">
        <f>IF(H285="","",IF(J285&lt;=0,"Paid",IF(I285&gt;0,"Partial","Pending")))</f>
        <v/>
      </c>
    </row>
    <row r="286">
      <c r="B286" s="12" t="n"/>
      <c r="F286" s="10" t="n"/>
      <c r="G286" s="10" t="n"/>
      <c r="H286" s="10">
        <f>IF(OR(E286="",F286=""),"",E286*F286+N(G286))</f>
        <v/>
      </c>
      <c r="I286" s="10" t="n"/>
      <c r="J286" s="10">
        <f>IF(H286="","",H286-N(I286))</f>
        <v/>
      </c>
      <c r="K286">
        <f>IF(H286="","",IF(J286&lt;=0,"Paid",IF(I286&gt;0,"Partial","Pending")))</f>
        <v/>
      </c>
    </row>
    <row r="287">
      <c r="B287" s="12" t="n"/>
      <c r="F287" s="10" t="n"/>
      <c r="G287" s="10" t="n"/>
      <c r="H287" s="10">
        <f>IF(OR(E287="",F287=""),"",E287*F287+N(G287))</f>
        <v/>
      </c>
      <c r="I287" s="10" t="n"/>
      <c r="J287" s="10">
        <f>IF(H287="","",H287-N(I287))</f>
        <v/>
      </c>
      <c r="K287">
        <f>IF(H287="","",IF(J287&lt;=0,"Paid",IF(I287&gt;0,"Partial","Pending")))</f>
        <v/>
      </c>
    </row>
    <row r="288">
      <c r="B288" s="12" t="n"/>
      <c r="F288" s="10" t="n"/>
      <c r="G288" s="10" t="n"/>
      <c r="H288" s="10">
        <f>IF(OR(E288="",F288=""),"",E288*F288+N(G288))</f>
        <v/>
      </c>
      <c r="I288" s="10" t="n"/>
      <c r="J288" s="10">
        <f>IF(H288="","",H288-N(I288))</f>
        <v/>
      </c>
      <c r="K288">
        <f>IF(H288="","",IF(J288&lt;=0,"Paid",IF(I288&gt;0,"Partial","Pending")))</f>
        <v/>
      </c>
    </row>
    <row r="289">
      <c r="B289" s="12" t="n"/>
      <c r="F289" s="10" t="n"/>
      <c r="G289" s="10" t="n"/>
      <c r="H289" s="10">
        <f>IF(OR(E289="",F289=""),"",E289*F289+N(G289))</f>
        <v/>
      </c>
      <c r="I289" s="10" t="n"/>
      <c r="J289" s="10">
        <f>IF(H289="","",H289-N(I289))</f>
        <v/>
      </c>
      <c r="K289">
        <f>IF(H289="","",IF(J289&lt;=0,"Paid",IF(I289&gt;0,"Partial","Pending")))</f>
        <v/>
      </c>
    </row>
    <row r="290">
      <c r="B290" s="12" t="n"/>
      <c r="F290" s="10" t="n"/>
      <c r="G290" s="10" t="n"/>
      <c r="H290" s="10">
        <f>IF(OR(E290="",F290=""),"",E290*F290+N(G290))</f>
        <v/>
      </c>
      <c r="I290" s="10" t="n"/>
      <c r="J290" s="10">
        <f>IF(H290="","",H290-N(I290))</f>
        <v/>
      </c>
      <c r="K290">
        <f>IF(H290="","",IF(J290&lt;=0,"Paid",IF(I290&gt;0,"Partial","Pending")))</f>
        <v/>
      </c>
    </row>
    <row r="291">
      <c r="B291" s="12" t="n"/>
      <c r="F291" s="10" t="n"/>
      <c r="G291" s="10" t="n"/>
      <c r="H291" s="10">
        <f>IF(OR(E291="",F291=""),"",E291*F291+N(G291))</f>
        <v/>
      </c>
      <c r="I291" s="10" t="n"/>
      <c r="J291" s="10">
        <f>IF(H291="","",H291-N(I291))</f>
        <v/>
      </c>
      <c r="K291">
        <f>IF(H291="","",IF(J291&lt;=0,"Paid",IF(I291&gt;0,"Partial","Pending")))</f>
        <v/>
      </c>
    </row>
    <row r="292">
      <c r="B292" s="12" t="n"/>
      <c r="F292" s="10" t="n"/>
      <c r="G292" s="10" t="n"/>
      <c r="H292" s="10">
        <f>IF(OR(E292="",F292=""),"",E292*F292+N(G292))</f>
        <v/>
      </c>
      <c r="I292" s="10" t="n"/>
      <c r="J292" s="10">
        <f>IF(H292="","",H292-N(I292))</f>
        <v/>
      </c>
      <c r="K292">
        <f>IF(H292="","",IF(J292&lt;=0,"Paid",IF(I292&gt;0,"Partial","Pending")))</f>
        <v/>
      </c>
    </row>
    <row r="293">
      <c r="B293" s="12" t="n"/>
      <c r="F293" s="10" t="n"/>
      <c r="G293" s="10" t="n"/>
      <c r="H293" s="10">
        <f>IF(OR(E293="",F293=""),"",E293*F293+N(G293))</f>
        <v/>
      </c>
      <c r="I293" s="10" t="n"/>
      <c r="J293" s="10">
        <f>IF(H293="","",H293-N(I293))</f>
        <v/>
      </c>
      <c r="K293">
        <f>IF(H293="","",IF(J293&lt;=0,"Paid",IF(I293&gt;0,"Partial","Pending")))</f>
        <v/>
      </c>
    </row>
    <row r="294">
      <c r="B294" s="12" t="n"/>
      <c r="F294" s="10" t="n"/>
      <c r="G294" s="10" t="n"/>
      <c r="H294" s="10">
        <f>IF(OR(E294="",F294=""),"",E294*F294+N(G294))</f>
        <v/>
      </c>
      <c r="I294" s="10" t="n"/>
      <c r="J294" s="10">
        <f>IF(H294="","",H294-N(I294))</f>
        <v/>
      </c>
      <c r="K294">
        <f>IF(H294="","",IF(J294&lt;=0,"Paid",IF(I294&gt;0,"Partial","Pending")))</f>
        <v/>
      </c>
    </row>
    <row r="295">
      <c r="B295" s="12" t="n"/>
      <c r="F295" s="10" t="n"/>
      <c r="G295" s="10" t="n"/>
      <c r="H295" s="10">
        <f>IF(OR(E295="",F295=""),"",E295*F295+N(G295))</f>
        <v/>
      </c>
      <c r="I295" s="10" t="n"/>
      <c r="J295" s="10">
        <f>IF(H295="","",H295-N(I295))</f>
        <v/>
      </c>
      <c r="K295">
        <f>IF(H295="","",IF(J295&lt;=0,"Paid",IF(I295&gt;0,"Partial","Pending")))</f>
        <v/>
      </c>
    </row>
    <row r="296">
      <c r="B296" s="12" t="n"/>
      <c r="F296" s="10" t="n"/>
      <c r="G296" s="10" t="n"/>
      <c r="H296" s="10">
        <f>IF(OR(E296="",F296=""),"",E296*F296+N(G296))</f>
        <v/>
      </c>
      <c r="I296" s="10" t="n"/>
      <c r="J296" s="10">
        <f>IF(H296="","",H296-N(I296))</f>
        <v/>
      </c>
      <c r="K296">
        <f>IF(H296="","",IF(J296&lt;=0,"Paid",IF(I296&gt;0,"Partial","Pending")))</f>
        <v/>
      </c>
    </row>
    <row r="297">
      <c r="B297" s="12" t="n"/>
      <c r="F297" s="10" t="n"/>
      <c r="G297" s="10" t="n"/>
      <c r="H297" s="10">
        <f>IF(OR(E297="",F297=""),"",E297*F297+N(G297))</f>
        <v/>
      </c>
      <c r="I297" s="10" t="n"/>
      <c r="J297" s="10">
        <f>IF(H297="","",H297-N(I297))</f>
        <v/>
      </c>
      <c r="K297">
        <f>IF(H297="","",IF(J297&lt;=0,"Paid",IF(I297&gt;0,"Partial","Pending")))</f>
        <v/>
      </c>
    </row>
    <row r="298">
      <c r="B298" s="12" t="n"/>
      <c r="F298" s="10" t="n"/>
      <c r="G298" s="10" t="n"/>
      <c r="H298" s="10">
        <f>IF(OR(E298="",F298=""),"",E298*F298+N(G298))</f>
        <v/>
      </c>
      <c r="I298" s="10" t="n"/>
      <c r="J298" s="10">
        <f>IF(H298="","",H298-N(I298))</f>
        <v/>
      </c>
      <c r="K298">
        <f>IF(H298="","",IF(J298&lt;=0,"Paid",IF(I298&gt;0,"Partial","Pending")))</f>
        <v/>
      </c>
    </row>
    <row r="299">
      <c r="B299" s="12" t="n"/>
      <c r="F299" s="10" t="n"/>
      <c r="G299" s="10" t="n"/>
      <c r="H299" s="10">
        <f>IF(OR(E299="",F299=""),"",E299*F299+N(G299))</f>
        <v/>
      </c>
      <c r="I299" s="10" t="n"/>
      <c r="J299" s="10">
        <f>IF(H299="","",H299-N(I299))</f>
        <v/>
      </c>
      <c r="K299">
        <f>IF(H299="","",IF(J299&lt;=0,"Paid",IF(I299&gt;0,"Partial","Pending")))</f>
        <v/>
      </c>
    </row>
    <row r="300">
      <c r="B300" s="12" t="n"/>
      <c r="F300" s="10" t="n"/>
      <c r="G300" s="10" t="n"/>
      <c r="H300" s="10">
        <f>IF(OR(E300="",F300=""),"",E300*F300+N(G300))</f>
        <v/>
      </c>
      <c r="I300" s="10" t="n"/>
      <c r="J300" s="10">
        <f>IF(H300="","",H300-N(I300))</f>
        <v/>
      </c>
      <c r="K300">
        <f>IF(H300="","",IF(J300&lt;=0,"Paid",IF(I300&gt;0,"Partial","Pending")))</f>
        <v/>
      </c>
    </row>
    <row r="301">
      <c r="B301" s="12" t="n"/>
      <c r="F301" s="10" t="n"/>
      <c r="G301" s="10" t="n"/>
      <c r="H301" s="10">
        <f>IF(OR(E301="",F301=""),"",E301*F301+N(G301))</f>
        <v/>
      </c>
      <c r="I301" s="10" t="n"/>
      <c r="J301" s="10">
        <f>IF(H301="","",H301-N(I301))</f>
        <v/>
      </c>
      <c r="K301">
        <f>IF(H301="","",IF(J301&lt;=0,"Paid",IF(I301&gt;0,"Partial","Pending")))</f>
        <v/>
      </c>
    </row>
    <row r="302">
      <c r="B302" s="12" t="n"/>
      <c r="F302" s="10" t="n"/>
      <c r="G302" s="10" t="n"/>
      <c r="H302" s="10">
        <f>IF(OR(E302="",F302=""),"",E302*F302+N(G302))</f>
        <v/>
      </c>
      <c r="I302" s="10" t="n"/>
      <c r="J302" s="10">
        <f>IF(H302="","",H302-N(I302))</f>
        <v/>
      </c>
      <c r="K302">
        <f>IF(H302="","",IF(J302&lt;=0,"Paid",IF(I302&gt;0,"Partial","Pending")))</f>
        <v/>
      </c>
    </row>
    <row r="303">
      <c r="B303" s="12" t="n"/>
      <c r="F303" s="10" t="n"/>
      <c r="G303" s="10" t="n"/>
      <c r="H303" s="10">
        <f>IF(OR(E303="",F303=""),"",E303*F303+N(G303))</f>
        <v/>
      </c>
      <c r="I303" s="10" t="n"/>
      <c r="J303" s="10">
        <f>IF(H303="","",H303-N(I303))</f>
        <v/>
      </c>
      <c r="K303">
        <f>IF(H303="","",IF(J303&lt;=0,"Paid",IF(I303&gt;0,"Partial","Pending")))</f>
        <v/>
      </c>
    </row>
    <row r="304">
      <c r="B304" s="12" t="n"/>
      <c r="F304" s="10" t="n"/>
      <c r="G304" s="10" t="n"/>
      <c r="H304" s="10">
        <f>IF(OR(E304="",F304=""),"",E304*F304+N(G304))</f>
        <v/>
      </c>
      <c r="I304" s="10" t="n"/>
      <c r="J304" s="10">
        <f>IF(H304="","",H304-N(I304))</f>
        <v/>
      </c>
      <c r="K304">
        <f>IF(H304="","",IF(J304&lt;=0,"Paid",IF(I304&gt;0,"Partial","Pending")))</f>
        <v/>
      </c>
    </row>
    <row r="305">
      <c r="B305" s="12" t="n"/>
      <c r="F305" s="10" t="n"/>
      <c r="G305" s="10" t="n"/>
      <c r="H305" s="10">
        <f>IF(OR(E305="",F305=""),"",E305*F305+N(G305))</f>
        <v/>
      </c>
      <c r="I305" s="10" t="n"/>
      <c r="J305" s="10">
        <f>IF(H305="","",H305-N(I305))</f>
        <v/>
      </c>
      <c r="K305">
        <f>IF(H305="","",IF(J305&lt;=0,"Paid",IF(I305&gt;0,"Partial","Pending")))</f>
        <v/>
      </c>
    </row>
    <row r="306">
      <c r="B306" s="12" t="n"/>
      <c r="F306" s="10" t="n"/>
      <c r="G306" s="10" t="n"/>
      <c r="H306" s="10">
        <f>IF(OR(E306="",F306=""),"",E306*F306+N(G306))</f>
        <v/>
      </c>
      <c r="I306" s="10" t="n"/>
      <c r="J306" s="10">
        <f>IF(H306="","",H306-N(I306))</f>
        <v/>
      </c>
      <c r="K306">
        <f>IF(H306="","",IF(J306&lt;=0,"Paid",IF(I306&gt;0,"Partial","Pending")))</f>
        <v/>
      </c>
    </row>
    <row r="307">
      <c r="B307" s="12" t="n"/>
      <c r="F307" s="10" t="n"/>
      <c r="G307" s="10" t="n"/>
      <c r="H307" s="10">
        <f>IF(OR(E307="",F307=""),"",E307*F307+N(G307))</f>
        <v/>
      </c>
      <c r="I307" s="10" t="n"/>
      <c r="J307" s="10">
        <f>IF(H307="","",H307-N(I307))</f>
        <v/>
      </c>
      <c r="K307">
        <f>IF(H307="","",IF(J307&lt;=0,"Paid",IF(I307&gt;0,"Partial","Pending")))</f>
        <v/>
      </c>
    </row>
    <row r="308">
      <c r="B308" s="12" t="n"/>
      <c r="F308" s="10" t="n"/>
      <c r="G308" s="10" t="n"/>
      <c r="H308" s="10">
        <f>IF(OR(E308="",F308=""),"",E308*F308+N(G308))</f>
        <v/>
      </c>
      <c r="I308" s="10" t="n"/>
      <c r="J308" s="10">
        <f>IF(H308="","",H308-N(I308))</f>
        <v/>
      </c>
      <c r="K308">
        <f>IF(H308="","",IF(J308&lt;=0,"Paid",IF(I308&gt;0,"Partial","Pending")))</f>
        <v/>
      </c>
    </row>
    <row r="309">
      <c r="B309" s="12" t="n"/>
      <c r="F309" s="10" t="n"/>
      <c r="G309" s="10" t="n"/>
      <c r="H309" s="10">
        <f>IF(OR(E309="",F309=""),"",E309*F309+N(G309))</f>
        <v/>
      </c>
      <c r="I309" s="10" t="n"/>
      <c r="J309" s="10">
        <f>IF(H309="","",H309-N(I309))</f>
        <v/>
      </c>
      <c r="K309">
        <f>IF(H309="","",IF(J309&lt;=0,"Paid",IF(I309&gt;0,"Partial","Pending")))</f>
        <v/>
      </c>
    </row>
    <row r="310">
      <c r="B310" s="12" t="n"/>
      <c r="F310" s="10" t="n"/>
      <c r="G310" s="10" t="n"/>
      <c r="H310" s="10">
        <f>IF(OR(E310="",F310=""),"",E310*F310+N(G310))</f>
        <v/>
      </c>
      <c r="I310" s="10" t="n"/>
      <c r="J310" s="10">
        <f>IF(H310="","",H310-N(I310))</f>
        <v/>
      </c>
      <c r="K310">
        <f>IF(H310="","",IF(J310&lt;=0,"Paid",IF(I310&gt;0,"Partial","Pending")))</f>
        <v/>
      </c>
    </row>
    <row r="311">
      <c r="B311" s="12" t="n"/>
      <c r="F311" s="10" t="n"/>
      <c r="G311" s="10" t="n"/>
      <c r="H311" s="10">
        <f>IF(OR(E311="",F311=""),"",E311*F311+N(G311))</f>
        <v/>
      </c>
      <c r="I311" s="10" t="n"/>
      <c r="J311" s="10">
        <f>IF(H311="","",H311-N(I311))</f>
        <v/>
      </c>
      <c r="K311">
        <f>IF(H311="","",IF(J311&lt;=0,"Paid",IF(I311&gt;0,"Partial","Pending")))</f>
        <v/>
      </c>
    </row>
    <row r="312">
      <c r="B312" s="12" t="n"/>
      <c r="F312" s="10" t="n"/>
      <c r="G312" s="10" t="n"/>
      <c r="H312" s="10">
        <f>IF(OR(E312="",F312=""),"",E312*F312+N(G312))</f>
        <v/>
      </c>
      <c r="I312" s="10" t="n"/>
      <c r="J312" s="10">
        <f>IF(H312="","",H312-N(I312))</f>
        <v/>
      </c>
      <c r="K312">
        <f>IF(H312="","",IF(J312&lt;=0,"Paid",IF(I312&gt;0,"Partial","Pending")))</f>
        <v/>
      </c>
    </row>
    <row r="313">
      <c r="B313" s="12" t="n"/>
      <c r="F313" s="10" t="n"/>
      <c r="G313" s="10" t="n"/>
      <c r="H313" s="10">
        <f>IF(OR(E313="",F313=""),"",E313*F313+N(G313))</f>
        <v/>
      </c>
      <c r="I313" s="10" t="n"/>
      <c r="J313" s="10">
        <f>IF(H313="","",H313-N(I313))</f>
        <v/>
      </c>
      <c r="K313">
        <f>IF(H313="","",IF(J313&lt;=0,"Paid",IF(I313&gt;0,"Partial","Pending")))</f>
        <v/>
      </c>
    </row>
    <row r="314">
      <c r="B314" s="12" t="n"/>
      <c r="F314" s="10" t="n"/>
      <c r="G314" s="10" t="n"/>
      <c r="H314" s="10">
        <f>IF(OR(E314="",F314=""),"",E314*F314+N(G314))</f>
        <v/>
      </c>
      <c r="I314" s="10" t="n"/>
      <c r="J314" s="10">
        <f>IF(H314="","",H314-N(I314))</f>
        <v/>
      </c>
      <c r="K314">
        <f>IF(H314="","",IF(J314&lt;=0,"Paid",IF(I314&gt;0,"Partial","Pending")))</f>
        <v/>
      </c>
    </row>
    <row r="315">
      <c r="B315" s="12" t="n"/>
      <c r="F315" s="10" t="n"/>
      <c r="G315" s="10" t="n"/>
      <c r="H315" s="10">
        <f>IF(OR(E315="",F315=""),"",E315*F315+N(G315))</f>
        <v/>
      </c>
      <c r="I315" s="10" t="n"/>
      <c r="J315" s="10">
        <f>IF(H315="","",H315-N(I315))</f>
        <v/>
      </c>
      <c r="K315">
        <f>IF(H315="","",IF(J315&lt;=0,"Paid",IF(I315&gt;0,"Partial","Pending")))</f>
        <v/>
      </c>
    </row>
    <row r="316">
      <c r="B316" s="12" t="n"/>
      <c r="F316" s="10" t="n"/>
      <c r="G316" s="10" t="n"/>
      <c r="H316" s="10">
        <f>IF(OR(E316="",F316=""),"",E316*F316+N(G316))</f>
        <v/>
      </c>
      <c r="I316" s="10" t="n"/>
      <c r="J316" s="10">
        <f>IF(H316="","",H316-N(I316))</f>
        <v/>
      </c>
      <c r="K316">
        <f>IF(H316="","",IF(J316&lt;=0,"Paid",IF(I316&gt;0,"Partial","Pending")))</f>
        <v/>
      </c>
    </row>
    <row r="317">
      <c r="B317" s="12" t="n"/>
      <c r="F317" s="10" t="n"/>
      <c r="G317" s="10" t="n"/>
      <c r="H317" s="10">
        <f>IF(OR(E317="",F317=""),"",E317*F317+N(G317))</f>
        <v/>
      </c>
      <c r="I317" s="10" t="n"/>
      <c r="J317" s="10">
        <f>IF(H317="","",H317-N(I317))</f>
        <v/>
      </c>
      <c r="K317">
        <f>IF(H317="","",IF(J317&lt;=0,"Paid",IF(I317&gt;0,"Partial","Pending")))</f>
        <v/>
      </c>
    </row>
    <row r="318">
      <c r="B318" s="12" t="n"/>
      <c r="F318" s="10" t="n"/>
      <c r="G318" s="10" t="n"/>
      <c r="H318" s="10">
        <f>IF(OR(E318="",F318=""),"",E318*F318+N(G318))</f>
        <v/>
      </c>
      <c r="I318" s="10" t="n"/>
      <c r="J318" s="10">
        <f>IF(H318="","",H318-N(I318))</f>
        <v/>
      </c>
      <c r="K318">
        <f>IF(H318="","",IF(J318&lt;=0,"Paid",IF(I318&gt;0,"Partial","Pending")))</f>
        <v/>
      </c>
    </row>
    <row r="319">
      <c r="B319" s="12" t="n"/>
      <c r="F319" s="10" t="n"/>
      <c r="G319" s="10" t="n"/>
      <c r="H319" s="10">
        <f>IF(OR(E319="",F319=""),"",E319*F319+N(G319))</f>
        <v/>
      </c>
      <c r="I319" s="10" t="n"/>
      <c r="J319" s="10">
        <f>IF(H319="","",H319-N(I319))</f>
        <v/>
      </c>
      <c r="K319">
        <f>IF(H319="","",IF(J319&lt;=0,"Paid",IF(I319&gt;0,"Partial","Pending")))</f>
        <v/>
      </c>
    </row>
    <row r="320">
      <c r="B320" s="12" t="n"/>
      <c r="F320" s="10" t="n"/>
      <c r="G320" s="10" t="n"/>
      <c r="H320" s="10">
        <f>IF(OR(E320="",F320=""),"",E320*F320+N(G320))</f>
        <v/>
      </c>
      <c r="I320" s="10" t="n"/>
      <c r="J320" s="10">
        <f>IF(H320="","",H320-N(I320))</f>
        <v/>
      </c>
      <c r="K320">
        <f>IF(H320="","",IF(J320&lt;=0,"Paid",IF(I320&gt;0,"Partial","Pending")))</f>
        <v/>
      </c>
    </row>
    <row r="321">
      <c r="B321" s="12" t="n"/>
      <c r="F321" s="10" t="n"/>
      <c r="G321" s="10" t="n"/>
      <c r="H321" s="10">
        <f>IF(OR(E321="",F321=""),"",E321*F321+N(G321))</f>
        <v/>
      </c>
      <c r="I321" s="10" t="n"/>
      <c r="J321" s="10">
        <f>IF(H321="","",H321-N(I321))</f>
        <v/>
      </c>
      <c r="K321">
        <f>IF(H321="","",IF(J321&lt;=0,"Paid",IF(I321&gt;0,"Partial","Pending")))</f>
        <v/>
      </c>
    </row>
    <row r="322">
      <c r="B322" s="12" t="n"/>
      <c r="F322" s="10" t="n"/>
      <c r="G322" s="10" t="n"/>
      <c r="H322" s="10">
        <f>IF(OR(E322="",F322=""),"",E322*F322+N(G322))</f>
        <v/>
      </c>
      <c r="I322" s="10" t="n"/>
      <c r="J322" s="10">
        <f>IF(H322="","",H322-N(I322))</f>
        <v/>
      </c>
      <c r="K322">
        <f>IF(H322="","",IF(J322&lt;=0,"Paid",IF(I322&gt;0,"Partial","Pending")))</f>
        <v/>
      </c>
    </row>
    <row r="323">
      <c r="B323" s="12" t="n"/>
      <c r="F323" s="10" t="n"/>
      <c r="G323" s="10" t="n"/>
      <c r="H323" s="10">
        <f>IF(OR(E323="",F323=""),"",E323*F323+N(G323))</f>
        <v/>
      </c>
      <c r="I323" s="10" t="n"/>
      <c r="J323" s="10">
        <f>IF(H323="","",H323-N(I323))</f>
        <v/>
      </c>
      <c r="K323">
        <f>IF(H323="","",IF(J323&lt;=0,"Paid",IF(I323&gt;0,"Partial","Pending")))</f>
        <v/>
      </c>
    </row>
    <row r="324">
      <c r="B324" s="12" t="n"/>
      <c r="F324" s="10" t="n"/>
      <c r="G324" s="10" t="n"/>
      <c r="H324" s="10">
        <f>IF(OR(E324="",F324=""),"",E324*F324+N(G324))</f>
        <v/>
      </c>
      <c r="I324" s="10" t="n"/>
      <c r="J324" s="10">
        <f>IF(H324="","",H324-N(I324))</f>
        <v/>
      </c>
      <c r="K324">
        <f>IF(H324="","",IF(J324&lt;=0,"Paid",IF(I324&gt;0,"Partial","Pending")))</f>
        <v/>
      </c>
    </row>
    <row r="325">
      <c r="B325" s="12" t="n"/>
      <c r="F325" s="10" t="n"/>
      <c r="G325" s="10" t="n"/>
      <c r="H325" s="10">
        <f>IF(OR(E325="",F325=""),"",E325*F325+N(G325))</f>
        <v/>
      </c>
      <c r="I325" s="10" t="n"/>
      <c r="J325" s="10">
        <f>IF(H325="","",H325-N(I325))</f>
        <v/>
      </c>
      <c r="K325">
        <f>IF(H325="","",IF(J325&lt;=0,"Paid",IF(I325&gt;0,"Partial","Pending")))</f>
        <v/>
      </c>
    </row>
    <row r="326">
      <c r="B326" s="12" t="n"/>
      <c r="F326" s="10" t="n"/>
      <c r="G326" s="10" t="n"/>
      <c r="H326" s="10">
        <f>IF(OR(E326="",F326=""),"",E326*F326+N(G326))</f>
        <v/>
      </c>
      <c r="I326" s="10" t="n"/>
      <c r="J326" s="10">
        <f>IF(H326="","",H326-N(I326))</f>
        <v/>
      </c>
      <c r="K326">
        <f>IF(H326="","",IF(J326&lt;=0,"Paid",IF(I326&gt;0,"Partial","Pending")))</f>
        <v/>
      </c>
    </row>
    <row r="327">
      <c r="B327" s="12" t="n"/>
      <c r="F327" s="10" t="n"/>
      <c r="G327" s="10" t="n"/>
      <c r="H327" s="10">
        <f>IF(OR(E327="",F327=""),"",E327*F327+N(G327))</f>
        <v/>
      </c>
      <c r="I327" s="10" t="n"/>
      <c r="J327" s="10">
        <f>IF(H327="","",H327-N(I327))</f>
        <v/>
      </c>
      <c r="K327">
        <f>IF(H327="","",IF(J327&lt;=0,"Paid",IF(I327&gt;0,"Partial","Pending")))</f>
        <v/>
      </c>
    </row>
    <row r="328">
      <c r="B328" s="12" t="n"/>
      <c r="F328" s="10" t="n"/>
      <c r="G328" s="10" t="n"/>
      <c r="H328" s="10">
        <f>IF(OR(E328="",F328=""),"",E328*F328+N(G328))</f>
        <v/>
      </c>
      <c r="I328" s="10" t="n"/>
      <c r="J328" s="10">
        <f>IF(H328="","",H328-N(I328))</f>
        <v/>
      </c>
      <c r="K328">
        <f>IF(H328="","",IF(J328&lt;=0,"Paid",IF(I328&gt;0,"Partial","Pending")))</f>
        <v/>
      </c>
    </row>
    <row r="329">
      <c r="B329" s="12" t="n"/>
      <c r="F329" s="10" t="n"/>
      <c r="G329" s="10" t="n"/>
      <c r="H329" s="10">
        <f>IF(OR(E329="",F329=""),"",E329*F329+N(G329))</f>
        <v/>
      </c>
      <c r="I329" s="10" t="n"/>
      <c r="J329" s="10">
        <f>IF(H329="","",H329-N(I329))</f>
        <v/>
      </c>
      <c r="K329">
        <f>IF(H329="","",IF(J329&lt;=0,"Paid",IF(I329&gt;0,"Partial","Pending")))</f>
        <v/>
      </c>
    </row>
    <row r="330">
      <c r="B330" s="12" t="n"/>
      <c r="F330" s="10" t="n"/>
      <c r="G330" s="10" t="n"/>
      <c r="H330" s="10">
        <f>IF(OR(E330="",F330=""),"",E330*F330+N(G330))</f>
        <v/>
      </c>
      <c r="I330" s="10" t="n"/>
      <c r="J330" s="10">
        <f>IF(H330="","",H330-N(I330))</f>
        <v/>
      </c>
      <c r="K330">
        <f>IF(H330="","",IF(J330&lt;=0,"Paid",IF(I330&gt;0,"Partial","Pending")))</f>
        <v/>
      </c>
    </row>
    <row r="331">
      <c r="B331" s="12" t="n"/>
      <c r="F331" s="10" t="n"/>
      <c r="G331" s="10" t="n"/>
      <c r="H331" s="10">
        <f>IF(OR(E331="",F331=""),"",E331*F331+N(G331))</f>
        <v/>
      </c>
      <c r="I331" s="10" t="n"/>
      <c r="J331" s="10">
        <f>IF(H331="","",H331-N(I331))</f>
        <v/>
      </c>
      <c r="K331">
        <f>IF(H331="","",IF(J331&lt;=0,"Paid",IF(I331&gt;0,"Partial","Pending")))</f>
        <v/>
      </c>
    </row>
    <row r="332">
      <c r="B332" s="12" t="n"/>
      <c r="F332" s="10" t="n"/>
      <c r="G332" s="10" t="n"/>
      <c r="H332" s="10">
        <f>IF(OR(E332="",F332=""),"",E332*F332+N(G332))</f>
        <v/>
      </c>
      <c r="I332" s="10" t="n"/>
      <c r="J332" s="10">
        <f>IF(H332="","",H332-N(I332))</f>
        <v/>
      </c>
      <c r="K332">
        <f>IF(H332="","",IF(J332&lt;=0,"Paid",IF(I332&gt;0,"Partial","Pending")))</f>
        <v/>
      </c>
    </row>
    <row r="333">
      <c r="B333" s="12" t="n"/>
      <c r="F333" s="10" t="n"/>
      <c r="G333" s="10" t="n"/>
      <c r="H333" s="10">
        <f>IF(OR(E333="",F333=""),"",E333*F333+N(G333))</f>
        <v/>
      </c>
      <c r="I333" s="10" t="n"/>
      <c r="J333" s="10">
        <f>IF(H333="","",H333-N(I333))</f>
        <v/>
      </c>
      <c r="K333">
        <f>IF(H333="","",IF(J333&lt;=0,"Paid",IF(I333&gt;0,"Partial","Pending")))</f>
        <v/>
      </c>
    </row>
    <row r="334">
      <c r="B334" s="12" t="n"/>
      <c r="F334" s="10" t="n"/>
      <c r="G334" s="10" t="n"/>
      <c r="H334" s="10">
        <f>IF(OR(E334="",F334=""),"",E334*F334+N(G334))</f>
        <v/>
      </c>
      <c r="I334" s="10" t="n"/>
      <c r="J334" s="10">
        <f>IF(H334="","",H334-N(I334))</f>
        <v/>
      </c>
      <c r="K334">
        <f>IF(H334="","",IF(J334&lt;=0,"Paid",IF(I334&gt;0,"Partial","Pending")))</f>
        <v/>
      </c>
    </row>
    <row r="335">
      <c r="B335" s="12" t="n"/>
      <c r="F335" s="10" t="n"/>
      <c r="G335" s="10" t="n"/>
      <c r="H335" s="10">
        <f>IF(OR(E335="",F335=""),"",E335*F335+N(G335))</f>
        <v/>
      </c>
      <c r="I335" s="10" t="n"/>
      <c r="J335" s="10">
        <f>IF(H335="","",H335-N(I335))</f>
        <v/>
      </c>
      <c r="K335">
        <f>IF(H335="","",IF(J335&lt;=0,"Paid",IF(I335&gt;0,"Partial","Pending")))</f>
        <v/>
      </c>
    </row>
    <row r="336">
      <c r="B336" s="12" t="n"/>
      <c r="F336" s="10" t="n"/>
      <c r="G336" s="10" t="n"/>
      <c r="H336" s="10">
        <f>IF(OR(E336="",F336=""),"",E336*F336+N(G336))</f>
        <v/>
      </c>
      <c r="I336" s="10" t="n"/>
      <c r="J336" s="10">
        <f>IF(H336="","",H336-N(I336))</f>
        <v/>
      </c>
      <c r="K336">
        <f>IF(H336="","",IF(J336&lt;=0,"Paid",IF(I336&gt;0,"Partial","Pending")))</f>
        <v/>
      </c>
    </row>
    <row r="337">
      <c r="B337" s="12" t="n"/>
      <c r="F337" s="10" t="n"/>
      <c r="G337" s="10" t="n"/>
      <c r="H337" s="10">
        <f>IF(OR(E337="",F337=""),"",E337*F337+N(G337))</f>
        <v/>
      </c>
      <c r="I337" s="10" t="n"/>
      <c r="J337" s="10">
        <f>IF(H337="","",H337-N(I337))</f>
        <v/>
      </c>
      <c r="K337">
        <f>IF(H337="","",IF(J337&lt;=0,"Paid",IF(I337&gt;0,"Partial","Pending")))</f>
        <v/>
      </c>
    </row>
    <row r="338">
      <c r="B338" s="12" t="n"/>
      <c r="F338" s="10" t="n"/>
      <c r="G338" s="10" t="n"/>
      <c r="H338" s="10">
        <f>IF(OR(E338="",F338=""),"",E338*F338+N(G338))</f>
        <v/>
      </c>
      <c r="I338" s="10" t="n"/>
      <c r="J338" s="10">
        <f>IF(H338="","",H338-N(I338))</f>
        <v/>
      </c>
      <c r="K338">
        <f>IF(H338="","",IF(J338&lt;=0,"Paid",IF(I338&gt;0,"Partial","Pending")))</f>
        <v/>
      </c>
    </row>
    <row r="339">
      <c r="B339" s="12" t="n"/>
      <c r="F339" s="10" t="n"/>
      <c r="G339" s="10" t="n"/>
      <c r="H339" s="10">
        <f>IF(OR(E339="",F339=""),"",E339*F339+N(G339))</f>
        <v/>
      </c>
      <c r="I339" s="10" t="n"/>
      <c r="J339" s="10">
        <f>IF(H339="","",H339-N(I339))</f>
        <v/>
      </c>
      <c r="K339">
        <f>IF(H339="","",IF(J339&lt;=0,"Paid",IF(I339&gt;0,"Partial","Pending")))</f>
        <v/>
      </c>
    </row>
    <row r="340">
      <c r="B340" s="12" t="n"/>
      <c r="F340" s="10" t="n"/>
      <c r="G340" s="10" t="n"/>
      <c r="H340" s="10">
        <f>IF(OR(E340="",F340=""),"",E340*F340+N(G340))</f>
        <v/>
      </c>
      <c r="I340" s="10" t="n"/>
      <c r="J340" s="10">
        <f>IF(H340="","",H340-N(I340))</f>
        <v/>
      </c>
      <c r="K340">
        <f>IF(H340="","",IF(J340&lt;=0,"Paid",IF(I340&gt;0,"Partial","Pending")))</f>
        <v/>
      </c>
    </row>
    <row r="341">
      <c r="B341" s="12" t="n"/>
      <c r="F341" s="10" t="n"/>
      <c r="G341" s="10" t="n"/>
      <c r="H341" s="10">
        <f>IF(OR(E341="",F341=""),"",E341*F341+N(G341))</f>
        <v/>
      </c>
      <c r="I341" s="10" t="n"/>
      <c r="J341" s="10">
        <f>IF(H341="","",H341-N(I341))</f>
        <v/>
      </c>
      <c r="K341">
        <f>IF(H341="","",IF(J341&lt;=0,"Paid",IF(I341&gt;0,"Partial","Pending")))</f>
        <v/>
      </c>
    </row>
    <row r="342">
      <c r="B342" s="12" t="n"/>
      <c r="F342" s="10" t="n"/>
      <c r="G342" s="10" t="n"/>
      <c r="H342" s="10">
        <f>IF(OR(E342="",F342=""),"",E342*F342+N(G342))</f>
        <v/>
      </c>
      <c r="I342" s="10" t="n"/>
      <c r="J342" s="10">
        <f>IF(H342="","",H342-N(I342))</f>
        <v/>
      </c>
      <c r="K342">
        <f>IF(H342="","",IF(J342&lt;=0,"Paid",IF(I342&gt;0,"Partial","Pending")))</f>
        <v/>
      </c>
    </row>
    <row r="343">
      <c r="B343" s="12" t="n"/>
      <c r="F343" s="10" t="n"/>
      <c r="G343" s="10" t="n"/>
      <c r="H343" s="10">
        <f>IF(OR(E343="",F343=""),"",E343*F343+N(G343))</f>
        <v/>
      </c>
      <c r="I343" s="10" t="n"/>
      <c r="J343" s="10">
        <f>IF(H343="","",H343-N(I343))</f>
        <v/>
      </c>
      <c r="K343">
        <f>IF(H343="","",IF(J343&lt;=0,"Paid",IF(I343&gt;0,"Partial","Pending")))</f>
        <v/>
      </c>
    </row>
    <row r="344">
      <c r="B344" s="12" t="n"/>
      <c r="F344" s="10" t="n"/>
      <c r="G344" s="10" t="n"/>
      <c r="H344" s="10">
        <f>IF(OR(E344="",F344=""),"",E344*F344+N(G344))</f>
        <v/>
      </c>
      <c r="I344" s="10" t="n"/>
      <c r="J344" s="10">
        <f>IF(H344="","",H344-N(I344))</f>
        <v/>
      </c>
      <c r="K344">
        <f>IF(H344="","",IF(J344&lt;=0,"Paid",IF(I344&gt;0,"Partial","Pending")))</f>
        <v/>
      </c>
    </row>
    <row r="345">
      <c r="B345" s="12" t="n"/>
      <c r="F345" s="10" t="n"/>
      <c r="G345" s="10" t="n"/>
      <c r="H345" s="10">
        <f>IF(OR(E345="",F345=""),"",E345*F345+N(G345))</f>
        <v/>
      </c>
      <c r="I345" s="10" t="n"/>
      <c r="J345" s="10">
        <f>IF(H345="","",H345-N(I345))</f>
        <v/>
      </c>
      <c r="K345">
        <f>IF(H345="","",IF(J345&lt;=0,"Paid",IF(I345&gt;0,"Partial","Pending")))</f>
        <v/>
      </c>
    </row>
    <row r="346">
      <c r="B346" s="12" t="n"/>
      <c r="F346" s="10" t="n"/>
      <c r="G346" s="10" t="n"/>
      <c r="H346" s="10">
        <f>IF(OR(E346="",F346=""),"",E346*F346+N(G346))</f>
        <v/>
      </c>
      <c r="I346" s="10" t="n"/>
      <c r="J346" s="10">
        <f>IF(H346="","",H346-N(I346))</f>
        <v/>
      </c>
      <c r="K346">
        <f>IF(H346="","",IF(J346&lt;=0,"Paid",IF(I346&gt;0,"Partial","Pending")))</f>
        <v/>
      </c>
    </row>
    <row r="347">
      <c r="B347" s="12" t="n"/>
      <c r="F347" s="10" t="n"/>
      <c r="G347" s="10" t="n"/>
      <c r="H347" s="10">
        <f>IF(OR(E347="",F347=""),"",E347*F347+N(G347))</f>
        <v/>
      </c>
      <c r="I347" s="10" t="n"/>
      <c r="J347" s="10">
        <f>IF(H347="","",H347-N(I347))</f>
        <v/>
      </c>
      <c r="K347">
        <f>IF(H347="","",IF(J347&lt;=0,"Paid",IF(I347&gt;0,"Partial","Pending")))</f>
        <v/>
      </c>
    </row>
    <row r="348">
      <c r="B348" s="12" t="n"/>
      <c r="F348" s="10" t="n"/>
      <c r="G348" s="10" t="n"/>
      <c r="H348" s="10">
        <f>IF(OR(E348="",F348=""),"",E348*F348+N(G348))</f>
        <v/>
      </c>
      <c r="I348" s="10" t="n"/>
      <c r="J348" s="10">
        <f>IF(H348="","",H348-N(I348))</f>
        <v/>
      </c>
      <c r="K348">
        <f>IF(H348="","",IF(J348&lt;=0,"Paid",IF(I348&gt;0,"Partial","Pending")))</f>
        <v/>
      </c>
    </row>
    <row r="349">
      <c r="B349" s="12" t="n"/>
      <c r="F349" s="10" t="n"/>
      <c r="G349" s="10" t="n"/>
      <c r="H349" s="10">
        <f>IF(OR(E349="",F349=""),"",E349*F349+N(G349))</f>
        <v/>
      </c>
      <c r="I349" s="10" t="n"/>
      <c r="J349" s="10">
        <f>IF(H349="","",H349-N(I349))</f>
        <v/>
      </c>
      <c r="K349">
        <f>IF(H349="","",IF(J349&lt;=0,"Paid",IF(I349&gt;0,"Partial","Pending")))</f>
        <v/>
      </c>
    </row>
    <row r="350">
      <c r="B350" s="12" t="n"/>
      <c r="F350" s="10" t="n"/>
      <c r="G350" s="10" t="n"/>
      <c r="H350" s="10">
        <f>IF(OR(E350="",F350=""),"",E350*F350+N(G350))</f>
        <v/>
      </c>
      <c r="I350" s="10" t="n"/>
      <c r="J350" s="10">
        <f>IF(H350="","",H350-N(I350))</f>
        <v/>
      </c>
      <c r="K350">
        <f>IF(H350="","",IF(J350&lt;=0,"Paid",IF(I350&gt;0,"Partial","Pending")))</f>
        <v/>
      </c>
    </row>
    <row r="351">
      <c r="B351" s="12" t="n"/>
      <c r="F351" s="10" t="n"/>
      <c r="G351" s="10" t="n"/>
      <c r="H351" s="10">
        <f>IF(OR(E351="",F351=""),"",E351*F351+N(G351))</f>
        <v/>
      </c>
      <c r="I351" s="10" t="n"/>
      <c r="J351" s="10">
        <f>IF(H351="","",H351-N(I351))</f>
        <v/>
      </c>
      <c r="K351">
        <f>IF(H351="","",IF(J351&lt;=0,"Paid",IF(I351&gt;0,"Partial","Pending")))</f>
        <v/>
      </c>
    </row>
    <row r="352">
      <c r="B352" s="12" t="n"/>
      <c r="F352" s="10" t="n"/>
      <c r="G352" s="10" t="n"/>
      <c r="H352" s="10">
        <f>IF(OR(E352="",F352=""),"",E352*F352+N(G352))</f>
        <v/>
      </c>
      <c r="I352" s="10" t="n"/>
      <c r="J352" s="10">
        <f>IF(H352="","",H352-N(I352))</f>
        <v/>
      </c>
      <c r="K352">
        <f>IF(H352="","",IF(J352&lt;=0,"Paid",IF(I352&gt;0,"Partial","Pending")))</f>
        <v/>
      </c>
    </row>
    <row r="353">
      <c r="B353" s="12" t="n"/>
      <c r="F353" s="10" t="n"/>
      <c r="G353" s="10" t="n"/>
      <c r="H353" s="10">
        <f>IF(OR(E353="",F353=""),"",E353*F353+N(G353))</f>
        <v/>
      </c>
      <c r="I353" s="10" t="n"/>
      <c r="J353" s="10">
        <f>IF(H353="","",H353-N(I353))</f>
        <v/>
      </c>
      <c r="K353">
        <f>IF(H353="","",IF(J353&lt;=0,"Paid",IF(I353&gt;0,"Partial","Pending")))</f>
        <v/>
      </c>
    </row>
    <row r="354">
      <c r="B354" s="12" t="n"/>
      <c r="F354" s="10" t="n"/>
      <c r="G354" s="10" t="n"/>
      <c r="H354" s="10">
        <f>IF(OR(E354="",F354=""),"",E354*F354+N(G354))</f>
        <v/>
      </c>
      <c r="I354" s="10" t="n"/>
      <c r="J354" s="10">
        <f>IF(H354="","",H354-N(I354))</f>
        <v/>
      </c>
      <c r="K354">
        <f>IF(H354="","",IF(J354&lt;=0,"Paid",IF(I354&gt;0,"Partial","Pending")))</f>
        <v/>
      </c>
    </row>
    <row r="355">
      <c r="B355" s="12" t="n"/>
      <c r="F355" s="10" t="n"/>
      <c r="G355" s="10" t="n"/>
      <c r="H355" s="10">
        <f>IF(OR(E355="",F355=""),"",E355*F355+N(G355))</f>
        <v/>
      </c>
      <c r="I355" s="10" t="n"/>
      <c r="J355" s="10">
        <f>IF(H355="","",H355-N(I355))</f>
        <v/>
      </c>
      <c r="K355">
        <f>IF(H355="","",IF(J355&lt;=0,"Paid",IF(I355&gt;0,"Partial","Pending")))</f>
        <v/>
      </c>
    </row>
    <row r="356">
      <c r="B356" s="12" t="n"/>
      <c r="F356" s="10" t="n"/>
      <c r="G356" s="10" t="n"/>
      <c r="H356" s="10">
        <f>IF(OR(E356="",F356=""),"",E356*F356+N(G356))</f>
        <v/>
      </c>
      <c r="I356" s="10" t="n"/>
      <c r="J356" s="10">
        <f>IF(H356="","",H356-N(I356))</f>
        <v/>
      </c>
      <c r="K356">
        <f>IF(H356="","",IF(J356&lt;=0,"Paid",IF(I356&gt;0,"Partial","Pending")))</f>
        <v/>
      </c>
    </row>
    <row r="357">
      <c r="B357" s="12" t="n"/>
      <c r="F357" s="10" t="n"/>
      <c r="G357" s="10" t="n"/>
      <c r="H357" s="10">
        <f>IF(OR(E357="",F357=""),"",E357*F357+N(G357))</f>
        <v/>
      </c>
      <c r="I357" s="10" t="n"/>
      <c r="J357" s="10">
        <f>IF(H357="","",H357-N(I357))</f>
        <v/>
      </c>
      <c r="K357">
        <f>IF(H357="","",IF(J357&lt;=0,"Paid",IF(I357&gt;0,"Partial","Pending")))</f>
        <v/>
      </c>
    </row>
    <row r="358">
      <c r="B358" s="12" t="n"/>
      <c r="F358" s="10" t="n"/>
      <c r="G358" s="10" t="n"/>
      <c r="H358" s="10">
        <f>IF(OR(E358="",F358=""),"",E358*F358+N(G358))</f>
        <v/>
      </c>
      <c r="I358" s="10" t="n"/>
      <c r="J358" s="10">
        <f>IF(H358="","",H358-N(I358))</f>
        <v/>
      </c>
      <c r="K358">
        <f>IF(H358="","",IF(J358&lt;=0,"Paid",IF(I358&gt;0,"Partial","Pending")))</f>
        <v/>
      </c>
    </row>
    <row r="359">
      <c r="B359" s="12" t="n"/>
      <c r="F359" s="10" t="n"/>
      <c r="G359" s="10" t="n"/>
      <c r="H359" s="10">
        <f>IF(OR(E359="",F359=""),"",E359*F359+N(G359))</f>
        <v/>
      </c>
      <c r="I359" s="10" t="n"/>
      <c r="J359" s="10">
        <f>IF(H359="","",H359-N(I359))</f>
        <v/>
      </c>
      <c r="K359">
        <f>IF(H359="","",IF(J359&lt;=0,"Paid",IF(I359&gt;0,"Partial","Pending")))</f>
        <v/>
      </c>
    </row>
    <row r="360">
      <c r="B360" s="12" t="n"/>
      <c r="F360" s="10" t="n"/>
      <c r="G360" s="10" t="n"/>
      <c r="H360" s="10">
        <f>IF(OR(E360="",F360=""),"",E360*F360+N(G360))</f>
        <v/>
      </c>
      <c r="I360" s="10" t="n"/>
      <c r="J360" s="10">
        <f>IF(H360="","",H360-N(I360))</f>
        <v/>
      </c>
      <c r="K360">
        <f>IF(H360="","",IF(J360&lt;=0,"Paid",IF(I360&gt;0,"Partial","Pending")))</f>
        <v/>
      </c>
    </row>
    <row r="361">
      <c r="B361" s="12" t="n"/>
      <c r="F361" s="10" t="n"/>
      <c r="G361" s="10" t="n"/>
      <c r="H361" s="10">
        <f>IF(OR(E361="",F361=""),"",E361*F361+N(G361))</f>
        <v/>
      </c>
      <c r="I361" s="10" t="n"/>
      <c r="J361" s="10">
        <f>IF(H361="","",H361-N(I361))</f>
        <v/>
      </c>
      <c r="K361">
        <f>IF(H361="","",IF(J361&lt;=0,"Paid",IF(I361&gt;0,"Partial","Pending")))</f>
        <v/>
      </c>
    </row>
    <row r="362">
      <c r="B362" s="12" t="n"/>
      <c r="F362" s="10" t="n"/>
      <c r="G362" s="10" t="n"/>
      <c r="H362" s="10">
        <f>IF(OR(E362="",F362=""),"",E362*F362+N(G362))</f>
        <v/>
      </c>
      <c r="I362" s="10" t="n"/>
      <c r="J362" s="10">
        <f>IF(H362="","",H362-N(I362))</f>
        <v/>
      </c>
      <c r="K362">
        <f>IF(H362="","",IF(J362&lt;=0,"Paid",IF(I362&gt;0,"Partial","Pending")))</f>
        <v/>
      </c>
    </row>
    <row r="363">
      <c r="B363" s="12" t="n"/>
      <c r="F363" s="10" t="n"/>
      <c r="G363" s="10" t="n"/>
      <c r="H363" s="10">
        <f>IF(OR(E363="",F363=""),"",E363*F363+N(G363))</f>
        <v/>
      </c>
      <c r="I363" s="10" t="n"/>
      <c r="J363" s="10">
        <f>IF(H363="","",H363-N(I363))</f>
        <v/>
      </c>
      <c r="K363">
        <f>IF(H363="","",IF(J363&lt;=0,"Paid",IF(I363&gt;0,"Partial","Pending")))</f>
        <v/>
      </c>
    </row>
    <row r="364">
      <c r="B364" s="12" t="n"/>
      <c r="F364" s="10" t="n"/>
      <c r="G364" s="10" t="n"/>
      <c r="H364" s="10">
        <f>IF(OR(E364="",F364=""),"",E364*F364+N(G364))</f>
        <v/>
      </c>
      <c r="I364" s="10" t="n"/>
      <c r="J364" s="10">
        <f>IF(H364="","",H364-N(I364))</f>
        <v/>
      </c>
      <c r="K364">
        <f>IF(H364="","",IF(J364&lt;=0,"Paid",IF(I364&gt;0,"Partial","Pending")))</f>
        <v/>
      </c>
    </row>
    <row r="365">
      <c r="B365" s="12" t="n"/>
      <c r="F365" s="10" t="n"/>
      <c r="G365" s="10" t="n"/>
      <c r="H365" s="10">
        <f>IF(OR(E365="",F365=""),"",E365*F365+N(G365))</f>
        <v/>
      </c>
      <c r="I365" s="10" t="n"/>
      <c r="J365" s="10">
        <f>IF(H365="","",H365-N(I365))</f>
        <v/>
      </c>
      <c r="K365">
        <f>IF(H365="","",IF(J365&lt;=0,"Paid",IF(I365&gt;0,"Partial","Pending")))</f>
        <v/>
      </c>
    </row>
    <row r="366">
      <c r="B366" s="12" t="n"/>
      <c r="F366" s="10" t="n"/>
      <c r="G366" s="10" t="n"/>
      <c r="H366" s="10">
        <f>IF(OR(E366="",F366=""),"",E366*F366+N(G366))</f>
        <v/>
      </c>
      <c r="I366" s="10" t="n"/>
      <c r="J366" s="10">
        <f>IF(H366="","",H366-N(I366))</f>
        <v/>
      </c>
      <c r="K366">
        <f>IF(H366="","",IF(J366&lt;=0,"Paid",IF(I366&gt;0,"Partial","Pending")))</f>
        <v/>
      </c>
    </row>
    <row r="367">
      <c r="B367" s="12" t="n"/>
      <c r="F367" s="10" t="n"/>
      <c r="G367" s="10" t="n"/>
      <c r="H367" s="10">
        <f>IF(OR(E367="",F367=""),"",E367*F367+N(G367))</f>
        <v/>
      </c>
      <c r="I367" s="10" t="n"/>
      <c r="J367" s="10">
        <f>IF(H367="","",H367-N(I367))</f>
        <v/>
      </c>
      <c r="K367">
        <f>IF(H367="","",IF(J367&lt;=0,"Paid",IF(I367&gt;0,"Partial","Pending")))</f>
        <v/>
      </c>
    </row>
    <row r="368">
      <c r="B368" s="12" t="n"/>
      <c r="F368" s="10" t="n"/>
      <c r="G368" s="10" t="n"/>
      <c r="H368" s="10">
        <f>IF(OR(E368="",F368=""),"",E368*F368+N(G368))</f>
        <v/>
      </c>
      <c r="I368" s="10" t="n"/>
      <c r="J368" s="10">
        <f>IF(H368="","",H368-N(I368))</f>
        <v/>
      </c>
      <c r="K368">
        <f>IF(H368="","",IF(J368&lt;=0,"Paid",IF(I368&gt;0,"Partial","Pending")))</f>
        <v/>
      </c>
    </row>
    <row r="369">
      <c r="B369" s="12" t="n"/>
      <c r="F369" s="10" t="n"/>
      <c r="G369" s="10" t="n"/>
      <c r="H369" s="10">
        <f>IF(OR(E369="",F369=""),"",E369*F369+N(G369))</f>
        <v/>
      </c>
      <c r="I369" s="10" t="n"/>
      <c r="J369" s="10">
        <f>IF(H369="","",H369-N(I369))</f>
        <v/>
      </c>
      <c r="K369">
        <f>IF(H369="","",IF(J369&lt;=0,"Paid",IF(I369&gt;0,"Partial","Pending")))</f>
        <v/>
      </c>
    </row>
    <row r="370">
      <c r="B370" s="12" t="n"/>
      <c r="F370" s="10" t="n"/>
      <c r="G370" s="10" t="n"/>
      <c r="H370" s="10">
        <f>IF(OR(E370="",F370=""),"",E370*F370+N(G370))</f>
        <v/>
      </c>
      <c r="I370" s="10" t="n"/>
      <c r="J370" s="10">
        <f>IF(H370="","",H370-N(I370))</f>
        <v/>
      </c>
      <c r="K370">
        <f>IF(H370="","",IF(J370&lt;=0,"Paid",IF(I370&gt;0,"Partial","Pending")))</f>
        <v/>
      </c>
    </row>
    <row r="371">
      <c r="B371" s="12" t="n"/>
      <c r="F371" s="10" t="n"/>
      <c r="G371" s="10" t="n"/>
      <c r="H371" s="10">
        <f>IF(OR(E371="",F371=""),"",E371*F371+N(G371))</f>
        <v/>
      </c>
      <c r="I371" s="10" t="n"/>
      <c r="J371" s="10">
        <f>IF(H371="","",H371-N(I371))</f>
        <v/>
      </c>
      <c r="K371">
        <f>IF(H371="","",IF(J371&lt;=0,"Paid",IF(I371&gt;0,"Partial","Pending")))</f>
        <v/>
      </c>
    </row>
    <row r="372">
      <c r="B372" s="12" t="n"/>
      <c r="F372" s="10" t="n"/>
      <c r="G372" s="10" t="n"/>
      <c r="H372" s="10">
        <f>IF(OR(E372="",F372=""),"",E372*F372+N(G372))</f>
        <v/>
      </c>
      <c r="I372" s="10" t="n"/>
      <c r="J372" s="10">
        <f>IF(H372="","",H372-N(I372))</f>
        <v/>
      </c>
      <c r="K372">
        <f>IF(H372="","",IF(J372&lt;=0,"Paid",IF(I372&gt;0,"Partial","Pending")))</f>
        <v/>
      </c>
    </row>
    <row r="373">
      <c r="B373" s="12" t="n"/>
      <c r="F373" s="10" t="n"/>
      <c r="G373" s="10" t="n"/>
      <c r="H373" s="10">
        <f>IF(OR(E373="",F373=""),"",E373*F373+N(G373))</f>
        <v/>
      </c>
      <c r="I373" s="10" t="n"/>
      <c r="J373" s="10">
        <f>IF(H373="","",H373-N(I373))</f>
        <v/>
      </c>
      <c r="K373">
        <f>IF(H373="","",IF(J373&lt;=0,"Paid",IF(I373&gt;0,"Partial","Pending")))</f>
        <v/>
      </c>
    </row>
    <row r="374">
      <c r="B374" s="12" t="n"/>
      <c r="F374" s="10" t="n"/>
      <c r="G374" s="10" t="n"/>
      <c r="H374" s="10">
        <f>IF(OR(E374="",F374=""),"",E374*F374+N(G374))</f>
        <v/>
      </c>
      <c r="I374" s="10" t="n"/>
      <c r="J374" s="10">
        <f>IF(H374="","",H374-N(I374))</f>
        <v/>
      </c>
      <c r="K374">
        <f>IF(H374="","",IF(J374&lt;=0,"Paid",IF(I374&gt;0,"Partial","Pending")))</f>
        <v/>
      </c>
    </row>
    <row r="375">
      <c r="B375" s="12" t="n"/>
      <c r="F375" s="10" t="n"/>
      <c r="G375" s="10" t="n"/>
      <c r="H375" s="10">
        <f>IF(OR(E375="",F375=""),"",E375*F375+N(G375))</f>
        <v/>
      </c>
      <c r="I375" s="10" t="n"/>
      <c r="J375" s="10">
        <f>IF(H375="","",H375-N(I375))</f>
        <v/>
      </c>
      <c r="K375">
        <f>IF(H375="","",IF(J375&lt;=0,"Paid",IF(I375&gt;0,"Partial","Pending")))</f>
        <v/>
      </c>
    </row>
    <row r="376">
      <c r="B376" s="12" t="n"/>
      <c r="F376" s="10" t="n"/>
      <c r="G376" s="10" t="n"/>
      <c r="H376" s="10">
        <f>IF(OR(E376="",F376=""),"",E376*F376+N(G376))</f>
        <v/>
      </c>
      <c r="I376" s="10" t="n"/>
      <c r="J376" s="10">
        <f>IF(H376="","",H376-N(I376))</f>
        <v/>
      </c>
      <c r="K376">
        <f>IF(H376="","",IF(J376&lt;=0,"Paid",IF(I376&gt;0,"Partial","Pending")))</f>
        <v/>
      </c>
    </row>
    <row r="377">
      <c r="B377" s="12" t="n"/>
      <c r="F377" s="10" t="n"/>
      <c r="G377" s="10" t="n"/>
      <c r="H377" s="10">
        <f>IF(OR(E377="",F377=""),"",E377*F377+N(G377))</f>
        <v/>
      </c>
      <c r="I377" s="10" t="n"/>
      <c r="J377" s="10">
        <f>IF(H377="","",H377-N(I377))</f>
        <v/>
      </c>
      <c r="K377">
        <f>IF(H377="","",IF(J377&lt;=0,"Paid",IF(I377&gt;0,"Partial","Pending")))</f>
        <v/>
      </c>
    </row>
    <row r="378">
      <c r="B378" s="12" t="n"/>
      <c r="F378" s="10" t="n"/>
      <c r="G378" s="10" t="n"/>
      <c r="H378" s="10">
        <f>IF(OR(E378="",F378=""),"",E378*F378+N(G378))</f>
        <v/>
      </c>
      <c r="I378" s="10" t="n"/>
      <c r="J378" s="10">
        <f>IF(H378="","",H378-N(I378))</f>
        <v/>
      </c>
      <c r="K378">
        <f>IF(H378="","",IF(J378&lt;=0,"Paid",IF(I378&gt;0,"Partial","Pending")))</f>
        <v/>
      </c>
    </row>
    <row r="379">
      <c r="B379" s="12" t="n"/>
      <c r="F379" s="10" t="n"/>
      <c r="G379" s="10" t="n"/>
      <c r="H379" s="10">
        <f>IF(OR(E379="",F379=""),"",E379*F379+N(G379))</f>
        <v/>
      </c>
      <c r="I379" s="10" t="n"/>
      <c r="J379" s="10">
        <f>IF(H379="","",H379-N(I379))</f>
        <v/>
      </c>
      <c r="K379">
        <f>IF(H379="","",IF(J379&lt;=0,"Paid",IF(I379&gt;0,"Partial","Pending")))</f>
        <v/>
      </c>
    </row>
    <row r="380">
      <c r="B380" s="12" t="n"/>
      <c r="F380" s="10" t="n"/>
      <c r="G380" s="10" t="n"/>
      <c r="H380" s="10">
        <f>IF(OR(E380="",F380=""),"",E380*F380+N(G380))</f>
        <v/>
      </c>
      <c r="I380" s="10" t="n"/>
      <c r="J380" s="10">
        <f>IF(H380="","",H380-N(I380))</f>
        <v/>
      </c>
      <c r="K380">
        <f>IF(H380="","",IF(J380&lt;=0,"Paid",IF(I380&gt;0,"Partial","Pending")))</f>
        <v/>
      </c>
    </row>
    <row r="381">
      <c r="B381" s="12" t="n"/>
      <c r="F381" s="10" t="n"/>
      <c r="G381" s="10" t="n"/>
      <c r="H381" s="10">
        <f>IF(OR(E381="",F381=""),"",E381*F381+N(G381))</f>
        <v/>
      </c>
      <c r="I381" s="10" t="n"/>
      <c r="J381" s="10">
        <f>IF(H381="","",H381-N(I381))</f>
        <v/>
      </c>
      <c r="K381">
        <f>IF(H381="","",IF(J381&lt;=0,"Paid",IF(I381&gt;0,"Partial","Pending")))</f>
        <v/>
      </c>
    </row>
    <row r="382">
      <c r="B382" s="12" t="n"/>
      <c r="F382" s="10" t="n"/>
      <c r="G382" s="10" t="n"/>
      <c r="H382" s="10">
        <f>IF(OR(E382="",F382=""),"",E382*F382+N(G382))</f>
        <v/>
      </c>
      <c r="I382" s="10" t="n"/>
      <c r="J382" s="10">
        <f>IF(H382="","",H382-N(I382))</f>
        <v/>
      </c>
      <c r="K382">
        <f>IF(H382="","",IF(J382&lt;=0,"Paid",IF(I382&gt;0,"Partial","Pending")))</f>
        <v/>
      </c>
    </row>
    <row r="383">
      <c r="B383" s="12" t="n"/>
      <c r="F383" s="10" t="n"/>
      <c r="G383" s="10" t="n"/>
      <c r="H383" s="10">
        <f>IF(OR(E383="",F383=""),"",E383*F383+N(G383))</f>
        <v/>
      </c>
      <c r="I383" s="10" t="n"/>
      <c r="J383" s="10">
        <f>IF(H383="","",H383-N(I383))</f>
        <v/>
      </c>
      <c r="K383">
        <f>IF(H383="","",IF(J383&lt;=0,"Paid",IF(I383&gt;0,"Partial","Pending")))</f>
        <v/>
      </c>
    </row>
    <row r="384">
      <c r="B384" s="12" t="n"/>
      <c r="F384" s="10" t="n"/>
      <c r="G384" s="10" t="n"/>
      <c r="H384" s="10">
        <f>IF(OR(E384="",F384=""),"",E384*F384+N(G384))</f>
        <v/>
      </c>
      <c r="I384" s="10" t="n"/>
      <c r="J384" s="10">
        <f>IF(H384="","",H384-N(I384))</f>
        <v/>
      </c>
      <c r="K384">
        <f>IF(H384="","",IF(J384&lt;=0,"Paid",IF(I384&gt;0,"Partial","Pending")))</f>
        <v/>
      </c>
    </row>
    <row r="385">
      <c r="B385" s="12" t="n"/>
      <c r="F385" s="10" t="n"/>
      <c r="G385" s="10" t="n"/>
      <c r="H385" s="10">
        <f>IF(OR(E385="",F385=""),"",E385*F385+N(G385))</f>
        <v/>
      </c>
      <c r="I385" s="10" t="n"/>
      <c r="J385" s="10">
        <f>IF(H385="","",H385-N(I385))</f>
        <v/>
      </c>
      <c r="K385">
        <f>IF(H385="","",IF(J385&lt;=0,"Paid",IF(I385&gt;0,"Partial","Pending")))</f>
        <v/>
      </c>
    </row>
    <row r="386">
      <c r="B386" s="12" t="n"/>
      <c r="F386" s="10" t="n"/>
      <c r="G386" s="10" t="n"/>
      <c r="H386" s="10">
        <f>IF(OR(E386="",F386=""),"",E386*F386+N(G386))</f>
        <v/>
      </c>
      <c r="I386" s="10" t="n"/>
      <c r="J386" s="10">
        <f>IF(H386="","",H386-N(I386))</f>
        <v/>
      </c>
      <c r="K386">
        <f>IF(H386="","",IF(J386&lt;=0,"Paid",IF(I386&gt;0,"Partial","Pending")))</f>
        <v/>
      </c>
    </row>
    <row r="387">
      <c r="B387" s="12" t="n"/>
      <c r="F387" s="10" t="n"/>
      <c r="G387" s="10" t="n"/>
      <c r="H387" s="10">
        <f>IF(OR(E387="",F387=""),"",E387*F387+N(G387))</f>
        <v/>
      </c>
      <c r="I387" s="10" t="n"/>
      <c r="J387" s="10">
        <f>IF(H387="","",H387-N(I387))</f>
        <v/>
      </c>
      <c r="K387">
        <f>IF(H387="","",IF(J387&lt;=0,"Paid",IF(I387&gt;0,"Partial","Pending")))</f>
        <v/>
      </c>
    </row>
    <row r="388">
      <c r="B388" s="12" t="n"/>
      <c r="F388" s="10" t="n"/>
      <c r="G388" s="10" t="n"/>
      <c r="H388" s="10">
        <f>IF(OR(E388="",F388=""),"",E388*F388+N(G388))</f>
        <v/>
      </c>
      <c r="I388" s="10" t="n"/>
      <c r="J388" s="10">
        <f>IF(H388="","",H388-N(I388))</f>
        <v/>
      </c>
      <c r="K388">
        <f>IF(H388="","",IF(J388&lt;=0,"Paid",IF(I388&gt;0,"Partial","Pending")))</f>
        <v/>
      </c>
    </row>
    <row r="389">
      <c r="B389" s="12" t="n"/>
      <c r="F389" s="10" t="n"/>
      <c r="G389" s="10" t="n"/>
      <c r="H389" s="10">
        <f>IF(OR(E389="",F389=""),"",E389*F389+N(G389))</f>
        <v/>
      </c>
      <c r="I389" s="10" t="n"/>
      <c r="J389" s="10">
        <f>IF(H389="","",H389-N(I389))</f>
        <v/>
      </c>
      <c r="K389">
        <f>IF(H389="","",IF(J389&lt;=0,"Paid",IF(I389&gt;0,"Partial","Pending")))</f>
        <v/>
      </c>
    </row>
    <row r="390">
      <c r="B390" s="12" t="n"/>
      <c r="F390" s="10" t="n"/>
      <c r="G390" s="10" t="n"/>
      <c r="H390" s="10">
        <f>IF(OR(E390="",F390=""),"",E390*F390+N(G390))</f>
        <v/>
      </c>
      <c r="I390" s="10" t="n"/>
      <c r="J390" s="10">
        <f>IF(H390="","",H390-N(I390))</f>
        <v/>
      </c>
      <c r="K390">
        <f>IF(H390="","",IF(J390&lt;=0,"Paid",IF(I390&gt;0,"Partial","Pending")))</f>
        <v/>
      </c>
    </row>
    <row r="391">
      <c r="B391" s="12" t="n"/>
      <c r="F391" s="10" t="n"/>
      <c r="G391" s="10" t="n"/>
      <c r="H391" s="10">
        <f>IF(OR(E391="",F391=""),"",E391*F391+N(G391))</f>
        <v/>
      </c>
      <c r="I391" s="10" t="n"/>
      <c r="J391" s="10">
        <f>IF(H391="","",H391-N(I391))</f>
        <v/>
      </c>
      <c r="K391">
        <f>IF(H391="","",IF(J391&lt;=0,"Paid",IF(I391&gt;0,"Partial","Pending")))</f>
        <v/>
      </c>
    </row>
    <row r="392">
      <c r="B392" s="12" t="n"/>
      <c r="F392" s="10" t="n"/>
      <c r="G392" s="10" t="n"/>
      <c r="H392" s="10">
        <f>IF(OR(E392="",F392=""),"",E392*F392+N(G392))</f>
        <v/>
      </c>
      <c r="I392" s="10" t="n"/>
      <c r="J392" s="10">
        <f>IF(H392="","",H392-N(I392))</f>
        <v/>
      </c>
      <c r="K392">
        <f>IF(H392="","",IF(J392&lt;=0,"Paid",IF(I392&gt;0,"Partial","Pending")))</f>
        <v/>
      </c>
    </row>
    <row r="393">
      <c r="B393" s="12" t="n"/>
      <c r="F393" s="10" t="n"/>
      <c r="G393" s="10" t="n"/>
      <c r="H393" s="10">
        <f>IF(OR(E393="",F393=""),"",E393*F393+N(G393))</f>
        <v/>
      </c>
      <c r="I393" s="10" t="n"/>
      <c r="J393" s="10">
        <f>IF(H393="","",H393-N(I393))</f>
        <v/>
      </c>
      <c r="K393">
        <f>IF(H393="","",IF(J393&lt;=0,"Paid",IF(I393&gt;0,"Partial","Pending")))</f>
        <v/>
      </c>
    </row>
    <row r="394">
      <c r="B394" s="12" t="n"/>
      <c r="F394" s="10" t="n"/>
      <c r="G394" s="10" t="n"/>
      <c r="H394" s="10">
        <f>IF(OR(E394="",F394=""),"",E394*F394+N(G394))</f>
        <v/>
      </c>
      <c r="I394" s="10" t="n"/>
      <c r="J394" s="10">
        <f>IF(H394="","",H394-N(I394))</f>
        <v/>
      </c>
      <c r="K394">
        <f>IF(H394="","",IF(J394&lt;=0,"Paid",IF(I394&gt;0,"Partial","Pending")))</f>
        <v/>
      </c>
    </row>
    <row r="395">
      <c r="B395" s="12" t="n"/>
      <c r="F395" s="10" t="n"/>
      <c r="G395" s="10" t="n"/>
      <c r="H395" s="10">
        <f>IF(OR(E395="",F395=""),"",E395*F395+N(G395))</f>
        <v/>
      </c>
      <c r="I395" s="10" t="n"/>
      <c r="J395" s="10">
        <f>IF(H395="","",H395-N(I395))</f>
        <v/>
      </c>
      <c r="K395">
        <f>IF(H395="","",IF(J395&lt;=0,"Paid",IF(I395&gt;0,"Partial","Pending")))</f>
        <v/>
      </c>
    </row>
    <row r="396">
      <c r="B396" s="12" t="n"/>
      <c r="F396" s="10" t="n"/>
      <c r="G396" s="10" t="n"/>
      <c r="H396" s="10">
        <f>IF(OR(E396="",F396=""),"",E396*F396+N(G396))</f>
        <v/>
      </c>
      <c r="I396" s="10" t="n"/>
      <c r="J396" s="10">
        <f>IF(H396="","",H396-N(I396))</f>
        <v/>
      </c>
      <c r="K396">
        <f>IF(H396="","",IF(J396&lt;=0,"Paid",IF(I396&gt;0,"Partial","Pending")))</f>
        <v/>
      </c>
    </row>
    <row r="397">
      <c r="B397" s="12" t="n"/>
      <c r="F397" s="10" t="n"/>
      <c r="G397" s="10" t="n"/>
      <c r="H397" s="10">
        <f>IF(OR(E397="",F397=""),"",E397*F397+N(G397))</f>
        <v/>
      </c>
      <c r="I397" s="10" t="n"/>
      <c r="J397" s="10">
        <f>IF(H397="","",H397-N(I397))</f>
        <v/>
      </c>
      <c r="K397">
        <f>IF(H397="","",IF(J397&lt;=0,"Paid",IF(I397&gt;0,"Partial","Pending")))</f>
        <v/>
      </c>
    </row>
    <row r="398">
      <c r="B398" s="12" t="n"/>
      <c r="F398" s="10" t="n"/>
      <c r="G398" s="10" t="n"/>
      <c r="H398" s="10">
        <f>IF(OR(E398="",F398=""),"",E398*F398+N(G398))</f>
        <v/>
      </c>
      <c r="I398" s="10" t="n"/>
      <c r="J398" s="10">
        <f>IF(H398="","",H398-N(I398))</f>
        <v/>
      </c>
      <c r="K398">
        <f>IF(H398="","",IF(J398&lt;=0,"Paid",IF(I398&gt;0,"Partial","Pending")))</f>
        <v/>
      </c>
    </row>
    <row r="399">
      <c r="B399" s="12" t="n"/>
      <c r="F399" s="10" t="n"/>
      <c r="G399" s="10" t="n"/>
      <c r="H399" s="10">
        <f>IF(OR(E399="",F399=""),"",E399*F399+N(G399))</f>
        <v/>
      </c>
      <c r="I399" s="10" t="n"/>
      <c r="J399" s="10">
        <f>IF(H399="","",H399-N(I399))</f>
        <v/>
      </c>
      <c r="K399">
        <f>IF(H399="","",IF(J399&lt;=0,"Paid",IF(I399&gt;0,"Partial","Pending")))</f>
        <v/>
      </c>
    </row>
    <row r="400">
      <c r="B400" s="12" t="n"/>
      <c r="F400" s="10" t="n"/>
      <c r="G400" s="10" t="n"/>
      <c r="H400" s="10">
        <f>IF(OR(E400="",F400=""),"",E400*F400+N(G400))</f>
        <v/>
      </c>
      <c r="I400" s="10" t="n"/>
      <c r="J400" s="10">
        <f>IF(H400="","",H400-N(I400))</f>
        <v/>
      </c>
      <c r="K400">
        <f>IF(H400="","",IF(J400&lt;=0,"Paid",IF(I400&gt;0,"Partial","Pending")))</f>
        <v/>
      </c>
    </row>
    <row r="401">
      <c r="B401" s="12" t="n"/>
      <c r="F401" s="10" t="n"/>
      <c r="G401" s="10" t="n"/>
      <c r="H401" s="10">
        <f>IF(OR(E401="",F401=""),"",E401*F401+N(G401))</f>
        <v/>
      </c>
      <c r="I401" s="10" t="n"/>
      <c r="J401" s="10">
        <f>IF(H401="","",H401-N(I401))</f>
        <v/>
      </c>
      <c r="K401">
        <f>IF(H401="","",IF(J401&lt;=0,"Paid",IF(I401&gt;0,"Partial","Pending")))</f>
        <v/>
      </c>
    </row>
    <row r="402">
      <c r="B402" s="12" t="n"/>
      <c r="F402" s="10" t="n"/>
      <c r="G402" s="10" t="n"/>
      <c r="H402" s="10">
        <f>IF(OR(E402="",F402=""),"",E402*F402+N(G402))</f>
        <v/>
      </c>
      <c r="I402" s="10" t="n"/>
      <c r="J402" s="10">
        <f>IF(H402="","",H402-N(I402))</f>
        <v/>
      </c>
      <c r="K402">
        <f>IF(H402="","",IF(J402&lt;=0,"Paid",IF(I402&gt;0,"Partial","Pending")))</f>
        <v/>
      </c>
    </row>
    <row r="403">
      <c r="B403" s="12" t="n"/>
      <c r="F403" s="10" t="n"/>
      <c r="G403" s="10" t="n"/>
      <c r="H403" s="10">
        <f>IF(OR(E403="",F403=""),"",E403*F403+N(G403))</f>
        <v/>
      </c>
      <c r="I403" s="10" t="n"/>
      <c r="J403" s="10">
        <f>IF(H403="","",H403-N(I403))</f>
        <v/>
      </c>
      <c r="K403">
        <f>IF(H403="","",IF(J403&lt;=0,"Paid",IF(I403&gt;0,"Partial","Pending")))</f>
        <v/>
      </c>
    </row>
    <row r="404">
      <c r="B404" s="12" t="n"/>
      <c r="F404" s="10" t="n"/>
      <c r="G404" s="10" t="n"/>
      <c r="H404" s="10">
        <f>IF(OR(E404="",F404=""),"",E404*F404+N(G404))</f>
        <v/>
      </c>
      <c r="I404" s="10" t="n"/>
      <c r="J404" s="10">
        <f>IF(H404="","",H404-N(I404))</f>
        <v/>
      </c>
      <c r="K404">
        <f>IF(H404="","",IF(J404&lt;=0,"Paid",IF(I404&gt;0,"Partial","Pending")))</f>
        <v/>
      </c>
    </row>
    <row r="405">
      <c r="B405" s="12" t="n"/>
      <c r="F405" s="10" t="n"/>
      <c r="G405" s="10" t="n"/>
      <c r="H405" s="10">
        <f>IF(OR(E405="",F405=""),"",E405*F405+N(G405))</f>
        <v/>
      </c>
      <c r="I405" s="10" t="n"/>
      <c r="J405" s="10">
        <f>IF(H405="","",H405-N(I405))</f>
        <v/>
      </c>
      <c r="K405">
        <f>IF(H405="","",IF(J405&lt;=0,"Paid",IF(I405&gt;0,"Partial","Pending")))</f>
        <v/>
      </c>
    </row>
    <row r="406">
      <c r="B406" s="12" t="n"/>
      <c r="F406" s="10" t="n"/>
      <c r="G406" s="10" t="n"/>
      <c r="H406" s="10">
        <f>IF(OR(E406="",F406=""),"",E406*F406+N(G406))</f>
        <v/>
      </c>
      <c r="I406" s="10" t="n"/>
      <c r="J406" s="10">
        <f>IF(H406="","",H406-N(I406))</f>
        <v/>
      </c>
      <c r="K406">
        <f>IF(H406="","",IF(J406&lt;=0,"Paid",IF(I406&gt;0,"Partial","Pending")))</f>
        <v/>
      </c>
    </row>
    <row r="407">
      <c r="B407" s="12" t="n"/>
      <c r="F407" s="10" t="n"/>
      <c r="G407" s="10" t="n"/>
      <c r="H407" s="10">
        <f>IF(OR(E407="",F407=""),"",E407*F407+N(G407))</f>
        <v/>
      </c>
      <c r="I407" s="10" t="n"/>
      <c r="J407" s="10">
        <f>IF(H407="","",H407-N(I407))</f>
        <v/>
      </c>
      <c r="K407">
        <f>IF(H407="","",IF(J407&lt;=0,"Paid",IF(I407&gt;0,"Partial","Pending")))</f>
        <v/>
      </c>
    </row>
    <row r="408">
      <c r="B408" s="12" t="n"/>
      <c r="F408" s="10" t="n"/>
      <c r="G408" s="10" t="n"/>
      <c r="H408" s="10">
        <f>IF(OR(E408="",F408=""),"",E408*F408+N(G408))</f>
        <v/>
      </c>
      <c r="I408" s="10" t="n"/>
      <c r="J408" s="10">
        <f>IF(H408="","",H408-N(I408))</f>
        <v/>
      </c>
      <c r="K408">
        <f>IF(H408="","",IF(J408&lt;=0,"Paid",IF(I408&gt;0,"Partial","Pending")))</f>
        <v/>
      </c>
    </row>
    <row r="409">
      <c r="B409" s="12" t="n"/>
      <c r="F409" s="10" t="n"/>
      <c r="G409" s="10" t="n"/>
      <c r="H409" s="10">
        <f>IF(OR(E409="",F409=""),"",E409*F409+N(G409))</f>
        <v/>
      </c>
      <c r="I409" s="10" t="n"/>
      <c r="J409" s="10">
        <f>IF(H409="","",H409-N(I409))</f>
        <v/>
      </c>
      <c r="K409">
        <f>IF(H409="","",IF(J409&lt;=0,"Paid",IF(I409&gt;0,"Partial","Pending")))</f>
        <v/>
      </c>
    </row>
    <row r="410">
      <c r="B410" s="12" t="n"/>
      <c r="F410" s="10" t="n"/>
      <c r="G410" s="10" t="n"/>
      <c r="H410" s="10">
        <f>IF(OR(E410="",F410=""),"",E410*F410+N(G410))</f>
        <v/>
      </c>
      <c r="I410" s="10" t="n"/>
      <c r="J410" s="10">
        <f>IF(H410="","",H410-N(I410))</f>
        <v/>
      </c>
      <c r="K410">
        <f>IF(H410="","",IF(J410&lt;=0,"Paid",IF(I410&gt;0,"Partial","Pending")))</f>
        <v/>
      </c>
    </row>
    <row r="411">
      <c r="B411" s="12" t="n"/>
      <c r="F411" s="10" t="n"/>
      <c r="G411" s="10" t="n"/>
      <c r="H411" s="10">
        <f>IF(OR(E411="",F411=""),"",E411*F411+N(G411))</f>
        <v/>
      </c>
      <c r="I411" s="10" t="n"/>
      <c r="J411" s="10">
        <f>IF(H411="","",H411-N(I411))</f>
        <v/>
      </c>
      <c r="K411">
        <f>IF(H411="","",IF(J411&lt;=0,"Paid",IF(I411&gt;0,"Partial","Pending")))</f>
        <v/>
      </c>
    </row>
    <row r="412">
      <c r="B412" s="12" t="n"/>
      <c r="F412" s="10" t="n"/>
      <c r="G412" s="10" t="n"/>
      <c r="H412" s="10">
        <f>IF(OR(E412="",F412=""),"",E412*F412+N(G412))</f>
        <v/>
      </c>
      <c r="I412" s="10" t="n"/>
      <c r="J412" s="10">
        <f>IF(H412="","",H412-N(I412))</f>
        <v/>
      </c>
      <c r="K412">
        <f>IF(H412="","",IF(J412&lt;=0,"Paid",IF(I412&gt;0,"Partial","Pending")))</f>
        <v/>
      </c>
    </row>
    <row r="413">
      <c r="B413" s="12" t="n"/>
      <c r="F413" s="10" t="n"/>
      <c r="G413" s="10" t="n"/>
      <c r="H413" s="10">
        <f>IF(OR(E413="",F413=""),"",E413*F413+N(G413))</f>
        <v/>
      </c>
      <c r="I413" s="10" t="n"/>
      <c r="J413" s="10">
        <f>IF(H413="","",H413-N(I413))</f>
        <v/>
      </c>
      <c r="K413">
        <f>IF(H413="","",IF(J413&lt;=0,"Paid",IF(I413&gt;0,"Partial","Pending")))</f>
        <v/>
      </c>
    </row>
    <row r="414">
      <c r="B414" s="12" t="n"/>
      <c r="F414" s="10" t="n"/>
      <c r="G414" s="10" t="n"/>
      <c r="H414" s="10">
        <f>IF(OR(E414="",F414=""),"",E414*F414+N(G414))</f>
        <v/>
      </c>
      <c r="I414" s="10" t="n"/>
      <c r="J414" s="10">
        <f>IF(H414="","",H414-N(I414))</f>
        <v/>
      </c>
      <c r="K414">
        <f>IF(H414="","",IF(J414&lt;=0,"Paid",IF(I414&gt;0,"Partial","Pending")))</f>
        <v/>
      </c>
    </row>
    <row r="415">
      <c r="B415" s="12" t="n"/>
      <c r="F415" s="10" t="n"/>
      <c r="G415" s="10" t="n"/>
      <c r="H415" s="10">
        <f>IF(OR(E415="",F415=""),"",E415*F415+N(G415))</f>
        <v/>
      </c>
      <c r="I415" s="10" t="n"/>
      <c r="J415" s="10">
        <f>IF(H415="","",H415-N(I415))</f>
        <v/>
      </c>
      <c r="K415">
        <f>IF(H415="","",IF(J415&lt;=0,"Paid",IF(I415&gt;0,"Partial","Pending")))</f>
        <v/>
      </c>
    </row>
    <row r="416">
      <c r="B416" s="12" t="n"/>
      <c r="F416" s="10" t="n"/>
      <c r="G416" s="10" t="n"/>
      <c r="H416" s="10">
        <f>IF(OR(E416="",F416=""),"",E416*F416+N(G416))</f>
        <v/>
      </c>
      <c r="I416" s="10" t="n"/>
      <c r="J416" s="10">
        <f>IF(H416="","",H416-N(I416))</f>
        <v/>
      </c>
      <c r="K416">
        <f>IF(H416="","",IF(J416&lt;=0,"Paid",IF(I416&gt;0,"Partial","Pending")))</f>
        <v/>
      </c>
    </row>
    <row r="417">
      <c r="B417" s="12" t="n"/>
      <c r="F417" s="10" t="n"/>
      <c r="G417" s="10" t="n"/>
      <c r="H417" s="10">
        <f>IF(OR(E417="",F417=""),"",E417*F417+N(G417))</f>
        <v/>
      </c>
      <c r="I417" s="10" t="n"/>
      <c r="J417" s="10">
        <f>IF(H417="","",H417-N(I417))</f>
        <v/>
      </c>
      <c r="K417">
        <f>IF(H417="","",IF(J417&lt;=0,"Paid",IF(I417&gt;0,"Partial","Pending")))</f>
        <v/>
      </c>
    </row>
    <row r="418">
      <c r="B418" s="12" t="n"/>
      <c r="F418" s="10" t="n"/>
      <c r="G418" s="10" t="n"/>
      <c r="H418" s="10">
        <f>IF(OR(E418="",F418=""),"",E418*F418+N(G418))</f>
        <v/>
      </c>
      <c r="I418" s="10" t="n"/>
      <c r="J418" s="10">
        <f>IF(H418="","",H418-N(I418))</f>
        <v/>
      </c>
      <c r="K418">
        <f>IF(H418="","",IF(J418&lt;=0,"Paid",IF(I418&gt;0,"Partial","Pending")))</f>
        <v/>
      </c>
    </row>
    <row r="419">
      <c r="B419" s="12" t="n"/>
      <c r="F419" s="10" t="n"/>
      <c r="G419" s="10" t="n"/>
      <c r="H419" s="10">
        <f>IF(OR(E419="",F419=""),"",E419*F419+N(G419))</f>
        <v/>
      </c>
      <c r="I419" s="10" t="n"/>
      <c r="J419" s="10">
        <f>IF(H419="","",H419-N(I419))</f>
        <v/>
      </c>
      <c r="K419">
        <f>IF(H419="","",IF(J419&lt;=0,"Paid",IF(I419&gt;0,"Partial","Pending")))</f>
        <v/>
      </c>
    </row>
    <row r="420">
      <c r="B420" s="12" t="n"/>
      <c r="F420" s="10" t="n"/>
      <c r="G420" s="10" t="n"/>
      <c r="H420" s="10">
        <f>IF(OR(E420="",F420=""),"",E420*F420+N(G420))</f>
        <v/>
      </c>
      <c r="I420" s="10" t="n"/>
      <c r="J420" s="10">
        <f>IF(H420="","",H420-N(I420))</f>
        <v/>
      </c>
      <c r="K420">
        <f>IF(H420="","",IF(J420&lt;=0,"Paid",IF(I420&gt;0,"Partial","Pending")))</f>
        <v/>
      </c>
    </row>
    <row r="421">
      <c r="B421" s="12" t="n"/>
      <c r="F421" s="10" t="n"/>
      <c r="G421" s="10" t="n"/>
      <c r="H421" s="10">
        <f>IF(OR(E421="",F421=""),"",E421*F421+N(G421))</f>
        <v/>
      </c>
      <c r="I421" s="10" t="n"/>
      <c r="J421" s="10">
        <f>IF(H421="","",H421-N(I421))</f>
        <v/>
      </c>
      <c r="K421">
        <f>IF(H421="","",IF(J421&lt;=0,"Paid",IF(I421&gt;0,"Partial","Pending")))</f>
        <v/>
      </c>
    </row>
    <row r="422">
      <c r="B422" s="12" t="n"/>
      <c r="F422" s="10" t="n"/>
      <c r="G422" s="10" t="n"/>
      <c r="H422" s="10">
        <f>IF(OR(E422="",F422=""),"",E422*F422+N(G422))</f>
        <v/>
      </c>
      <c r="I422" s="10" t="n"/>
      <c r="J422" s="10">
        <f>IF(H422="","",H422-N(I422))</f>
        <v/>
      </c>
      <c r="K422">
        <f>IF(H422="","",IF(J422&lt;=0,"Paid",IF(I422&gt;0,"Partial","Pending")))</f>
        <v/>
      </c>
    </row>
    <row r="423">
      <c r="B423" s="12" t="n"/>
      <c r="F423" s="10" t="n"/>
      <c r="G423" s="10" t="n"/>
      <c r="H423" s="10">
        <f>IF(OR(E423="",F423=""),"",E423*F423+N(G423))</f>
        <v/>
      </c>
      <c r="I423" s="10" t="n"/>
      <c r="J423" s="10">
        <f>IF(H423="","",H423-N(I423))</f>
        <v/>
      </c>
      <c r="K423">
        <f>IF(H423="","",IF(J423&lt;=0,"Paid",IF(I423&gt;0,"Partial","Pending")))</f>
        <v/>
      </c>
    </row>
    <row r="424">
      <c r="B424" s="12" t="n"/>
      <c r="F424" s="10" t="n"/>
      <c r="G424" s="10" t="n"/>
      <c r="H424" s="10">
        <f>IF(OR(E424="",F424=""),"",E424*F424+N(G424))</f>
        <v/>
      </c>
      <c r="I424" s="10" t="n"/>
      <c r="J424" s="10">
        <f>IF(H424="","",H424-N(I424))</f>
        <v/>
      </c>
      <c r="K424">
        <f>IF(H424="","",IF(J424&lt;=0,"Paid",IF(I424&gt;0,"Partial","Pending")))</f>
        <v/>
      </c>
    </row>
    <row r="425">
      <c r="B425" s="12" t="n"/>
      <c r="F425" s="10" t="n"/>
      <c r="G425" s="10" t="n"/>
      <c r="H425" s="10">
        <f>IF(OR(E425="",F425=""),"",E425*F425+N(G425))</f>
        <v/>
      </c>
      <c r="I425" s="10" t="n"/>
      <c r="J425" s="10">
        <f>IF(H425="","",H425-N(I425))</f>
        <v/>
      </c>
      <c r="K425">
        <f>IF(H425="","",IF(J425&lt;=0,"Paid",IF(I425&gt;0,"Partial","Pending")))</f>
        <v/>
      </c>
    </row>
    <row r="426">
      <c r="B426" s="12" t="n"/>
      <c r="F426" s="10" t="n"/>
      <c r="G426" s="10" t="n"/>
      <c r="H426" s="10">
        <f>IF(OR(E426="",F426=""),"",E426*F426+N(G426))</f>
        <v/>
      </c>
      <c r="I426" s="10" t="n"/>
      <c r="J426" s="10">
        <f>IF(H426="","",H426-N(I426))</f>
        <v/>
      </c>
      <c r="K426">
        <f>IF(H426="","",IF(J426&lt;=0,"Paid",IF(I426&gt;0,"Partial","Pending")))</f>
        <v/>
      </c>
    </row>
    <row r="427">
      <c r="B427" s="12" t="n"/>
      <c r="F427" s="10" t="n"/>
      <c r="G427" s="10" t="n"/>
      <c r="H427" s="10">
        <f>IF(OR(E427="",F427=""),"",E427*F427+N(G427))</f>
        <v/>
      </c>
      <c r="I427" s="10" t="n"/>
      <c r="J427" s="10">
        <f>IF(H427="","",H427-N(I427))</f>
        <v/>
      </c>
      <c r="K427">
        <f>IF(H427="","",IF(J427&lt;=0,"Paid",IF(I427&gt;0,"Partial","Pending")))</f>
        <v/>
      </c>
    </row>
    <row r="428">
      <c r="B428" s="12" t="n"/>
      <c r="F428" s="10" t="n"/>
      <c r="G428" s="10" t="n"/>
      <c r="H428" s="10">
        <f>IF(OR(E428="",F428=""),"",E428*F428+N(G428))</f>
        <v/>
      </c>
      <c r="I428" s="10" t="n"/>
      <c r="J428" s="10">
        <f>IF(H428="","",H428-N(I428))</f>
        <v/>
      </c>
      <c r="K428">
        <f>IF(H428="","",IF(J428&lt;=0,"Paid",IF(I428&gt;0,"Partial","Pending")))</f>
        <v/>
      </c>
    </row>
    <row r="429">
      <c r="B429" s="12" t="n"/>
      <c r="F429" s="10" t="n"/>
      <c r="G429" s="10" t="n"/>
      <c r="H429" s="10">
        <f>IF(OR(E429="",F429=""),"",E429*F429+N(G429))</f>
        <v/>
      </c>
      <c r="I429" s="10" t="n"/>
      <c r="J429" s="10">
        <f>IF(H429="","",H429-N(I429))</f>
        <v/>
      </c>
      <c r="K429">
        <f>IF(H429="","",IF(J429&lt;=0,"Paid",IF(I429&gt;0,"Partial","Pending")))</f>
        <v/>
      </c>
    </row>
    <row r="430">
      <c r="B430" s="12" t="n"/>
      <c r="F430" s="10" t="n"/>
      <c r="G430" s="10" t="n"/>
      <c r="H430" s="10">
        <f>IF(OR(E430="",F430=""),"",E430*F430+N(G430))</f>
        <v/>
      </c>
      <c r="I430" s="10" t="n"/>
      <c r="J430" s="10">
        <f>IF(H430="","",H430-N(I430))</f>
        <v/>
      </c>
      <c r="K430">
        <f>IF(H430="","",IF(J430&lt;=0,"Paid",IF(I430&gt;0,"Partial","Pending")))</f>
        <v/>
      </c>
    </row>
    <row r="431">
      <c r="B431" s="12" t="n"/>
      <c r="F431" s="10" t="n"/>
      <c r="G431" s="10" t="n"/>
      <c r="H431" s="10">
        <f>IF(OR(E431="",F431=""),"",E431*F431+N(G431))</f>
        <v/>
      </c>
      <c r="I431" s="10" t="n"/>
      <c r="J431" s="10">
        <f>IF(H431="","",H431-N(I431))</f>
        <v/>
      </c>
      <c r="K431">
        <f>IF(H431="","",IF(J431&lt;=0,"Paid",IF(I431&gt;0,"Partial","Pending")))</f>
        <v/>
      </c>
    </row>
    <row r="432">
      <c r="B432" s="12" t="n"/>
      <c r="F432" s="10" t="n"/>
      <c r="G432" s="10" t="n"/>
      <c r="H432" s="10">
        <f>IF(OR(E432="",F432=""),"",E432*F432+N(G432))</f>
        <v/>
      </c>
      <c r="I432" s="10" t="n"/>
      <c r="J432" s="10">
        <f>IF(H432="","",H432-N(I432))</f>
        <v/>
      </c>
      <c r="K432">
        <f>IF(H432="","",IF(J432&lt;=0,"Paid",IF(I432&gt;0,"Partial","Pending")))</f>
        <v/>
      </c>
    </row>
    <row r="433">
      <c r="B433" s="12" t="n"/>
      <c r="F433" s="10" t="n"/>
      <c r="G433" s="10" t="n"/>
      <c r="H433" s="10">
        <f>IF(OR(E433="",F433=""),"",E433*F433+N(G433))</f>
        <v/>
      </c>
      <c r="I433" s="10" t="n"/>
      <c r="J433" s="10">
        <f>IF(H433="","",H433-N(I433))</f>
        <v/>
      </c>
      <c r="K433">
        <f>IF(H433="","",IF(J433&lt;=0,"Paid",IF(I433&gt;0,"Partial","Pending")))</f>
        <v/>
      </c>
    </row>
    <row r="434">
      <c r="B434" s="12" t="n"/>
      <c r="F434" s="10" t="n"/>
      <c r="G434" s="10" t="n"/>
      <c r="H434" s="10">
        <f>IF(OR(E434="",F434=""),"",E434*F434+N(G434))</f>
        <v/>
      </c>
      <c r="I434" s="10" t="n"/>
      <c r="J434" s="10">
        <f>IF(H434="","",H434-N(I434))</f>
        <v/>
      </c>
      <c r="K434">
        <f>IF(H434="","",IF(J434&lt;=0,"Paid",IF(I434&gt;0,"Partial","Pending")))</f>
        <v/>
      </c>
    </row>
    <row r="435">
      <c r="B435" s="12" t="n"/>
      <c r="F435" s="10" t="n"/>
      <c r="G435" s="10" t="n"/>
      <c r="H435" s="10">
        <f>IF(OR(E435="",F435=""),"",E435*F435+N(G435))</f>
        <v/>
      </c>
      <c r="I435" s="10" t="n"/>
      <c r="J435" s="10">
        <f>IF(H435="","",H435-N(I435))</f>
        <v/>
      </c>
      <c r="K435">
        <f>IF(H435="","",IF(J435&lt;=0,"Paid",IF(I435&gt;0,"Partial","Pending")))</f>
        <v/>
      </c>
    </row>
    <row r="436">
      <c r="B436" s="12" t="n"/>
      <c r="F436" s="10" t="n"/>
      <c r="G436" s="10" t="n"/>
      <c r="H436" s="10">
        <f>IF(OR(E436="",F436=""),"",E436*F436+N(G436))</f>
        <v/>
      </c>
      <c r="I436" s="10" t="n"/>
      <c r="J436" s="10">
        <f>IF(H436="","",H436-N(I436))</f>
        <v/>
      </c>
      <c r="K436">
        <f>IF(H436="","",IF(J436&lt;=0,"Paid",IF(I436&gt;0,"Partial","Pending")))</f>
        <v/>
      </c>
    </row>
    <row r="437">
      <c r="B437" s="12" t="n"/>
      <c r="F437" s="10" t="n"/>
      <c r="G437" s="10" t="n"/>
      <c r="H437" s="10">
        <f>IF(OR(E437="",F437=""),"",E437*F437+N(G437))</f>
        <v/>
      </c>
      <c r="I437" s="10" t="n"/>
      <c r="J437" s="10">
        <f>IF(H437="","",H437-N(I437))</f>
        <v/>
      </c>
      <c r="K437">
        <f>IF(H437="","",IF(J437&lt;=0,"Paid",IF(I437&gt;0,"Partial","Pending")))</f>
        <v/>
      </c>
    </row>
    <row r="438">
      <c r="B438" s="12" t="n"/>
      <c r="F438" s="10" t="n"/>
      <c r="G438" s="10" t="n"/>
      <c r="H438" s="10">
        <f>IF(OR(E438="",F438=""),"",E438*F438+N(G438))</f>
        <v/>
      </c>
      <c r="I438" s="10" t="n"/>
      <c r="J438" s="10">
        <f>IF(H438="","",H438-N(I438))</f>
        <v/>
      </c>
      <c r="K438">
        <f>IF(H438="","",IF(J438&lt;=0,"Paid",IF(I438&gt;0,"Partial","Pending")))</f>
        <v/>
      </c>
    </row>
    <row r="439">
      <c r="B439" s="12" t="n"/>
      <c r="F439" s="10" t="n"/>
      <c r="G439" s="10" t="n"/>
      <c r="H439" s="10">
        <f>IF(OR(E439="",F439=""),"",E439*F439+N(G439))</f>
        <v/>
      </c>
      <c r="I439" s="10" t="n"/>
      <c r="J439" s="10">
        <f>IF(H439="","",H439-N(I439))</f>
        <v/>
      </c>
      <c r="K439">
        <f>IF(H439="","",IF(J439&lt;=0,"Paid",IF(I439&gt;0,"Partial","Pending")))</f>
        <v/>
      </c>
    </row>
    <row r="440">
      <c r="B440" s="12" t="n"/>
      <c r="F440" s="10" t="n"/>
      <c r="G440" s="10" t="n"/>
      <c r="H440" s="10">
        <f>IF(OR(E440="",F440=""),"",E440*F440+N(G440))</f>
        <v/>
      </c>
      <c r="I440" s="10" t="n"/>
      <c r="J440" s="10">
        <f>IF(H440="","",H440-N(I440))</f>
        <v/>
      </c>
      <c r="K440">
        <f>IF(H440="","",IF(J440&lt;=0,"Paid",IF(I440&gt;0,"Partial","Pending")))</f>
        <v/>
      </c>
    </row>
    <row r="441">
      <c r="B441" s="12" t="n"/>
      <c r="F441" s="10" t="n"/>
      <c r="G441" s="10" t="n"/>
      <c r="H441" s="10">
        <f>IF(OR(E441="",F441=""),"",E441*F441+N(G441))</f>
        <v/>
      </c>
      <c r="I441" s="10" t="n"/>
      <c r="J441" s="10">
        <f>IF(H441="","",H441-N(I441))</f>
        <v/>
      </c>
      <c r="K441">
        <f>IF(H441="","",IF(J441&lt;=0,"Paid",IF(I441&gt;0,"Partial","Pending")))</f>
        <v/>
      </c>
    </row>
    <row r="442">
      <c r="B442" s="12" t="n"/>
      <c r="F442" s="10" t="n"/>
      <c r="G442" s="10" t="n"/>
      <c r="H442" s="10">
        <f>IF(OR(E442="",F442=""),"",E442*F442+N(G442))</f>
        <v/>
      </c>
      <c r="I442" s="10" t="n"/>
      <c r="J442" s="10">
        <f>IF(H442="","",H442-N(I442))</f>
        <v/>
      </c>
      <c r="K442">
        <f>IF(H442="","",IF(J442&lt;=0,"Paid",IF(I442&gt;0,"Partial","Pending")))</f>
        <v/>
      </c>
    </row>
    <row r="443">
      <c r="B443" s="12" t="n"/>
      <c r="F443" s="10" t="n"/>
      <c r="G443" s="10" t="n"/>
      <c r="H443" s="10">
        <f>IF(OR(E443="",F443=""),"",E443*F443+N(G443))</f>
        <v/>
      </c>
      <c r="I443" s="10" t="n"/>
      <c r="J443" s="10">
        <f>IF(H443="","",H443-N(I443))</f>
        <v/>
      </c>
      <c r="K443">
        <f>IF(H443="","",IF(J443&lt;=0,"Paid",IF(I443&gt;0,"Partial","Pending")))</f>
        <v/>
      </c>
    </row>
    <row r="444">
      <c r="B444" s="12" t="n"/>
      <c r="F444" s="10" t="n"/>
      <c r="G444" s="10" t="n"/>
      <c r="H444" s="10">
        <f>IF(OR(E444="",F444=""),"",E444*F444+N(G444))</f>
        <v/>
      </c>
      <c r="I444" s="10" t="n"/>
      <c r="J444" s="10">
        <f>IF(H444="","",H444-N(I444))</f>
        <v/>
      </c>
      <c r="K444">
        <f>IF(H444="","",IF(J444&lt;=0,"Paid",IF(I444&gt;0,"Partial","Pending")))</f>
        <v/>
      </c>
    </row>
    <row r="445">
      <c r="B445" s="12" t="n"/>
      <c r="F445" s="10" t="n"/>
      <c r="G445" s="10" t="n"/>
      <c r="H445" s="10">
        <f>IF(OR(E445="",F445=""),"",E445*F445+N(G445))</f>
        <v/>
      </c>
      <c r="I445" s="10" t="n"/>
      <c r="J445" s="10">
        <f>IF(H445="","",H445-N(I445))</f>
        <v/>
      </c>
      <c r="K445">
        <f>IF(H445="","",IF(J445&lt;=0,"Paid",IF(I445&gt;0,"Partial","Pending")))</f>
        <v/>
      </c>
    </row>
    <row r="446">
      <c r="B446" s="12" t="n"/>
      <c r="F446" s="10" t="n"/>
      <c r="G446" s="10" t="n"/>
      <c r="H446" s="10">
        <f>IF(OR(E446="",F446=""),"",E446*F446+N(G446))</f>
        <v/>
      </c>
      <c r="I446" s="10" t="n"/>
      <c r="J446" s="10">
        <f>IF(H446="","",H446-N(I446))</f>
        <v/>
      </c>
      <c r="K446">
        <f>IF(H446="","",IF(J446&lt;=0,"Paid",IF(I446&gt;0,"Partial","Pending")))</f>
        <v/>
      </c>
    </row>
    <row r="447">
      <c r="B447" s="12" t="n"/>
      <c r="F447" s="10" t="n"/>
      <c r="G447" s="10" t="n"/>
      <c r="H447" s="10">
        <f>IF(OR(E447="",F447=""),"",E447*F447+N(G447))</f>
        <v/>
      </c>
      <c r="I447" s="10" t="n"/>
      <c r="J447" s="10">
        <f>IF(H447="","",H447-N(I447))</f>
        <v/>
      </c>
      <c r="K447">
        <f>IF(H447="","",IF(J447&lt;=0,"Paid",IF(I447&gt;0,"Partial","Pending")))</f>
        <v/>
      </c>
    </row>
    <row r="448">
      <c r="B448" s="12" t="n"/>
      <c r="F448" s="10" t="n"/>
      <c r="G448" s="10" t="n"/>
      <c r="H448" s="10">
        <f>IF(OR(E448="",F448=""),"",E448*F448+N(G448))</f>
        <v/>
      </c>
      <c r="I448" s="10" t="n"/>
      <c r="J448" s="10">
        <f>IF(H448="","",H448-N(I448))</f>
        <v/>
      </c>
      <c r="K448">
        <f>IF(H448="","",IF(J448&lt;=0,"Paid",IF(I448&gt;0,"Partial","Pending")))</f>
        <v/>
      </c>
    </row>
    <row r="449">
      <c r="B449" s="12" t="n"/>
      <c r="F449" s="10" t="n"/>
      <c r="G449" s="10" t="n"/>
      <c r="H449" s="10">
        <f>IF(OR(E449="",F449=""),"",E449*F449+N(G449))</f>
        <v/>
      </c>
      <c r="I449" s="10" t="n"/>
      <c r="J449" s="10">
        <f>IF(H449="","",H449-N(I449))</f>
        <v/>
      </c>
      <c r="K449">
        <f>IF(H449="","",IF(J449&lt;=0,"Paid",IF(I449&gt;0,"Partial","Pending")))</f>
        <v/>
      </c>
    </row>
    <row r="450">
      <c r="B450" s="12" t="n"/>
      <c r="F450" s="10" t="n"/>
      <c r="G450" s="10" t="n"/>
      <c r="H450" s="10">
        <f>IF(OR(E450="",F450=""),"",E450*F450+N(G450))</f>
        <v/>
      </c>
      <c r="I450" s="10" t="n"/>
      <c r="J450" s="10">
        <f>IF(H450="","",H450-N(I450))</f>
        <v/>
      </c>
      <c r="K450">
        <f>IF(H450="","",IF(J450&lt;=0,"Paid",IF(I450&gt;0,"Partial","Pending")))</f>
        <v/>
      </c>
    </row>
    <row r="451">
      <c r="B451" s="12" t="n"/>
      <c r="F451" s="10" t="n"/>
      <c r="G451" s="10" t="n"/>
      <c r="H451" s="10">
        <f>IF(OR(E451="",F451=""),"",E451*F451+N(G451))</f>
        <v/>
      </c>
      <c r="I451" s="10" t="n"/>
      <c r="J451" s="10">
        <f>IF(H451="","",H451-N(I451))</f>
        <v/>
      </c>
      <c r="K451">
        <f>IF(H451="","",IF(J451&lt;=0,"Paid",IF(I451&gt;0,"Partial","Pending")))</f>
        <v/>
      </c>
    </row>
    <row r="452">
      <c r="B452" s="12" t="n"/>
      <c r="F452" s="10" t="n"/>
      <c r="G452" s="10" t="n"/>
      <c r="H452" s="10">
        <f>IF(OR(E452="",F452=""),"",E452*F452+N(G452))</f>
        <v/>
      </c>
      <c r="I452" s="10" t="n"/>
      <c r="J452" s="10">
        <f>IF(H452="","",H452-N(I452))</f>
        <v/>
      </c>
      <c r="K452">
        <f>IF(H452="","",IF(J452&lt;=0,"Paid",IF(I452&gt;0,"Partial","Pending")))</f>
        <v/>
      </c>
    </row>
    <row r="453">
      <c r="B453" s="12" t="n"/>
      <c r="F453" s="10" t="n"/>
      <c r="G453" s="10" t="n"/>
      <c r="H453" s="10">
        <f>IF(OR(E453="",F453=""),"",E453*F453+N(G453))</f>
        <v/>
      </c>
      <c r="I453" s="10" t="n"/>
      <c r="J453" s="10">
        <f>IF(H453="","",H453-N(I453))</f>
        <v/>
      </c>
      <c r="K453">
        <f>IF(H453="","",IF(J453&lt;=0,"Paid",IF(I453&gt;0,"Partial","Pending")))</f>
        <v/>
      </c>
    </row>
    <row r="454">
      <c r="B454" s="12" t="n"/>
      <c r="F454" s="10" t="n"/>
      <c r="G454" s="10" t="n"/>
      <c r="H454" s="10">
        <f>IF(OR(E454="",F454=""),"",E454*F454+N(G454))</f>
        <v/>
      </c>
      <c r="I454" s="10" t="n"/>
      <c r="J454" s="10">
        <f>IF(H454="","",H454-N(I454))</f>
        <v/>
      </c>
      <c r="K454">
        <f>IF(H454="","",IF(J454&lt;=0,"Paid",IF(I454&gt;0,"Partial","Pending")))</f>
        <v/>
      </c>
    </row>
    <row r="455">
      <c r="B455" s="12" t="n"/>
      <c r="F455" s="10" t="n"/>
      <c r="G455" s="10" t="n"/>
      <c r="H455" s="10">
        <f>IF(OR(E455="",F455=""),"",E455*F455+N(G455))</f>
        <v/>
      </c>
      <c r="I455" s="10" t="n"/>
      <c r="J455" s="10">
        <f>IF(H455="","",H455-N(I455))</f>
        <v/>
      </c>
      <c r="K455">
        <f>IF(H455="","",IF(J455&lt;=0,"Paid",IF(I455&gt;0,"Partial","Pending")))</f>
        <v/>
      </c>
    </row>
    <row r="456">
      <c r="B456" s="12" t="n"/>
      <c r="F456" s="10" t="n"/>
      <c r="G456" s="10" t="n"/>
      <c r="H456" s="10">
        <f>IF(OR(E456="",F456=""),"",E456*F456+N(G456))</f>
        <v/>
      </c>
      <c r="I456" s="10" t="n"/>
      <c r="J456" s="10">
        <f>IF(H456="","",H456-N(I456))</f>
        <v/>
      </c>
      <c r="K456">
        <f>IF(H456="","",IF(J456&lt;=0,"Paid",IF(I456&gt;0,"Partial","Pending")))</f>
        <v/>
      </c>
    </row>
    <row r="457">
      <c r="B457" s="12" t="n"/>
      <c r="F457" s="10" t="n"/>
      <c r="G457" s="10" t="n"/>
      <c r="H457" s="10">
        <f>IF(OR(E457="",F457=""),"",E457*F457+N(G457))</f>
        <v/>
      </c>
      <c r="I457" s="10" t="n"/>
      <c r="J457" s="10">
        <f>IF(H457="","",H457-N(I457))</f>
        <v/>
      </c>
      <c r="K457">
        <f>IF(H457="","",IF(J457&lt;=0,"Paid",IF(I457&gt;0,"Partial","Pending")))</f>
        <v/>
      </c>
    </row>
    <row r="458">
      <c r="B458" s="12" t="n"/>
      <c r="F458" s="10" t="n"/>
      <c r="G458" s="10" t="n"/>
      <c r="H458" s="10">
        <f>IF(OR(E458="",F458=""),"",E458*F458+N(G458))</f>
        <v/>
      </c>
      <c r="I458" s="10" t="n"/>
      <c r="J458" s="10">
        <f>IF(H458="","",H458-N(I458))</f>
        <v/>
      </c>
      <c r="K458">
        <f>IF(H458="","",IF(J458&lt;=0,"Paid",IF(I458&gt;0,"Partial","Pending")))</f>
        <v/>
      </c>
    </row>
    <row r="459">
      <c r="B459" s="12" t="n"/>
      <c r="F459" s="10" t="n"/>
      <c r="G459" s="10" t="n"/>
      <c r="H459" s="10">
        <f>IF(OR(E459="",F459=""),"",E459*F459+N(G459))</f>
        <v/>
      </c>
      <c r="I459" s="10" t="n"/>
      <c r="J459" s="10">
        <f>IF(H459="","",H459-N(I459))</f>
        <v/>
      </c>
      <c r="K459">
        <f>IF(H459="","",IF(J459&lt;=0,"Paid",IF(I459&gt;0,"Partial","Pending")))</f>
        <v/>
      </c>
    </row>
    <row r="460">
      <c r="B460" s="12" t="n"/>
      <c r="F460" s="10" t="n"/>
      <c r="G460" s="10" t="n"/>
      <c r="H460" s="10">
        <f>IF(OR(E460="",F460=""),"",E460*F460+N(G460))</f>
        <v/>
      </c>
      <c r="I460" s="10" t="n"/>
      <c r="J460" s="10">
        <f>IF(H460="","",H460-N(I460))</f>
        <v/>
      </c>
      <c r="K460">
        <f>IF(H460="","",IF(J460&lt;=0,"Paid",IF(I460&gt;0,"Partial","Pending")))</f>
        <v/>
      </c>
    </row>
    <row r="461">
      <c r="B461" s="12" t="n"/>
      <c r="F461" s="10" t="n"/>
      <c r="G461" s="10" t="n"/>
      <c r="H461" s="10">
        <f>IF(OR(E461="",F461=""),"",E461*F461+N(G461))</f>
        <v/>
      </c>
      <c r="I461" s="10" t="n"/>
      <c r="J461" s="10">
        <f>IF(H461="","",H461-N(I461))</f>
        <v/>
      </c>
      <c r="K461">
        <f>IF(H461="","",IF(J461&lt;=0,"Paid",IF(I461&gt;0,"Partial","Pending")))</f>
        <v/>
      </c>
    </row>
    <row r="462">
      <c r="B462" s="12" t="n"/>
      <c r="F462" s="10" t="n"/>
      <c r="G462" s="10" t="n"/>
      <c r="H462" s="10">
        <f>IF(OR(E462="",F462=""),"",E462*F462+N(G462))</f>
        <v/>
      </c>
      <c r="I462" s="10" t="n"/>
      <c r="J462" s="10">
        <f>IF(H462="","",H462-N(I462))</f>
        <v/>
      </c>
      <c r="K462">
        <f>IF(H462="","",IF(J462&lt;=0,"Paid",IF(I462&gt;0,"Partial","Pending")))</f>
        <v/>
      </c>
    </row>
    <row r="463">
      <c r="B463" s="12" t="n"/>
      <c r="F463" s="10" t="n"/>
      <c r="G463" s="10" t="n"/>
      <c r="H463" s="10">
        <f>IF(OR(E463="",F463=""),"",E463*F463+N(G463))</f>
        <v/>
      </c>
      <c r="I463" s="10" t="n"/>
      <c r="J463" s="10">
        <f>IF(H463="","",H463-N(I463))</f>
        <v/>
      </c>
      <c r="K463">
        <f>IF(H463="","",IF(J463&lt;=0,"Paid",IF(I463&gt;0,"Partial","Pending")))</f>
        <v/>
      </c>
    </row>
    <row r="464">
      <c r="B464" s="12" t="n"/>
      <c r="F464" s="10" t="n"/>
      <c r="G464" s="10" t="n"/>
      <c r="H464" s="10">
        <f>IF(OR(E464="",F464=""),"",E464*F464+N(G464))</f>
        <v/>
      </c>
      <c r="I464" s="10" t="n"/>
      <c r="J464" s="10">
        <f>IF(H464="","",H464-N(I464))</f>
        <v/>
      </c>
      <c r="K464">
        <f>IF(H464="","",IF(J464&lt;=0,"Paid",IF(I464&gt;0,"Partial","Pending")))</f>
        <v/>
      </c>
    </row>
    <row r="465">
      <c r="B465" s="12" t="n"/>
      <c r="F465" s="10" t="n"/>
      <c r="G465" s="10" t="n"/>
      <c r="H465" s="10">
        <f>IF(OR(E465="",F465=""),"",E465*F465+N(G465))</f>
        <v/>
      </c>
      <c r="I465" s="10" t="n"/>
      <c r="J465" s="10">
        <f>IF(H465="","",H465-N(I465))</f>
        <v/>
      </c>
      <c r="K465">
        <f>IF(H465="","",IF(J465&lt;=0,"Paid",IF(I465&gt;0,"Partial","Pending")))</f>
        <v/>
      </c>
    </row>
    <row r="466">
      <c r="B466" s="12" t="n"/>
      <c r="F466" s="10" t="n"/>
      <c r="G466" s="10" t="n"/>
      <c r="H466" s="10">
        <f>IF(OR(E466="",F466=""),"",E466*F466+N(G466))</f>
        <v/>
      </c>
      <c r="I466" s="10" t="n"/>
      <c r="J466" s="10">
        <f>IF(H466="","",H466-N(I466))</f>
        <v/>
      </c>
      <c r="K466">
        <f>IF(H466="","",IF(J466&lt;=0,"Paid",IF(I466&gt;0,"Partial","Pending")))</f>
        <v/>
      </c>
    </row>
    <row r="467">
      <c r="B467" s="12" t="n"/>
      <c r="F467" s="10" t="n"/>
      <c r="G467" s="10" t="n"/>
      <c r="H467" s="10">
        <f>IF(OR(E467="",F467=""),"",E467*F467+N(G467))</f>
        <v/>
      </c>
      <c r="I467" s="10" t="n"/>
      <c r="J467" s="10">
        <f>IF(H467="","",H467-N(I467))</f>
        <v/>
      </c>
      <c r="K467">
        <f>IF(H467="","",IF(J467&lt;=0,"Paid",IF(I467&gt;0,"Partial","Pending")))</f>
        <v/>
      </c>
    </row>
    <row r="468">
      <c r="B468" s="12" t="n"/>
      <c r="F468" s="10" t="n"/>
      <c r="G468" s="10" t="n"/>
      <c r="H468" s="10">
        <f>IF(OR(E468="",F468=""),"",E468*F468+N(G468))</f>
        <v/>
      </c>
      <c r="I468" s="10" t="n"/>
      <c r="J468" s="10">
        <f>IF(H468="","",H468-N(I468))</f>
        <v/>
      </c>
      <c r="K468">
        <f>IF(H468="","",IF(J468&lt;=0,"Paid",IF(I468&gt;0,"Partial","Pending")))</f>
        <v/>
      </c>
    </row>
    <row r="469">
      <c r="B469" s="12" t="n"/>
      <c r="F469" s="10" t="n"/>
      <c r="G469" s="10" t="n"/>
      <c r="H469" s="10">
        <f>IF(OR(E469="",F469=""),"",E469*F469+N(G469))</f>
        <v/>
      </c>
      <c r="I469" s="10" t="n"/>
      <c r="J469" s="10">
        <f>IF(H469="","",H469-N(I469))</f>
        <v/>
      </c>
      <c r="K469">
        <f>IF(H469="","",IF(J469&lt;=0,"Paid",IF(I469&gt;0,"Partial","Pending")))</f>
        <v/>
      </c>
    </row>
    <row r="470">
      <c r="B470" s="12" t="n"/>
      <c r="F470" s="10" t="n"/>
      <c r="G470" s="10" t="n"/>
      <c r="H470" s="10">
        <f>IF(OR(E470="",F470=""),"",E470*F470+N(G470))</f>
        <v/>
      </c>
      <c r="I470" s="10" t="n"/>
      <c r="J470" s="10">
        <f>IF(H470="","",H470-N(I470))</f>
        <v/>
      </c>
      <c r="K470">
        <f>IF(H470="","",IF(J470&lt;=0,"Paid",IF(I470&gt;0,"Partial","Pending")))</f>
        <v/>
      </c>
    </row>
    <row r="471">
      <c r="B471" s="12" t="n"/>
      <c r="F471" s="10" t="n"/>
      <c r="G471" s="10" t="n"/>
      <c r="H471" s="10">
        <f>IF(OR(E471="",F471=""),"",E471*F471+N(G471))</f>
        <v/>
      </c>
      <c r="I471" s="10" t="n"/>
      <c r="J471" s="10">
        <f>IF(H471="","",H471-N(I471))</f>
        <v/>
      </c>
      <c r="K471">
        <f>IF(H471="","",IF(J471&lt;=0,"Paid",IF(I471&gt;0,"Partial","Pending")))</f>
        <v/>
      </c>
    </row>
    <row r="472">
      <c r="B472" s="12" t="n"/>
      <c r="F472" s="10" t="n"/>
      <c r="G472" s="10" t="n"/>
      <c r="H472" s="10">
        <f>IF(OR(E472="",F472=""),"",E472*F472+N(G472))</f>
        <v/>
      </c>
      <c r="I472" s="10" t="n"/>
      <c r="J472" s="10">
        <f>IF(H472="","",H472-N(I472))</f>
        <v/>
      </c>
      <c r="K472">
        <f>IF(H472="","",IF(J472&lt;=0,"Paid",IF(I472&gt;0,"Partial","Pending")))</f>
        <v/>
      </c>
    </row>
    <row r="473">
      <c r="B473" s="12" t="n"/>
      <c r="F473" s="10" t="n"/>
      <c r="G473" s="10" t="n"/>
      <c r="H473" s="10">
        <f>IF(OR(E473="",F473=""),"",E473*F473+N(G473))</f>
        <v/>
      </c>
      <c r="I473" s="10" t="n"/>
      <c r="J473" s="10">
        <f>IF(H473="","",H473-N(I473))</f>
        <v/>
      </c>
      <c r="K473">
        <f>IF(H473="","",IF(J473&lt;=0,"Paid",IF(I473&gt;0,"Partial","Pending")))</f>
        <v/>
      </c>
    </row>
    <row r="474">
      <c r="B474" s="12" t="n"/>
      <c r="F474" s="10" t="n"/>
      <c r="G474" s="10" t="n"/>
      <c r="H474" s="10">
        <f>IF(OR(E474="",F474=""),"",E474*F474+N(G474))</f>
        <v/>
      </c>
      <c r="I474" s="10" t="n"/>
      <c r="J474" s="10">
        <f>IF(H474="","",H474-N(I474))</f>
        <v/>
      </c>
      <c r="K474">
        <f>IF(H474="","",IF(J474&lt;=0,"Paid",IF(I474&gt;0,"Partial","Pending")))</f>
        <v/>
      </c>
    </row>
    <row r="475">
      <c r="B475" s="12" t="n"/>
      <c r="F475" s="10" t="n"/>
      <c r="G475" s="10" t="n"/>
      <c r="H475" s="10">
        <f>IF(OR(E475="",F475=""),"",E475*F475+N(G475))</f>
        <v/>
      </c>
      <c r="I475" s="10" t="n"/>
      <c r="J475" s="10">
        <f>IF(H475="","",H475-N(I475))</f>
        <v/>
      </c>
      <c r="K475">
        <f>IF(H475="","",IF(J475&lt;=0,"Paid",IF(I475&gt;0,"Partial","Pending")))</f>
        <v/>
      </c>
    </row>
    <row r="476">
      <c r="B476" s="12" t="n"/>
      <c r="F476" s="10" t="n"/>
      <c r="G476" s="10" t="n"/>
      <c r="H476" s="10">
        <f>IF(OR(E476="",F476=""),"",E476*F476+N(G476))</f>
        <v/>
      </c>
      <c r="I476" s="10" t="n"/>
      <c r="J476" s="10">
        <f>IF(H476="","",H476-N(I476))</f>
        <v/>
      </c>
      <c r="K476">
        <f>IF(H476="","",IF(J476&lt;=0,"Paid",IF(I476&gt;0,"Partial","Pending")))</f>
        <v/>
      </c>
    </row>
    <row r="477">
      <c r="B477" s="12" t="n"/>
      <c r="F477" s="10" t="n"/>
      <c r="G477" s="10" t="n"/>
      <c r="H477" s="10">
        <f>IF(OR(E477="",F477=""),"",E477*F477+N(G477))</f>
        <v/>
      </c>
      <c r="I477" s="10" t="n"/>
      <c r="J477" s="10">
        <f>IF(H477="","",H477-N(I477))</f>
        <v/>
      </c>
      <c r="K477">
        <f>IF(H477="","",IF(J477&lt;=0,"Paid",IF(I477&gt;0,"Partial","Pending")))</f>
        <v/>
      </c>
    </row>
    <row r="478">
      <c r="B478" s="12" t="n"/>
      <c r="F478" s="10" t="n"/>
      <c r="G478" s="10" t="n"/>
      <c r="H478" s="10">
        <f>IF(OR(E478="",F478=""),"",E478*F478+N(G478))</f>
        <v/>
      </c>
      <c r="I478" s="10" t="n"/>
      <c r="J478" s="10">
        <f>IF(H478="","",H478-N(I478))</f>
        <v/>
      </c>
      <c r="K478">
        <f>IF(H478="","",IF(J478&lt;=0,"Paid",IF(I478&gt;0,"Partial","Pending")))</f>
        <v/>
      </c>
    </row>
    <row r="479">
      <c r="B479" s="12" t="n"/>
      <c r="F479" s="10" t="n"/>
      <c r="G479" s="10" t="n"/>
      <c r="H479" s="10">
        <f>IF(OR(E479="",F479=""),"",E479*F479+N(G479))</f>
        <v/>
      </c>
      <c r="I479" s="10" t="n"/>
      <c r="J479" s="10">
        <f>IF(H479="","",H479-N(I479))</f>
        <v/>
      </c>
      <c r="K479">
        <f>IF(H479="","",IF(J479&lt;=0,"Paid",IF(I479&gt;0,"Partial","Pending")))</f>
        <v/>
      </c>
    </row>
    <row r="480">
      <c r="B480" s="12" t="n"/>
      <c r="F480" s="10" t="n"/>
      <c r="G480" s="10" t="n"/>
      <c r="H480" s="10">
        <f>IF(OR(E480="",F480=""),"",E480*F480+N(G480))</f>
        <v/>
      </c>
      <c r="I480" s="10" t="n"/>
      <c r="J480" s="10">
        <f>IF(H480="","",H480-N(I480))</f>
        <v/>
      </c>
      <c r="K480">
        <f>IF(H480="","",IF(J480&lt;=0,"Paid",IF(I480&gt;0,"Partial","Pending")))</f>
        <v/>
      </c>
    </row>
    <row r="481">
      <c r="B481" s="12" t="n"/>
      <c r="F481" s="10" t="n"/>
      <c r="G481" s="10" t="n"/>
      <c r="H481" s="10">
        <f>IF(OR(E481="",F481=""),"",E481*F481+N(G481))</f>
        <v/>
      </c>
      <c r="I481" s="10" t="n"/>
      <c r="J481" s="10">
        <f>IF(H481="","",H481-N(I481))</f>
        <v/>
      </c>
      <c r="K481">
        <f>IF(H481="","",IF(J481&lt;=0,"Paid",IF(I481&gt;0,"Partial","Pending")))</f>
        <v/>
      </c>
    </row>
    <row r="482">
      <c r="B482" s="12" t="n"/>
      <c r="F482" s="10" t="n"/>
      <c r="G482" s="10" t="n"/>
      <c r="H482" s="10">
        <f>IF(OR(E482="",F482=""),"",E482*F482+N(G482))</f>
        <v/>
      </c>
      <c r="I482" s="10" t="n"/>
      <c r="J482" s="10">
        <f>IF(H482="","",H482-N(I482))</f>
        <v/>
      </c>
      <c r="K482">
        <f>IF(H482="","",IF(J482&lt;=0,"Paid",IF(I482&gt;0,"Partial","Pending")))</f>
        <v/>
      </c>
    </row>
    <row r="483">
      <c r="B483" s="12" t="n"/>
      <c r="F483" s="10" t="n"/>
      <c r="G483" s="10" t="n"/>
      <c r="H483" s="10">
        <f>IF(OR(E483="",F483=""),"",E483*F483+N(G483))</f>
        <v/>
      </c>
      <c r="I483" s="10" t="n"/>
      <c r="J483" s="10">
        <f>IF(H483="","",H483-N(I483))</f>
        <v/>
      </c>
      <c r="K483">
        <f>IF(H483="","",IF(J483&lt;=0,"Paid",IF(I483&gt;0,"Partial","Pending")))</f>
        <v/>
      </c>
    </row>
    <row r="484">
      <c r="B484" s="12" t="n"/>
      <c r="F484" s="10" t="n"/>
      <c r="G484" s="10" t="n"/>
      <c r="H484" s="10">
        <f>IF(OR(E484="",F484=""),"",E484*F484+N(G484))</f>
        <v/>
      </c>
      <c r="I484" s="10" t="n"/>
      <c r="J484" s="10">
        <f>IF(H484="","",H484-N(I484))</f>
        <v/>
      </c>
      <c r="K484">
        <f>IF(H484="","",IF(J484&lt;=0,"Paid",IF(I484&gt;0,"Partial","Pending")))</f>
        <v/>
      </c>
    </row>
    <row r="485">
      <c r="B485" s="12" t="n"/>
      <c r="F485" s="10" t="n"/>
      <c r="G485" s="10" t="n"/>
      <c r="H485" s="10">
        <f>IF(OR(E485="",F485=""),"",E485*F485+N(G485))</f>
        <v/>
      </c>
      <c r="I485" s="10" t="n"/>
      <c r="J485" s="10">
        <f>IF(H485="","",H485-N(I485))</f>
        <v/>
      </c>
      <c r="K485">
        <f>IF(H485="","",IF(J485&lt;=0,"Paid",IF(I485&gt;0,"Partial","Pending")))</f>
        <v/>
      </c>
    </row>
    <row r="486">
      <c r="B486" s="12" t="n"/>
      <c r="F486" s="10" t="n"/>
      <c r="G486" s="10" t="n"/>
      <c r="H486" s="10">
        <f>IF(OR(E486="",F486=""),"",E486*F486+N(G486))</f>
        <v/>
      </c>
      <c r="I486" s="10" t="n"/>
      <c r="J486" s="10">
        <f>IF(H486="","",H486-N(I486))</f>
        <v/>
      </c>
      <c r="K486">
        <f>IF(H486="","",IF(J486&lt;=0,"Paid",IF(I486&gt;0,"Partial","Pending")))</f>
        <v/>
      </c>
    </row>
    <row r="487">
      <c r="B487" s="12" t="n"/>
      <c r="F487" s="10" t="n"/>
      <c r="G487" s="10" t="n"/>
      <c r="H487" s="10">
        <f>IF(OR(E487="",F487=""),"",E487*F487+N(G487))</f>
        <v/>
      </c>
      <c r="I487" s="10" t="n"/>
      <c r="J487" s="10">
        <f>IF(H487="","",H487-N(I487))</f>
        <v/>
      </c>
      <c r="K487">
        <f>IF(H487="","",IF(J487&lt;=0,"Paid",IF(I487&gt;0,"Partial","Pending")))</f>
        <v/>
      </c>
    </row>
    <row r="488">
      <c r="B488" s="12" t="n"/>
      <c r="F488" s="10" t="n"/>
      <c r="G488" s="10" t="n"/>
      <c r="H488" s="10">
        <f>IF(OR(E488="",F488=""),"",E488*F488+N(G488))</f>
        <v/>
      </c>
      <c r="I488" s="10" t="n"/>
      <c r="J488" s="10">
        <f>IF(H488="","",H488-N(I488))</f>
        <v/>
      </c>
      <c r="K488">
        <f>IF(H488="","",IF(J488&lt;=0,"Paid",IF(I488&gt;0,"Partial","Pending")))</f>
        <v/>
      </c>
    </row>
    <row r="489">
      <c r="B489" s="12" t="n"/>
      <c r="F489" s="10" t="n"/>
      <c r="G489" s="10" t="n"/>
      <c r="H489" s="10">
        <f>IF(OR(E489="",F489=""),"",E489*F489+N(G489))</f>
        <v/>
      </c>
      <c r="I489" s="10" t="n"/>
      <c r="J489" s="10">
        <f>IF(H489="","",H489-N(I489))</f>
        <v/>
      </c>
      <c r="K489">
        <f>IF(H489="","",IF(J489&lt;=0,"Paid",IF(I489&gt;0,"Partial","Pending")))</f>
        <v/>
      </c>
    </row>
    <row r="490">
      <c r="B490" s="12" t="n"/>
      <c r="F490" s="10" t="n"/>
      <c r="G490" s="10" t="n"/>
      <c r="H490" s="10">
        <f>IF(OR(E490="",F490=""),"",E490*F490+N(G490))</f>
        <v/>
      </c>
      <c r="I490" s="10" t="n"/>
      <c r="J490" s="10">
        <f>IF(H490="","",H490-N(I490))</f>
        <v/>
      </c>
      <c r="K490">
        <f>IF(H490="","",IF(J490&lt;=0,"Paid",IF(I490&gt;0,"Partial","Pending")))</f>
        <v/>
      </c>
    </row>
    <row r="491">
      <c r="B491" s="12" t="n"/>
      <c r="F491" s="10" t="n"/>
      <c r="G491" s="10" t="n"/>
      <c r="H491" s="10">
        <f>IF(OR(E491="",F491=""),"",E491*F491+N(G491))</f>
        <v/>
      </c>
      <c r="I491" s="10" t="n"/>
      <c r="J491" s="10">
        <f>IF(H491="","",H491-N(I491))</f>
        <v/>
      </c>
      <c r="K491">
        <f>IF(H491="","",IF(J491&lt;=0,"Paid",IF(I491&gt;0,"Partial","Pending")))</f>
        <v/>
      </c>
    </row>
    <row r="492">
      <c r="B492" s="12" t="n"/>
      <c r="F492" s="10" t="n"/>
      <c r="G492" s="10" t="n"/>
      <c r="H492" s="10">
        <f>IF(OR(E492="",F492=""),"",E492*F492+N(G492))</f>
        <v/>
      </c>
      <c r="I492" s="10" t="n"/>
      <c r="J492" s="10">
        <f>IF(H492="","",H492-N(I492))</f>
        <v/>
      </c>
      <c r="K492">
        <f>IF(H492="","",IF(J492&lt;=0,"Paid",IF(I492&gt;0,"Partial","Pending")))</f>
        <v/>
      </c>
    </row>
    <row r="493">
      <c r="B493" s="12" t="n"/>
      <c r="F493" s="10" t="n"/>
      <c r="G493" s="10" t="n"/>
      <c r="H493" s="10">
        <f>IF(OR(E493="",F493=""),"",E493*F493+N(G493))</f>
        <v/>
      </c>
      <c r="I493" s="10" t="n"/>
      <c r="J493" s="10">
        <f>IF(H493="","",H493-N(I493))</f>
        <v/>
      </c>
      <c r="K493">
        <f>IF(H493="","",IF(J493&lt;=0,"Paid",IF(I493&gt;0,"Partial","Pending")))</f>
        <v/>
      </c>
    </row>
    <row r="494">
      <c r="B494" s="12" t="n"/>
      <c r="F494" s="10" t="n"/>
      <c r="G494" s="10" t="n"/>
      <c r="H494" s="10">
        <f>IF(OR(E494="",F494=""),"",E494*F494+N(G494))</f>
        <v/>
      </c>
      <c r="I494" s="10" t="n"/>
      <c r="J494" s="10">
        <f>IF(H494="","",H494-N(I494))</f>
        <v/>
      </c>
      <c r="K494">
        <f>IF(H494="","",IF(J494&lt;=0,"Paid",IF(I494&gt;0,"Partial","Pending")))</f>
        <v/>
      </c>
    </row>
    <row r="495">
      <c r="B495" s="12" t="n"/>
      <c r="F495" s="10" t="n"/>
      <c r="G495" s="10" t="n"/>
      <c r="H495" s="10">
        <f>IF(OR(E495="",F495=""),"",E495*F495+N(G495))</f>
        <v/>
      </c>
      <c r="I495" s="10" t="n"/>
      <c r="J495" s="10">
        <f>IF(H495="","",H495-N(I495))</f>
        <v/>
      </c>
      <c r="K495">
        <f>IF(H495="","",IF(J495&lt;=0,"Paid",IF(I495&gt;0,"Partial","Pending")))</f>
        <v/>
      </c>
    </row>
    <row r="496">
      <c r="B496" s="12" t="n"/>
      <c r="F496" s="10" t="n"/>
      <c r="G496" s="10" t="n"/>
      <c r="H496" s="10">
        <f>IF(OR(E496="",F496=""),"",E496*F496+N(G496))</f>
        <v/>
      </c>
      <c r="I496" s="10" t="n"/>
      <c r="J496" s="10">
        <f>IF(H496="","",H496-N(I496))</f>
        <v/>
      </c>
      <c r="K496">
        <f>IF(H496="","",IF(J496&lt;=0,"Paid",IF(I496&gt;0,"Partial","Pending")))</f>
        <v/>
      </c>
    </row>
    <row r="497">
      <c r="B497" s="12" t="n"/>
      <c r="F497" s="10" t="n"/>
      <c r="G497" s="10" t="n"/>
      <c r="H497" s="10">
        <f>IF(OR(E497="",F497=""),"",E497*F497+N(G497))</f>
        <v/>
      </c>
      <c r="I497" s="10" t="n"/>
      <c r="J497" s="10">
        <f>IF(H497="","",H497-N(I497))</f>
        <v/>
      </c>
      <c r="K497">
        <f>IF(H497="","",IF(J497&lt;=0,"Paid",IF(I497&gt;0,"Partial","Pending")))</f>
        <v/>
      </c>
    </row>
    <row r="498">
      <c r="B498" s="12" t="n"/>
      <c r="F498" s="10" t="n"/>
      <c r="G498" s="10" t="n"/>
      <c r="H498" s="10">
        <f>IF(OR(E498="",F498=""),"",E498*F498+N(G498))</f>
        <v/>
      </c>
      <c r="I498" s="10" t="n"/>
      <c r="J498" s="10">
        <f>IF(H498="","",H498-N(I498))</f>
        <v/>
      </c>
      <c r="K498">
        <f>IF(H498="","",IF(J498&lt;=0,"Paid",IF(I498&gt;0,"Partial","Pending")))</f>
        <v/>
      </c>
    </row>
    <row r="499">
      <c r="B499" s="12" t="n"/>
      <c r="F499" s="10" t="n"/>
      <c r="G499" s="10" t="n"/>
      <c r="H499" s="10">
        <f>IF(OR(E499="",F499=""),"",E499*F499+N(G499))</f>
        <v/>
      </c>
      <c r="I499" s="10" t="n"/>
      <c r="J499" s="10">
        <f>IF(H499="","",H499-N(I499))</f>
        <v/>
      </c>
      <c r="K499">
        <f>IF(H499="","",IF(J499&lt;=0,"Paid",IF(I499&gt;0,"Partial","Pending")))</f>
        <v/>
      </c>
    </row>
    <row r="500">
      <c r="B500" s="12" t="n"/>
      <c r="F500" s="10" t="n"/>
      <c r="G500" s="10" t="n"/>
      <c r="H500" s="10">
        <f>IF(OR(E500="",F500=""),"",E500*F500+N(G500))</f>
        <v/>
      </c>
      <c r="I500" s="10" t="n"/>
      <c r="J500" s="10">
        <f>IF(H500="","",H500-N(I500))</f>
        <v/>
      </c>
      <c r="K500">
        <f>IF(H500="","",IF(J500&lt;=0,"Paid",IF(I500&gt;0,"Partial","Pending")))</f>
        <v/>
      </c>
    </row>
    <row r="501">
      <c r="B501" s="12" t="n"/>
      <c r="F501" s="10" t="n"/>
      <c r="G501" s="10" t="n"/>
      <c r="H501" s="10">
        <f>IF(OR(E501="",F501=""),"",E501*F501+N(G501))</f>
        <v/>
      </c>
      <c r="I501" s="10" t="n"/>
      <c r="J501" s="10">
        <f>IF(H501="","",H501-N(I501))</f>
        <v/>
      </c>
      <c r="K501">
        <f>IF(H501="","",IF(J501&lt;=0,"Paid",IF(I501&gt;0,"Partial","Pending")))</f>
        <v/>
      </c>
    </row>
    <row r="502">
      <c r="B502" s="12" t="n"/>
      <c r="F502" s="10" t="n"/>
      <c r="G502" s="10" t="n"/>
      <c r="H502" s="10">
        <f>IF(OR(E502="",F502=""),"",E502*F502+N(G502))</f>
        <v/>
      </c>
      <c r="I502" s="10" t="n"/>
      <c r="J502" s="10">
        <f>IF(H502="","",H502-N(I502))</f>
        <v/>
      </c>
      <c r="K502">
        <f>IF(H502="","",IF(J502&lt;=0,"Paid",IF(I502&gt;0,"Partial","Pending")))</f>
        <v/>
      </c>
    </row>
    <row r="503">
      <c r="B503" s="12" t="n"/>
      <c r="F503" s="10" t="n"/>
      <c r="G503" s="10" t="n"/>
      <c r="H503" s="10">
        <f>IF(OR(E503="",F503=""),"",E503*F503+N(G503))</f>
        <v/>
      </c>
      <c r="I503" s="10" t="n"/>
      <c r="J503" s="10">
        <f>IF(H503="","",H503-N(I503))</f>
        <v/>
      </c>
      <c r="K503">
        <f>IF(H503="","",IF(J503&lt;=0,"Paid",IF(I503&gt;0,"Partial","Pending")))</f>
        <v/>
      </c>
    </row>
    <row r="504">
      <c r="B504" s="12" t="n"/>
      <c r="F504" s="10" t="n"/>
      <c r="G504" s="10" t="n"/>
      <c r="H504" s="10">
        <f>IF(OR(E504="",F504=""),"",E504*F504+N(G504))</f>
        <v/>
      </c>
      <c r="I504" s="10" t="n"/>
      <c r="J504" s="10">
        <f>IF(H504="","",H504-N(I504))</f>
        <v/>
      </c>
      <c r="K504">
        <f>IF(H504="","",IF(J504&lt;=0,"Paid",IF(I504&gt;0,"Partial","Pending")))</f>
        <v/>
      </c>
    </row>
    <row r="505">
      <c r="B505" s="12" t="n"/>
      <c r="F505" s="10" t="n"/>
      <c r="G505" s="10" t="n"/>
      <c r="H505" s="10">
        <f>IF(OR(E505="",F505=""),"",E505*F505+N(G505))</f>
        <v/>
      </c>
      <c r="I505" s="10" t="n"/>
      <c r="J505" s="10">
        <f>IF(H505="","",H505-N(I505))</f>
        <v/>
      </c>
      <c r="K505">
        <f>IF(H505="","",IF(J505&lt;=0,"Paid",IF(I505&gt;0,"Partial","Pending")))</f>
        <v/>
      </c>
    </row>
    <row r="506">
      <c r="B506" s="12" t="n"/>
      <c r="F506" s="10" t="n"/>
      <c r="G506" s="10" t="n"/>
      <c r="H506" s="10">
        <f>IF(OR(E506="",F506=""),"",E506*F506+N(G506))</f>
        <v/>
      </c>
      <c r="I506" s="10" t="n"/>
      <c r="J506" s="10">
        <f>IF(H506="","",H506-N(I506))</f>
        <v/>
      </c>
      <c r="K506">
        <f>IF(H506="","",IF(J506&lt;=0,"Paid",IF(I506&gt;0,"Partial","Pending")))</f>
        <v/>
      </c>
    </row>
    <row r="507">
      <c r="B507" s="12" t="n"/>
      <c r="F507" s="10" t="n"/>
      <c r="G507" s="10" t="n"/>
      <c r="H507" s="10">
        <f>IF(OR(E507="",F507=""),"",E507*F507+N(G507))</f>
        <v/>
      </c>
      <c r="I507" s="10" t="n"/>
      <c r="J507" s="10">
        <f>IF(H507="","",H507-N(I507))</f>
        <v/>
      </c>
      <c r="K507">
        <f>IF(H507="","",IF(J507&lt;=0,"Paid",IF(I507&gt;0,"Partial","Pending")))</f>
        <v/>
      </c>
    </row>
    <row r="508">
      <c r="B508" s="12" t="n"/>
      <c r="F508" s="10" t="n"/>
      <c r="G508" s="10" t="n"/>
      <c r="H508" s="10">
        <f>IF(OR(E508="",F508=""),"",E508*F508+N(G508))</f>
        <v/>
      </c>
      <c r="I508" s="10" t="n"/>
      <c r="J508" s="10">
        <f>IF(H508="","",H508-N(I508))</f>
        <v/>
      </c>
      <c r="K508">
        <f>IF(H508="","",IF(J508&lt;=0,"Paid",IF(I508&gt;0,"Partial","Pending")))</f>
        <v/>
      </c>
    </row>
    <row r="509">
      <c r="B509" s="12" t="n"/>
      <c r="F509" s="10" t="n"/>
      <c r="G509" s="10" t="n"/>
      <c r="H509" s="10">
        <f>IF(OR(E509="",F509=""),"",E509*F509+N(G509))</f>
        <v/>
      </c>
      <c r="I509" s="10" t="n"/>
      <c r="J509" s="10">
        <f>IF(H509="","",H509-N(I509))</f>
        <v/>
      </c>
      <c r="K509">
        <f>IF(H509="","",IF(J509&lt;=0,"Paid",IF(I509&gt;0,"Partial","Pending")))</f>
        <v/>
      </c>
    </row>
    <row r="510">
      <c r="B510" s="12" t="n"/>
      <c r="F510" s="10" t="n"/>
      <c r="G510" s="10" t="n"/>
      <c r="H510" s="10">
        <f>IF(OR(E510="",F510=""),"",E510*F510+N(G510))</f>
        <v/>
      </c>
      <c r="I510" s="10" t="n"/>
      <c r="J510" s="10">
        <f>IF(H510="","",H510-N(I510))</f>
        <v/>
      </c>
      <c r="K510">
        <f>IF(H510="","",IF(J510&lt;=0,"Paid",IF(I510&gt;0,"Partial","Pending")))</f>
        <v/>
      </c>
    </row>
    <row r="511">
      <c r="B511" s="12" t="n"/>
      <c r="F511" s="10" t="n"/>
      <c r="G511" s="10" t="n"/>
      <c r="H511" s="10">
        <f>IF(OR(E511="",F511=""),"",E511*F511+N(G511))</f>
        <v/>
      </c>
      <c r="I511" s="10" t="n"/>
      <c r="J511" s="10">
        <f>IF(H511="","",H511-N(I511))</f>
        <v/>
      </c>
      <c r="K511">
        <f>IF(H511="","",IF(J511&lt;=0,"Paid",IF(I511&gt;0,"Partial","Pending")))</f>
        <v/>
      </c>
    </row>
    <row r="512">
      <c r="B512" s="12" t="n"/>
      <c r="F512" s="10" t="n"/>
      <c r="G512" s="10" t="n"/>
      <c r="H512" s="10">
        <f>IF(OR(E512="",F512=""),"",E512*F512+N(G512))</f>
        <v/>
      </c>
      <c r="I512" s="10" t="n"/>
      <c r="J512" s="10">
        <f>IF(H512="","",H512-N(I512))</f>
        <v/>
      </c>
      <c r="K512">
        <f>IF(H512="","",IF(J512&lt;=0,"Paid",IF(I512&gt;0,"Partial","Pending")))</f>
        <v/>
      </c>
    </row>
    <row r="513">
      <c r="B513" s="12" t="n"/>
      <c r="F513" s="10" t="n"/>
      <c r="G513" s="10" t="n"/>
      <c r="H513" s="10">
        <f>IF(OR(E513="",F513=""),"",E513*F513+N(G513))</f>
        <v/>
      </c>
      <c r="I513" s="10" t="n"/>
      <c r="J513" s="10">
        <f>IF(H513="","",H513-N(I513))</f>
        <v/>
      </c>
      <c r="K513">
        <f>IF(H513="","",IF(J513&lt;=0,"Paid",IF(I513&gt;0,"Partial","Pending")))</f>
        <v/>
      </c>
    </row>
    <row r="514">
      <c r="B514" s="12" t="n"/>
      <c r="F514" s="10" t="n"/>
      <c r="G514" s="10" t="n"/>
      <c r="H514" s="10">
        <f>IF(OR(E514="",F514=""),"",E514*F514+N(G514))</f>
        <v/>
      </c>
      <c r="I514" s="10" t="n"/>
      <c r="J514" s="10">
        <f>IF(H514="","",H514-N(I514))</f>
        <v/>
      </c>
      <c r="K514">
        <f>IF(H514="","",IF(J514&lt;=0,"Paid",IF(I514&gt;0,"Partial","Pending")))</f>
        <v/>
      </c>
    </row>
    <row r="515">
      <c r="B515" s="12" t="n"/>
      <c r="F515" s="10" t="n"/>
      <c r="G515" s="10" t="n"/>
      <c r="H515" s="10">
        <f>IF(OR(E515="",F515=""),"",E515*F515+N(G515))</f>
        <v/>
      </c>
      <c r="I515" s="10" t="n"/>
      <c r="J515" s="10">
        <f>IF(H515="","",H515-N(I515))</f>
        <v/>
      </c>
      <c r="K515">
        <f>IF(H515="","",IF(J515&lt;=0,"Paid",IF(I515&gt;0,"Partial","Pending")))</f>
        <v/>
      </c>
    </row>
    <row r="516">
      <c r="B516" s="12" t="n"/>
      <c r="F516" s="10" t="n"/>
      <c r="G516" s="10" t="n"/>
      <c r="H516" s="10">
        <f>IF(OR(E516="",F516=""),"",E516*F516+N(G516))</f>
        <v/>
      </c>
      <c r="I516" s="10" t="n"/>
      <c r="J516" s="10">
        <f>IF(H516="","",H516-N(I516))</f>
        <v/>
      </c>
      <c r="K516">
        <f>IF(H516="","",IF(J516&lt;=0,"Paid",IF(I516&gt;0,"Partial","Pending")))</f>
        <v/>
      </c>
    </row>
    <row r="517">
      <c r="B517" s="12" t="n"/>
      <c r="F517" s="10" t="n"/>
      <c r="G517" s="10" t="n"/>
      <c r="H517" s="10">
        <f>IF(OR(E517="",F517=""),"",E517*F517+N(G517))</f>
        <v/>
      </c>
      <c r="I517" s="10" t="n"/>
      <c r="J517" s="10">
        <f>IF(H517="","",H517-N(I517))</f>
        <v/>
      </c>
      <c r="K517">
        <f>IF(H517="","",IF(J517&lt;=0,"Paid",IF(I517&gt;0,"Partial","Pending")))</f>
        <v/>
      </c>
    </row>
    <row r="518">
      <c r="B518" s="12" t="n"/>
      <c r="F518" s="10" t="n"/>
      <c r="G518" s="10" t="n"/>
      <c r="H518" s="10">
        <f>IF(OR(E518="",F518=""),"",E518*F518+N(G518))</f>
        <v/>
      </c>
      <c r="I518" s="10" t="n"/>
      <c r="J518" s="10">
        <f>IF(H518="","",H518-N(I518))</f>
        <v/>
      </c>
      <c r="K518">
        <f>IF(H518="","",IF(J518&lt;=0,"Paid",IF(I518&gt;0,"Partial","Pending")))</f>
        <v/>
      </c>
    </row>
    <row r="519">
      <c r="B519" s="12" t="n"/>
      <c r="F519" s="10" t="n"/>
      <c r="G519" s="10" t="n"/>
      <c r="H519" s="10">
        <f>IF(OR(E519="",F519=""),"",E519*F519+N(G519))</f>
        <v/>
      </c>
      <c r="I519" s="10" t="n"/>
      <c r="J519" s="10">
        <f>IF(H519="","",H519-N(I519))</f>
        <v/>
      </c>
      <c r="K519">
        <f>IF(H519="","",IF(J519&lt;=0,"Paid",IF(I519&gt;0,"Partial","Pending")))</f>
        <v/>
      </c>
    </row>
    <row r="520">
      <c r="B520" s="12" t="n"/>
      <c r="F520" s="10" t="n"/>
      <c r="G520" s="10" t="n"/>
      <c r="H520" s="10">
        <f>IF(OR(E520="",F520=""),"",E520*F520+N(G520))</f>
        <v/>
      </c>
      <c r="I520" s="10" t="n"/>
      <c r="J520" s="10">
        <f>IF(H520="","",H520-N(I520))</f>
        <v/>
      </c>
      <c r="K520">
        <f>IF(H520="","",IF(J520&lt;=0,"Paid",IF(I520&gt;0,"Partial","Pending")))</f>
        <v/>
      </c>
    </row>
    <row r="521">
      <c r="B521" s="12" t="n"/>
      <c r="F521" s="10" t="n"/>
      <c r="G521" s="10" t="n"/>
      <c r="H521" s="10">
        <f>IF(OR(E521="",F521=""),"",E521*F521+N(G521))</f>
        <v/>
      </c>
      <c r="I521" s="10" t="n"/>
      <c r="J521" s="10">
        <f>IF(H521="","",H521-N(I521))</f>
        <v/>
      </c>
      <c r="K521">
        <f>IF(H521="","",IF(J521&lt;=0,"Paid",IF(I521&gt;0,"Partial","Pending")))</f>
        <v/>
      </c>
    </row>
    <row r="522">
      <c r="B522" s="12" t="n"/>
      <c r="F522" s="10" t="n"/>
      <c r="G522" s="10" t="n"/>
      <c r="H522" s="10">
        <f>IF(OR(E522="",F522=""),"",E522*F522+N(G522))</f>
        <v/>
      </c>
      <c r="I522" s="10" t="n"/>
      <c r="J522" s="10">
        <f>IF(H522="","",H522-N(I522))</f>
        <v/>
      </c>
      <c r="K522">
        <f>IF(H522="","",IF(J522&lt;=0,"Paid",IF(I522&gt;0,"Partial","Pending")))</f>
        <v/>
      </c>
    </row>
    <row r="523">
      <c r="B523" s="12" t="n"/>
      <c r="F523" s="10" t="n"/>
      <c r="G523" s="10" t="n"/>
      <c r="H523" s="10">
        <f>IF(OR(E523="",F523=""),"",E523*F523+N(G523))</f>
        <v/>
      </c>
      <c r="I523" s="10" t="n"/>
      <c r="J523" s="10">
        <f>IF(H523="","",H523-N(I523))</f>
        <v/>
      </c>
      <c r="K523">
        <f>IF(H523="","",IF(J523&lt;=0,"Paid",IF(I523&gt;0,"Partial","Pending")))</f>
        <v/>
      </c>
    </row>
    <row r="524">
      <c r="B524" s="12" t="n"/>
      <c r="F524" s="10" t="n"/>
      <c r="G524" s="10" t="n"/>
      <c r="H524" s="10">
        <f>IF(OR(E524="",F524=""),"",E524*F524+N(G524))</f>
        <v/>
      </c>
      <c r="I524" s="10" t="n"/>
      <c r="J524" s="10">
        <f>IF(H524="","",H524-N(I524))</f>
        <v/>
      </c>
      <c r="K524">
        <f>IF(H524="","",IF(J524&lt;=0,"Paid",IF(I524&gt;0,"Partial","Pending")))</f>
        <v/>
      </c>
    </row>
    <row r="525">
      <c r="B525" s="12" t="n"/>
      <c r="F525" s="10" t="n"/>
      <c r="G525" s="10" t="n"/>
      <c r="H525" s="10">
        <f>IF(OR(E525="",F525=""),"",E525*F525+N(G525))</f>
        <v/>
      </c>
      <c r="I525" s="10" t="n"/>
      <c r="J525" s="10">
        <f>IF(H525="","",H525-N(I525))</f>
        <v/>
      </c>
      <c r="K525">
        <f>IF(H525="","",IF(J525&lt;=0,"Paid",IF(I525&gt;0,"Partial","Pending")))</f>
        <v/>
      </c>
    </row>
    <row r="526">
      <c r="B526" s="12" t="n"/>
      <c r="F526" s="10" t="n"/>
      <c r="G526" s="10" t="n"/>
      <c r="H526" s="10">
        <f>IF(OR(E526="",F526=""),"",E526*F526+N(G526))</f>
        <v/>
      </c>
      <c r="I526" s="10" t="n"/>
      <c r="J526" s="10">
        <f>IF(H526="","",H526-N(I526))</f>
        <v/>
      </c>
      <c r="K526">
        <f>IF(H526="","",IF(J526&lt;=0,"Paid",IF(I526&gt;0,"Partial","Pending")))</f>
        <v/>
      </c>
    </row>
    <row r="527">
      <c r="B527" s="12" t="n"/>
      <c r="F527" s="10" t="n"/>
      <c r="G527" s="10" t="n"/>
      <c r="H527" s="10">
        <f>IF(OR(E527="",F527=""),"",E527*F527+N(G527))</f>
        <v/>
      </c>
      <c r="I527" s="10" t="n"/>
      <c r="J527" s="10">
        <f>IF(H527="","",H527-N(I527))</f>
        <v/>
      </c>
      <c r="K527">
        <f>IF(H527="","",IF(J527&lt;=0,"Paid",IF(I527&gt;0,"Partial","Pending")))</f>
        <v/>
      </c>
    </row>
    <row r="528">
      <c r="B528" s="12" t="n"/>
      <c r="F528" s="10" t="n"/>
      <c r="G528" s="10" t="n"/>
      <c r="H528" s="10">
        <f>IF(OR(E528="",F528=""),"",E528*F528+N(G528))</f>
        <v/>
      </c>
      <c r="I528" s="10" t="n"/>
      <c r="J528" s="10">
        <f>IF(H528="","",H528-N(I528))</f>
        <v/>
      </c>
      <c r="K528">
        <f>IF(H528="","",IF(J528&lt;=0,"Paid",IF(I528&gt;0,"Partial","Pending")))</f>
        <v/>
      </c>
    </row>
    <row r="529">
      <c r="B529" s="12" t="n"/>
      <c r="F529" s="10" t="n"/>
      <c r="G529" s="10" t="n"/>
      <c r="H529" s="10">
        <f>IF(OR(E529="",F529=""),"",E529*F529+N(G529))</f>
        <v/>
      </c>
      <c r="I529" s="10" t="n"/>
      <c r="J529" s="10">
        <f>IF(H529="","",H529-N(I529))</f>
        <v/>
      </c>
      <c r="K529">
        <f>IF(H529="","",IF(J529&lt;=0,"Paid",IF(I529&gt;0,"Partial","Pending")))</f>
        <v/>
      </c>
    </row>
    <row r="530">
      <c r="B530" s="12" t="n"/>
      <c r="F530" s="10" t="n"/>
      <c r="G530" s="10" t="n"/>
      <c r="H530" s="10">
        <f>IF(OR(E530="",F530=""),"",E530*F530+N(G530))</f>
        <v/>
      </c>
      <c r="I530" s="10" t="n"/>
      <c r="J530" s="10">
        <f>IF(H530="","",H530-N(I530))</f>
        <v/>
      </c>
      <c r="K530">
        <f>IF(H530="","",IF(J530&lt;=0,"Paid",IF(I530&gt;0,"Partial","Pending")))</f>
        <v/>
      </c>
    </row>
    <row r="531">
      <c r="B531" s="12" t="n"/>
      <c r="F531" s="10" t="n"/>
      <c r="G531" s="10" t="n"/>
      <c r="H531" s="10">
        <f>IF(OR(E531="",F531=""),"",E531*F531+N(G531))</f>
        <v/>
      </c>
      <c r="I531" s="10" t="n"/>
      <c r="J531" s="10">
        <f>IF(H531="","",H531-N(I531))</f>
        <v/>
      </c>
      <c r="K531">
        <f>IF(H531="","",IF(J531&lt;=0,"Paid",IF(I531&gt;0,"Partial","Pending")))</f>
        <v/>
      </c>
    </row>
    <row r="532">
      <c r="B532" s="12" t="n"/>
      <c r="F532" s="10" t="n"/>
      <c r="G532" s="10" t="n"/>
      <c r="H532" s="10">
        <f>IF(OR(E532="",F532=""),"",E532*F532+N(G532))</f>
        <v/>
      </c>
      <c r="I532" s="10" t="n"/>
      <c r="J532" s="10">
        <f>IF(H532="","",H532-N(I532))</f>
        <v/>
      </c>
      <c r="K532">
        <f>IF(H532="","",IF(J532&lt;=0,"Paid",IF(I532&gt;0,"Partial","Pending")))</f>
        <v/>
      </c>
    </row>
    <row r="533">
      <c r="B533" s="12" t="n"/>
      <c r="F533" s="10" t="n"/>
      <c r="G533" s="10" t="n"/>
      <c r="H533" s="10">
        <f>IF(OR(E533="",F533=""),"",E533*F533+N(G533))</f>
        <v/>
      </c>
      <c r="I533" s="10" t="n"/>
      <c r="J533" s="10">
        <f>IF(H533="","",H533-N(I533))</f>
        <v/>
      </c>
      <c r="K533">
        <f>IF(H533="","",IF(J533&lt;=0,"Paid",IF(I533&gt;0,"Partial","Pending")))</f>
        <v/>
      </c>
    </row>
    <row r="534">
      <c r="B534" s="12" t="n"/>
      <c r="F534" s="10" t="n"/>
      <c r="G534" s="10" t="n"/>
      <c r="H534" s="10">
        <f>IF(OR(E534="",F534=""),"",E534*F534+N(G534))</f>
        <v/>
      </c>
      <c r="I534" s="10" t="n"/>
      <c r="J534" s="10">
        <f>IF(H534="","",H534-N(I534))</f>
        <v/>
      </c>
      <c r="K534">
        <f>IF(H534="","",IF(J534&lt;=0,"Paid",IF(I534&gt;0,"Partial","Pending")))</f>
        <v/>
      </c>
    </row>
    <row r="535">
      <c r="B535" s="12" t="n"/>
      <c r="F535" s="10" t="n"/>
      <c r="G535" s="10" t="n"/>
      <c r="H535" s="10">
        <f>IF(OR(E535="",F535=""),"",E535*F535+N(G535))</f>
        <v/>
      </c>
      <c r="I535" s="10" t="n"/>
      <c r="J535" s="10">
        <f>IF(H535="","",H535-N(I535))</f>
        <v/>
      </c>
      <c r="K535">
        <f>IF(H535="","",IF(J535&lt;=0,"Paid",IF(I535&gt;0,"Partial","Pending")))</f>
        <v/>
      </c>
    </row>
    <row r="536">
      <c r="B536" s="12" t="n"/>
      <c r="F536" s="10" t="n"/>
      <c r="G536" s="10" t="n"/>
      <c r="H536" s="10">
        <f>IF(OR(E536="",F536=""),"",E536*F536+N(G536))</f>
        <v/>
      </c>
      <c r="I536" s="10" t="n"/>
      <c r="J536" s="10">
        <f>IF(H536="","",H536-N(I536))</f>
        <v/>
      </c>
      <c r="K536">
        <f>IF(H536="","",IF(J536&lt;=0,"Paid",IF(I536&gt;0,"Partial","Pending")))</f>
        <v/>
      </c>
    </row>
    <row r="537">
      <c r="B537" s="12" t="n"/>
      <c r="F537" s="10" t="n"/>
      <c r="G537" s="10" t="n"/>
      <c r="H537" s="10">
        <f>IF(OR(E537="",F537=""),"",E537*F537+N(G537))</f>
        <v/>
      </c>
      <c r="I537" s="10" t="n"/>
      <c r="J537" s="10">
        <f>IF(H537="","",H537-N(I537))</f>
        <v/>
      </c>
      <c r="K537">
        <f>IF(H537="","",IF(J537&lt;=0,"Paid",IF(I537&gt;0,"Partial","Pending")))</f>
        <v/>
      </c>
    </row>
    <row r="538">
      <c r="B538" s="12" t="n"/>
      <c r="F538" s="10" t="n"/>
      <c r="G538" s="10" t="n"/>
      <c r="H538" s="10">
        <f>IF(OR(E538="",F538=""),"",E538*F538+N(G538))</f>
        <v/>
      </c>
      <c r="I538" s="10" t="n"/>
      <c r="J538" s="10">
        <f>IF(H538="","",H538-N(I538))</f>
        <v/>
      </c>
      <c r="K538">
        <f>IF(H538="","",IF(J538&lt;=0,"Paid",IF(I538&gt;0,"Partial","Pending")))</f>
        <v/>
      </c>
    </row>
    <row r="539">
      <c r="B539" s="12" t="n"/>
      <c r="F539" s="10" t="n"/>
      <c r="G539" s="10" t="n"/>
      <c r="H539" s="10">
        <f>IF(OR(E539="",F539=""),"",E539*F539+N(G539))</f>
        <v/>
      </c>
      <c r="I539" s="10" t="n"/>
      <c r="J539" s="10">
        <f>IF(H539="","",H539-N(I539))</f>
        <v/>
      </c>
      <c r="K539">
        <f>IF(H539="","",IF(J539&lt;=0,"Paid",IF(I539&gt;0,"Partial","Pending")))</f>
        <v/>
      </c>
    </row>
    <row r="540">
      <c r="B540" s="12" t="n"/>
      <c r="F540" s="10" t="n"/>
      <c r="G540" s="10" t="n"/>
      <c r="H540" s="10">
        <f>IF(OR(E540="",F540=""),"",E540*F540+N(G540))</f>
        <v/>
      </c>
      <c r="I540" s="10" t="n"/>
      <c r="J540" s="10">
        <f>IF(H540="","",H540-N(I540))</f>
        <v/>
      </c>
      <c r="K540">
        <f>IF(H540="","",IF(J540&lt;=0,"Paid",IF(I540&gt;0,"Partial","Pending")))</f>
        <v/>
      </c>
    </row>
    <row r="541">
      <c r="B541" s="12" t="n"/>
      <c r="F541" s="10" t="n"/>
      <c r="G541" s="10" t="n"/>
      <c r="H541" s="10">
        <f>IF(OR(E541="",F541=""),"",E541*F541+N(G541))</f>
        <v/>
      </c>
      <c r="I541" s="10" t="n"/>
      <c r="J541" s="10">
        <f>IF(H541="","",H541-N(I541))</f>
        <v/>
      </c>
      <c r="K541">
        <f>IF(H541="","",IF(J541&lt;=0,"Paid",IF(I541&gt;0,"Partial","Pending")))</f>
        <v/>
      </c>
    </row>
    <row r="542">
      <c r="B542" s="12" t="n"/>
      <c r="F542" s="10" t="n"/>
      <c r="G542" s="10" t="n"/>
      <c r="H542" s="10">
        <f>IF(OR(E542="",F542=""),"",E542*F542+N(G542))</f>
        <v/>
      </c>
      <c r="I542" s="10" t="n"/>
      <c r="J542" s="10">
        <f>IF(H542="","",H542-N(I542))</f>
        <v/>
      </c>
      <c r="K542">
        <f>IF(H542="","",IF(J542&lt;=0,"Paid",IF(I542&gt;0,"Partial","Pending")))</f>
        <v/>
      </c>
    </row>
    <row r="543">
      <c r="B543" s="12" t="n"/>
      <c r="F543" s="10" t="n"/>
      <c r="G543" s="10" t="n"/>
      <c r="H543" s="10">
        <f>IF(OR(E543="",F543=""),"",E543*F543+N(G543))</f>
        <v/>
      </c>
      <c r="I543" s="10" t="n"/>
      <c r="J543" s="10">
        <f>IF(H543="","",H543-N(I543))</f>
        <v/>
      </c>
      <c r="K543">
        <f>IF(H543="","",IF(J543&lt;=0,"Paid",IF(I543&gt;0,"Partial","Pending")))</f>
        <v/>
      </c>
    </row>
    <row r="544">
      <c r="B544" s="12" t="n"/>
      <c r="F544" s="10" t="n"/>
      <c r="G544" s="10" t="n"/>
      <c r="H544" s="10">
        <f>IF(OR(E544="",F544=""),"",E544*F544+N(G544))</f>
        <v/>
      </c>
      <c r="I544" s="10" t="n"/>
      <c r="J544" s="10">
        <f>IF(H544="","",H544-N(I544))</f>
        <v/>
      </c>
      <c r="K544">
        <f>IF(H544="","",IF(J544&lt;=0,"Paid",IF(I544&gt;0,"Partial","Pending")))</f>
        <v/>
      </c>
    </row>
    <row r="545">
      <c r="B545" s="12" t="n"/>
      <c r="F545" s="10" t="n"/>
      <c r="G545" s="10" t="n"/>
      <c r="H545" s="10">
        <f>IF(OR(E545="",F545=""),"",E545*F545+N(G545))</f>
        <v/>
      </c>
      <c r="I545" s="10" t="n"/>
      <c r="J545" s="10">
        <f>IF(H545="","",H545-N(I545))</f>
        <v/>
      </c>
      <c r="K545">
        <f>IF(H545="","",IF(J545&lt;=0,"Paid",IF(I545&gt;0,"Partial","Pending")))</f>
        <v/>
      </c>
    </row>
    <row r="546">
      <c r="B546" s="12" t="n"/>
      <c r="F546" s="10" t="n"/>
      <c r="G546" s="10" t="n"/>
      <c r="H546" s="10">
        <f>IF(OR(E546="",F546=""),"",E546*F546+N(G546))</f>
        <v/>
      </c>
      <c r="I546" s="10" t="n"/>
      <c r="J546" s="10">
        <f>IF(H546="","",H546-N(I546))</f>
        <v/>
      </c>
      <c r="K546">
        <f>IF(H546="","",IF(J546&lt;=0,"Paid",IF(I546&gt;0,"Partial","Pending")))</f>
        <v/>
      </c>
    </row>
    <row r="547">
      <c r="B547" s="12" t="n"/>
      <c r="F547" s="10" t="n"/>
      <c r="G547" s="10" t="n"/>
      <c r="H547" s="10">
        <f>IF(OR(E547="",F547=""),"",E547*F547+N(G547))</f>
        <v/>
      </c>
      <c r="I547" s="10" t="n"/>
      <c r="J547" s="10">
        <f>IF(H547="","",H547-N(I547))</f>
        <v/>
      </c>
      <c r="K547">
        <f>IF(H547="","",IF(J547&lt;=0,"Paid",IF(I547&gt;0,"Partial","Pending")))</f>
        <v/>
      </c>
    </row>
    <row r="548">
      <c r="B548" s="12" t="n"/>
      <c r="F548" s="10" t="n"/>
      <c r="G548" s="10" t="n"/>
      <c r="H548" s="10">
        <f>IF(OR(E548="",F548=""),"",E548*F548+N(G548))</f>
        <v/>
      </c>
      <c r="I548" s="10" t="n"/>
      <c r="J548" s="10">
        <f>IF(H548="","",H548-N(I548))</f>
        <v/>
      </c>
      <c r="K548">
        <f>IF(H548="","",IF(J548&lt;=0,"Paid",IF(I548&gt;0,"Partial","Pending")))</f>
        <v/>
      </c>
    </row>
    <row r="549">
      <c r="B549" s="12" t="n"/>
      <c r="F549" s="10" t="n"/>
      <c r="G549" s="10" t="n"/>
      <c r="H549" s="10">
        <f>IF(OR(E549="",F549=""),"",E549*F549+N(G549))</f>
        <v/>
      </c>
      <c r="I549" s="10" t="n"/>
      <c r="J549" s="10">
        <f>IF(H549="","",H549-N(I549))</f>
        <v/>
      </c>
      <c r="K549">
        <f>IF(H549="","",IF(J549&lt;=0,"Paid",IF(I549&gt;0,"Partial","Pending")))</f>
        <v/>
      </c>
    </row>
    <row r="550">
      <c r="B550" s="12" t="n"/>
      <c r="F550" s="10" t="n"/>
      <c r="G550" s="10" t="n"/>
      <c r="H550" s="10">
        <f>IF(OR(E550="",F550=""),"",E550*F550+N(G550))</f>
        <v/>
      </c>
      <c r="I550" s="10" t="n"/>
      <c r="J550" s="10">
        <f>IF(H550="","",H550-N(I550))</f>
        <v/>
      </c>
      <c r="K550">
        <f>IF(H550="","",IF(J550&lt;=0,"Paid",IF(I550&gt;0,"Partial","Pending")))</f>
        <v/>
      </c>
    </row>
    <row r="551">
      <c r="B551" s="12" t="n"/>
      <c r="F551" s="10" t="n"/>
      <c r="G551" s="10" t="n"/>
      <c r="H551" s="10">
        <f>IF(OR(E551="",F551=""),"",E551*F551+N(G551))</f>
        <v/>
      </c>
      <c r="I551" s="10" t="n"/>
      <c r="J551" s="10">
        <f>IF(H551="","",H551-N(I551))</f>
        <v/>
      </c>
      <c r="K551">
        <f>IF(H551="","",IF(J551&lt;=0,"Paid",IF(I551&gt;0,"Partial","Pending")))</f>
        <v/>
      </c>
    </row>
    <row r="552">
      <c r="B552" s="12" t="n"/>
      <c r="F552" s="10" t="n"/>
      <c r="G552" s="10" t="n"/>
      <c r="H552" s="10">
        <f>IF(OR(E552="",F552=""),"",E552*F552+N(G552))</f>
        <v/>
      </c>
      <c r="I552" s="10" t="n"/>
      <c r="J552" s="10">
        <f>IF(H552="","",H552-N(I552))</f>
        <v/>
      </c>
      <c r="K552">
        <f>IF(H552="","",IF(J552&lt;=0,"Paid",IF(I552&gt;0,"Partial","Pending")))</f>
        <v/>
      </c>
    </row>
    <row r="553">
      <c r="B553" s="12" t="n"/>
      <c r="F553" s="10" t="n"/>
      <c r="G553" s="10" t="n"/>
      <c r="H553" s="10">
        <f>IF(OR(E553="",F553=""),"",E553*F553+N(G553))</f>
        <v/>
      </c>
      <c r="I553" s="10" t="n"/>
      <c r="J553" s="10">
        <f>IF(H553="","",H553-N(I553))</f>
        <v/>
      </c>
      <c r="K553">
        <f>IF(H553="","",IF(J553&lt;=0,"Paid",IF(I553&gt;0,"Partial","Pending")))</f>
        <v/>
      </c>
    </row>
    <row r="554">
      <c r="B554" s="12" t="n"/>
      <c r="F554" s="10" t="n"/>
      <c r="G554" s="10" t="n"/>
      <c r="H554" s="10">
        <f>IF(OR(E554="",F554=""),"",E554*F554+N(G554))</f>
        <v/>
      </c>
      <c r="I554" s="10" t="n"/>
      <c r="J554" s="10">
        <f>IF(H554="","",H554-N(I554))</f>
        <v/>
      </c>
      <c r="K554">
        <f>IF(H554="","",IF(J554&lt;=0,"Paid",IF(I554&gt;0,"Partial","Pending")))</f>
        <v/>
      </c>
    </row>
    <row r="555">
      <c r="B555" s="12" t="n"/>
      <c r="F555" s="10" t="n"/>
      <c r="G555" s="10" t="n"/>
      <c r="H555" s="10">
        <f>IF(OR(E555="",F555=""),"",E555*F555+N(G555))</f>
        <v/>
      </c>
      <c r="I555" s="10" t="n"/>
      <c r="J555" s="10">
        <f>IF(H555="","",H555-N(I555))</f>
        <v/>
      </c>
      <c r="K555">
        <f>IF(H555="","",IF(J555&lt;=0,"Paid",IF(I555&gt;0,"Partial","Pending")))</f>
        <v/>
      </c>
    </row>
    <row r="556">
      <c r="B556" s="12" t="n"/>
      <c r="F556" s="10" t="n"/>
      <c r="G556" s="10" t="n"/>
      <c r="H556" s="10">
        <f>IF(OR(E556="",F556=""),"",E556*F556+N(G556))</f>
        <v/>
      </c>
      <c r="I556" s="10" t="n"/>
      <c r="J556" s="10">
        <f>IF(H556="","",H556-N(I556))</f>
        <v/>
      </c>
      <c r="K556">
        <f>IF(H556="","",IF(J556&lt;=0,"Paid",IF(I556&gt;0,"Partial","Pending")))</f>
        <v/>
      </c>
    </row>
    <row r="557">
      <c r="B557" s="12" t="n"/>
      <c r="F557" s="10" t="n"/>
      <c r="G557" s="10" t="n"/>
      <c r="H557" s="10">
        <f>IF(OR(E557="",F557=""),"",E557*F557+N(G557))</f>
        <v/>
      </c>
      <c r="I557" s="10" t="n"/>
      <c r="J557" s="10">
        <f>IF(H557="","",H557-N(I557))</f>
        <v/>
      </c>
      <c r="K557">
        <f>IF(H557="","",IF(J557&lt;=0,"Paid",IF(I557&gt;0,"Partial","Pending")))</f>
        <v/>
      </c>
    </row>
    <row r="558">
      <c r="B558" s="12" t="n"/>
      <c r="F558" s="10" t="n"/>
      <c r="G558" s="10" t="n"/>
      <c r="H558" s="10">
        <f>IF(OR(E558="",F558=""),"",E558*F558+N(G558))</f>
        <v/>
      </c>
      <c r="I558" s="10" t="n"/>
      <c r="J558" s="10">
        <f>IF(H558="","",H558-N(I558))</f>
        <v/>
      </c>
      <c r="K558">
        <f>IF(H558="","",IF(J558&lt;=0,"Paid",IF(I558&gt;0,"Partial","Pending")))</f>
        <v/>
      </c>
    </row>
    <row r="559">
      <c r="B559" s="12" t="n"/>
      <c r="F559" s="10" t="n"/>
      <c r="G559" s="10" t="n"/>
      <c r="H559" s="10">
        <f>IF(OR(E559="",F559=""),"",E559*F559+N(G559))</f>
        <v/>
      </c>
      <c r="I559" s="10" t="n"/>
      <c r="J559" s="10">
        <f>IF(H559="","",H559-N(I559))</f>
        <v/>
      </c>
      <c r="K559">
        <f>IF(H559="","",IF(J559&lt;=0,"Paid",IF(I559&gt;0,"Partial","Pending")))</f>
        <v/>
      </c>
    </row>
    <row r="560">
      <c r="B560" s="12" t="n"/>
      <c r="F560" s="10" t="n"/>
      <c r="G560" s="10" t="n"/>
      <c r="H560" s="10">
        <f>IF(OR(E560="",F560=""),"",E560*F560+N(G560))</f>
        <v/>
      </c>
      <c r="I560" s="10" t="n"/>
      <c r="J560" s="10">
        <f>IF(H560="","",H560-N(I560))</f>
        <v/>
      </c>
      <c r="K560">
        <f>IF(H560="","",IF(J560&lt;=0,"Paid",IF(I560&gt;0,"Partial","Pending")))</f>
        <v/>
      </c>
    </row>
    <row r="561">
      <c r="B561" s="12" t="n"/>
      <c r="F561" s="10" t="n"/>
      <c r="G561" s="10" t="n"/>
      <c r="H561" s="10">
        <f>IF(OR(E561="",F561=""),"",E561*F561+N(G561))</f>
        <v/>
      </c>
      <c r="I561" s="10" t="n"/>
      <c r="J561" s="10">
        <f>IF(H561="","",H561-N(I561))</f>
        <v/>
      </c>
      <c r="K561">
        <f>IF(H561="","",IF(J561&lt;=0,"Paid",IF(I561&gt;0,"Partial","Pending")))</f>
        <v/>
      </c>
    </row>
    <row r="562">
      <c r="B562" s="12" t="n"/>
      <c r="F562" s="10" t="n"/>
      <c r="G562" s="10" t="n"/>
      <c r="H562" s="10">
        <f>IF(OR(E562="",F562=""),"",E562*F562+N(G562))</f>
        <v/>
      </c>
      <c r="I562" s="10" t="n"/>
      <c r="J562" s="10">
        <f>IF(H562="","",H562-N(I562))</f>
        <v/>
      </c>
      <c r="K562">
        <f>IF(H562="","",IF(J562&lt;=0,"Paid",IF(I562&gt;0,"Partial","Pending")))</f>
        <v/>
      </c>
    </row>
    <row r="563">
      <c r="B563" s="12" t="n"/>
      <c r="F563" s="10" t="n"/>
      <c r="G563" s="10" t="n"/>
      <c r="H563" s="10">
        <f>IF(OR(E563="",F563=""),"",E563*F563+N(G563))</f>
        <v/>
      </c>
      <c r="I563" s="10" t="n"/>
      <c r="J563" s="10">
        <f>IF(H563="","",H563-N(I563))</f>
        <v/>
      </c>
      <c r="K563">
        <f>IF(H563="","",IF(J563&lt;=0,"Paid",IF(I563&gt;0,"Partial","Pending")))</f>
        <v/>
      </c>
    </row>
    <row r="564">
      <c r="B564" s="12" t="n"/>
      <c r="F564" s="10" t="n"/>
      <c r="G564" s="10" t="n"/>
      <c r="H564" s="10">
        <f>IF(OR(E564="",F564=""),"",E564*F564+N(G564))</f>
        <v/>
      </c>
      <c r="I564" s="10" t="n"/>
      <c r="J564" s="10">
        <f>IF(H564="","",H564-N(I564))</f>
        <v/>
      </c>
      <c r="K564">
        <f>IF(H564="","",IF(J564&lt;=0,"Paid",IF(I564&gt;0,"Partial","Pending")))</f>
        <v/>
      </c>
    </row>
    <row r="565">
      <c r="B565" s="12" t="n"/>
      <c r="F565" s="10" t="n"/>
      <c r="G565" s="10" t="n"/>
      <c r="H565" s="10">
        <f>IF(OR(E565="",F565=""),"",E565*F565+N(G565))</f>
        <v/>
      </c>
      <c r="I565" s="10" t="n"/>
      <c r="J565" s="10">
        <f>IF(H565="","",H565-N(I565))</f>
        <v/>
      </c>
      <c r="K565">
        <f>IF(H565="","",IF(J565&lt;=0,"Paid",IF(I565&gt;0,"Partial","Pending")))</f>
        <v/>
      </c>
    </row>
    <row r="566">
      <c r="B566" s="12" t="n"/>
      <c r="F566" s="10" t="n"/>
      <c r="G566" s="10" t="n"/>
      <c r="H566" s="10">
        <f>IF(OR(E566="",F566=""),"",E566*F566+N(G566))</f>
        <v/>
      </c>
      <c r="I566" s="10" t="n"/>
      <c r="J566" s="10">
        <f>IF(H566="","",H566-N(I566))</f>
        <v/>
      </c>
      <c r="K566">
        <f>IF(H566="","",IF(J566&lt;=0,"Paid",IF(I566&gt;0,"Partial","Pending")))</f>
        <v/>
      </c>
    </row>
    <row r="567">
      <c r="B567" s="12" t="n"/>
      <c r="F567" s="10" t="n"/>
      <c r="G567" s="10" t="n"/>
      <c r="H567" s="10">
        <f>IF(OR(E567="",F567=""),"",E567*F567+N(G567))</f>
        <v/>
      </c>
      <c r="I567" s="10" t="n"/>
      <c r="J567" s="10">
        <f>IF(H567="","",H567-N(I567))</f>
        <v/>
      </c>
      <c r="K567">
        <f>IF(H567="","",IF(J567&lt;=0,"Paid",IF(I567&gt;0,"Partial","Pending")))</f>
        <v/>
      </c>
    </row>
    <row r="568">
      <c r="B568" s="12" t="n"/>
      <c r="F568" s="10" t="n"/>
      <c r="G568" s="10" t="n"/>
      <c r="H568" s="10">
        <f>IF(OR(E568="",F568=""),"",E568*F568+N(G568))</f>
        <v/>
      </c>
      <c r="I568" s="10" t="n"/>
      <c r="J568" s="10">
        <f>IF(H568="","",H568-N(I568))</f>
        <v/>
      </c>
      <c r="K568">
        <f>IF(H568="","",IF(J568&lt;=0,"Paid",IF(I568&gt;0,"Partial","Pending")))</f>
        <v/>
      </c>
    </row>
    <row r="569">
      <c r="B569" s="12" t="n"/>
      <c r="F569" s="10" t="n"/>
      <c r="G569" s="10" t="n"/>
      <c r="H569" s="10">
        <f>IF(OR(E569="",F569=""),"",E569*F569+N(G569))</f>
        <v/>
      </c>
      <c r="I569" s="10" t="n"/>
      <c r="J569" s="10">
        <f>IF(H569="","",H569-N(I569))</f>
        <v/>
      </c>
      <c r="K569">
        <f>IF(H569="","",IF(J569&lt;=0,"Paid",IF(I569&gt;0,"Partial","Pending")))</f>
        <v/>
      </c>
    </row>
    <row r="570">
      <c r="B570" s="12" t="n"/>
      <c r="F570" s="10" t="n"/>
      <c r="G570" s="10" t="n"/>
      <c r="H570" s="10">
        <f>IF(OR(E570="",F570=""),"",E570*F570+N(G570))</f>
        <v/>
      </c>
      <c r="I570" s="10" t="n"/>
      <c r="J570" s="10">
        <f>IF(H570="","",H570-N(I570))</f>
        <v/>
      </c>
      <c r="K570">
        <f>IF(H570="","",IF(J570&lt;=0,"Paid",IF(I570&gt;0,"Partial","Pending")))</f>
        <v/>
      </c>
    </row>
    <row r="571">
      <c r="B571" s="12" t="n"/>
      <c r="F571" s="10" t="n"/>
      <c r="G571" s="10" t="n"/>
      <c r="H571" s="10">
        <f>IF(OR(E571="",F571=""),"",E571*F571+N(G571))</f>
        <v/>
      </c>
      <c r="I571" s="10" t="n"/>
      <c r="J571" s="10">
        <f>IF(H571="","",H571-N(I571))</f>
        <v/>
      </c>
      <c r="K571">
        <f>IF(H571="","",IF(J571&lt;=0,"Paid",IF(I571&gt;0,"Partial","Pending")))</f>
        <v/>
      </c>
    </row>
    <row r="572">
      <c r="B572" s="12" t="n"/>
      <c r="F572" s="10" t="n"/>
      <c r="G572" s="10" t="n"/>
      <c r="H572" s="10">
        <f>IF(OR(E572="",F572=""),"",E572*F572+N(G572))</f>
        <v/>
      </c>
      <c r="I572" s="10" t="n"/>
      <c r="J572" s="10">
        <f>IF(H572="","",H572-N(I572))</f>
        <v/>
      </c>
      <c r="K572">
        <f>IF(H572="","",IF(J572&lt;=0,"Paid",IF(I572&gt;0,"Partial","Pending")))</f>
        <v/>
      </c>
    </row>
    <row r="573">
      <c r="B573" s="12" t="n"/>
      <c r="F573" s="10" t="n"/>
      <c r="G573" s="10" t="n"/>
      <c r="H573" s="10">
        <f>IF(OR(E573="",F573=""),"",E573*F573+N(G573))</f>
        <v/>
      </c>
      <c r="I573" s="10" t="n"/>
      <c r="J573" s="10">
        <f>IF(H573="","",H573-N(I573))</f>
        <v/>
      </c>
      <c r="K573">
        <f>IF(H573="","",IF(J573&lt;=0,"Paid",IF(I573&gt;0,"Partial","Pending")))</f>
        <v/>
      </c>
    </row>
    <row r="574">
      <c r="B574" s="12" t="n"/>
      <c r="F574" s="10" t="n"/>
      <c r="G574" s="10" t="n"/>
      <c r="H574" s="10">
        <f>IF(OR(E574="",F574=""),"",E574*F574+N(G574))</f>
        <v/>
      </c>
      <c r="I574" s="10" t="n"/>
      <c r="J574" s="10">
        <f>IF(H574="","",H574-N(I574))</f>
        <v/>
      </c>
      <c r="K574">
        <f>IF(H574="","",IF(J574&lt;=0,"Paid",IF(I574&gt;0,"Partial","Pending")))</f>
        <v/>
      </c>
    </row>
    <row r="575">
      <c r="B575" s="12" t="n"/>
      <c r="F575" s="10" t="n"/>
      <c r="G575" s="10" t="n"/>
      <c r="H575" s="10">
        <f>IF(OR(E575="",F575=""),"",E575*F575+N(G575))</f>
        <v/>
      </c>
      <c r="I575" s="10" t="n"/>
      <c r="J575" s="10">
        <f>IF(H575="","",H575-N(I575))</f>
        <v/>
      </c>
      <c r="K575">
        <f>IF(H575="","",IF(J575&lt;=0,"Paid",IF(I575&gt;0,"Partial","Pending")))</f>
        <v/>
      </c>
    </row>
    <row r="576">
      <c r="B576" s="12" t="n"/>
      <c r="F576" s="10" t="n"/>
      <c r="G576" s="10" t="n"/>
      <c r="H576" s="10">
        <f>IF(OR(E576="",F576=""),"",E576*F576+N(G576))</f>
        <v/>
      </c>
      <c r="I576" s="10" t="n"/>
      <c r="J576" s="10">
        <f>IF(H576="","",H576-N(I576))</f>
        <v/>
      </c>
      <c r="K576">
        <f>IF(H576="","",IF(J576&lt;=0,"Paid",IF(I576&gt;0,"Partial","Pending")))</f>
        <v/>
      </c>
    </row>
    <row r="577">
      <c r="B577" s="12" t="n"/>
      <c r="F577" s="10" t="n"/>
      <c r="G577" s="10" t="n"/>
      <c r="H577" s="10">
        <f>IF(OR(E577="",F577=""),"",E577*F577+N(G577))</f>
        <v/>
      </c>
      <c r="I577" s="10" t="n"/>
      <c r="J577" s="10">
        <f>IF(H577="","",H577-N(I577))</f>
        <v/>
      </c>
      <c r="K577">
        <f>IF(H577="","",IF(J577&lt;=0,"Paid",IF(I577&gt;0,"Partial","Pending")))</f>
        <v/>
      </c>
    </row>
    <row r="578">
      <c r="B578" s="12" t="n"/>
      <c r="F578" s="10" t="n"/>
      <c r="G578" s="10" t="n"/>
      <c r="H578" s="10">
        <f>IF(OR(E578="",F578=""),"",E578*F578+N(G578))</f>
        <v/>
      </c>
      <c r="I578" s="10" t="n"/>
      <c r="J578" s="10">
        <f>IF(H578="","",H578-N(I578))</f>
        <v/>
      </c>
      <c r="K578">
        <f>IF(H578="","",IF(J578&lt;=0,"Paid",IF(I578&gt;0,"Partial","Pending")))</f>
        <v/>
      </c>
    </row>
    <row r="579">
      <c r="B579" s="12" t="n"/>
      <c r="F579" s="10" t="n"/>
      <c r="G579" s="10" t="n"/>
      <c r="H579" s="10">
        <f>IF(OR(E579="",F579=""),"",E579*F579+N(G579))</f>
        <v/>
      </c>
      <c r="I579" s="10" t="n"/>
      <c r="J579" s="10">
        <f>IF(H579="","",H579-N(I579))</f>
        <v/>
      </c>
      <c r="K579">
        <f>IF(H579="","",IF(J579&lt;=0,"Paid",IF(I579&gt;0,"Partial","Pending")))</f>
        <v/>
      </c>
    </row>
    <row r="580">
      <c r="B580" s="12" t="n"/>
      <c r="F580" s="10" t="n"/>
      <c r="G580" s="10" t="n"/>
      <c r="H580" s="10">
        <f>IF(OR(E580="",F580=""),"",E580*F580+N(G580))</f>
        <v/>
      </c>
      <c r="I580" s="10" t="n"/>
      <c r="J580" s="10">
        <f>IF(H580="","",H580-N(I580))</f>
        <v/>
      </c>
      <c r="K580">
        <f>IF(H580="","",IF(J580&lt;=0,"Paid",IF(I580&gt;0,"Partial","Pending")))</f>
        <v/>
      </c>
    </row>
    <row r="581">
      <c r="B581" s="12" t="n"/>
      <c r="F581" s="10" t="n"/>
      <c r="G581" s="10" t="n"/>
      <c r="H581" s="10">
        <f>IF(OR(E581="",F581=""),"",E581*F581+N(G581))</f>
        <v/>
      </c>
      <c r="I581" s="10" t="n"/>
      <c r="J581" s="10">
        <f>IF(H581="","",H581-N(I581))</f>
        <v/>
      </c>
      <c r="K581">
        <f>IF(H581="","",IF(J581&lt;=0,"Paid",IF(I581&gt;0,"Partial","Pending")))</f>
        <v/>
      </c>
    </row>
    <row r="582">
      <c r="B582" s="12" t="n"/>
      <c r="F582" s="10" t="n"/>
      <c r="G582" s="10" t="n"/>
      <c r="H582" s="10">
        <f>IF(OR(E582="",F582=""),"",E582*F582+N(G582))</f>
        <v/>
      </c>
      <c r="I582" s="10" t="n"/>
      <c r="J582" s="10">
        <f>IF(H582="","",H582-N(I582))</f>
        <v/>
      </c>
      <c r="K582">
        <f>IF(H582="","",IF(J582&lt;=0,"Paid",IF(I582&gt;0,"Partial","Pending")))</f>
        <v/>
      </c>
    </row>
    <row r="583">
      <c r="B583" s="12" t="n"/>
      <c r="F583" s="10" t="n"/>
      <c r="G583" s="10" t="n"/>
      <c r="H583" s="10">
        <f>IF(OR(E583="",F583=""),"",E583*F583+N(G583))</f>
        <v/>
      </c>
      <c r="I583" s="10" t="n"/>
      <c r="J583" s="10">
        <f>IF(H583="","",H583-N(I583))</f>
        <v/>
      </c>
      <c r="K583">
        <f>IF(H583="","",IF(J583&lt;=0,"Paid",IF(I583&gt;0,"Partial","Pending")))</f>
        <v/>
      </c>
    </row>
    <row r="584">
      <c r="B584" s="12" t="n"/>
      <c r="F584" s="10" t="n"/>
      <c r="G584" s="10" t="n"/>
      <c r="H584" s="10">
        <f>IF(OR(E584="",F584=""),"",E584*F584+N(G584))</f>
        <v/>
      </c>
      <c r="I584" s="10" t="n"/>
      <c r="J584" s="10">
        <f>IF(H584="","",H584-N(I584))</f>
        <v/>
      </c>
      <c r="K584">
        <f>IF(H584="","",IF(J584&lt;=0,"Paid",IF(I584&gt;0,"Partial","Pending")))</f>
        <v/>
      </c>
    </row>
    <row r="585">
      <c r="B585" s="12" t="n"/>
      <c r="F585" s="10" t="n"/>
      <c r="G585" s="10" t="n"/>
      <c r="H585" s="10">
        <f>IF(OR(E585="",F585=""),"",E585*F585+N(G585))</f>
        <v/>
      </c>
      <c r="I585" s="10" t="n"/>
      <c r="J585" s="10">
        <f>IF(H585="","",H585-N(I585))</f>
        <v/>
      </c>
      <c r="K585">
        <f>IF(H585="","",IF(J585&lt;=0,"Paid",IF(I585&gt;0,"Partial","Pending")))</f>
        <v/>
      </c>
    </row>
    <row r="586">
      <c r="B586" s="12" t="n"/>
      <c r="F586" s="10" t="n"/>
      <c r="G586" s="10" t="n"/>
      <c r="H586" s="10">
        <f>IF(OR(E586="",F586=""),"",E586*F586+N(G586))</f>
        <v/>
      </c>
      <c r="I586" s="10" t="n"/>
      <c r="J586" s="10">
        <f>IF(H586="","",H586-N(I586))</f>
        <v/>
      </c>
      <c r="K586">
        <f>IF(H586="","",IF(J586&lt;=0,"Paid",IF(I586&gt;0,"Partial","Pending")))</f>
        <v/>
      </c>
    </row>
    <row r="587">
      <c r="B587" s="12" t="n"/>
      <c r="F587" s="10" t="n"/>
      <c r="G587" s="10" t="n"/>
      <c r="H587" s="10">
        <f>IF(OR(E587="",F587=""),"",E587*F587+N(G587))</f>
        <v/>
      </c>
      <c r="I587" s="10" t="n"/>
      <c r="J587" s="10">
        <f>IF(H587="","",H587-N(I587))</f>
        <v/>
      </c>
      <c r="K587">
        <f>IF(H587="","",IF(J587&lt;=0,"Paid",IF(I587&gt;0,"Partial","Pending")))</f>
        <v/>
      </c>
    </row>
    <row r="588">
      <c r="B588" s="12" t="n"/>
      <c r="F588" s="10" t="n"/>
      <c r="G588" s="10" t="n"/>
      <c r="H588" s="10">
        <f>IF(OR(E588="",F588=""),"",E588*F588+N(G588))</f>
        <v/>
      </c>
      <c r="I588" s="10" t="n"/>
      <c r="J588" s="10">
        <f>IF(H588="","",H588-N(I588))</f>
        <v/>
      </c>
      <c r="K588">
        <f>IF(H588="","",IF(J588&lt;=0,"Paid",IF(I588&gt;0,"Partial","Pending")))</f>
        <v/>
      </c>
    </row>
    <row r="589">
      <c r="B589" s="12" t="n"/>
      <c r="F589" s="10" t="n"/>
      <c r="G589" s="10" t="n"/>
      <c r="H589" s="10">
        <f>IF(OR(E589="",F589=""),"",E589*F589+N(G589))</f>
        <v/>
      </c>
      <c r="I589" s="10" t="n"/>
      <c r="J589" s="10">
        <f>IF(H589="","",H589-N(I589))</f>
        <v/>
      </c>
      <c r="K589">
        <f>IF(H589="","",IF(J589&lt;=0,"Paid",IF(I589&gt;0,"Partial","Pending")))</f>
        <v/>
      </c>
    </row>
    <row r="590">
      <c r="B590" s="12" t="n"/>
      <c r="F590" s="10" t="n"/>
      <c r="G590" s="10" t="n"/>
      <c r="H590" s="10">
        <f>IF(OR(E590="",F590=""),"",E590*F590+N(G590))</f>
        <v/>
      </c>
      <c r="I590" s="10" t="n"/>
      <c r="J590" s="10">
        <f>IF(H590="","",H590-N(I590))</f>
        <v/>
      </c>
      <c r="K590">
        <f>IF(H590="","",IF(J590&lt;=0,"Paid",IF(I590&gt;0,"Partial","Pending")))</f>
        <v/>
      </c>
    </row>
    <row r="591">
      <c r="B591" s="12" t="n"/>
      <c r="F591" s="10" t="n"/>
      <c r="G591" s="10" t="n"/>
      <c r="H591" s="10">
        <f>IF(OR(E591="",F591=""),"",E591*F591+N(G591))</f>
        <v/>
      </c>
      <c r="I591" s="10" t="n"/>
      <c r="J591" s="10">
        <f>IF(H591="","",H591-N(I591))</f>
        <v/>
      </c>
      <c r="K591">
        <f>IF(H591="","",IF(J591&lt;=0,"Paid",IF(I591&gt;0,"Partial","Pending")))</f>
        <v/>
      </c>
    </row>
    <row r="592">
      <c r="B592" s="12" t="n"/>
      <c r="F592" s="10" t="n"/>
      <c r="G592" s="10" t="n"/>
      <c r="H592" s="10">
        <f>IF(OR(E592="",F592=""),"",E592*F592+N(G592))</f>
        <v/>
      </c>
      <c r="I592" s="10" t="n"/>
      <c r="J592" s="10">
        <f>IF(H592="","",H592-N(I592))</f>
        <v/>
      </c>
      <c r="K592">
        <f>IF(H592="","",IF(J592&lt;=0,"Paid",IF(I592&gt;0,"Partial","Pending")))</f>
        <v/>
      </c>
    </row>
    <row r="593">
      <c r="B593" s="12" t="n"/>
      <c r="F593" s="10" t="n"/>
      <c r="G593" s="10" t="n"/>
      <c r="H593" s="10">
        <f>IF(OR(E593="",F593=""),"",E593*F593+N(G593))</f>
        <v/>
      </c>
      <c r="I593" s="10" t="n"/>
      <c r="J593" s="10">
        <f>IF(H593="","",H593-N(I593))</f>
        <v/>
      </c>
      <c r="K593">
        <f>IF(H593="","",IF(J593&lt;=0,"Paid",IF(I593&gt;0,"Partial","Pending")))</f>
        <v/>
      </c>
    </row>
    <row r="594">
      <c r="B594" s="12" t="n"/>
      <c r="F594" s="10" t="n"/>
      <c r="G594" s="10" t="n"/>
      <c r="H594" s="10">
        <f>IF(OR(E594="",F594=""),"",E594*F594+N(G594))</f>
        <v/>
      </c>
      <c r="I594" s="10" t="n"/>
      <c r="J594" s="10">
        <f>IF(H594="","",H594-N(I594))</f>
        <v/>
      </c>
      <c r="K594">
        <f>IF(H594="","",IF(J594&lt;=0,"Paid",IF(I594&gt;0,"Partial","Pending")))</f>
        <v/>
      </c>
    </row>
    <row r="595">
      <c r="B595" s="12" t="n"/>
      <c r="F595" s="10" t="n"/>
      <c r="G595" s="10" t="n"/>
      <c r="H595" s="10">
        <f>IF(OR(E595="",F595=""),"",E595*F595+N(G595))</f>
        <v/>
      </c>
      <c r="I595" s="10" t="n"/>
      <c r="J595" s="10">
        <f>IF(H595="","",H595-N(I595))</f>
        <v/>
      </c>
      <c r="K595">
        <f>IF(H595="","",IF(J595&lt;=0,"Paid",IF(I595&gt;0,"Partial","Pending")))</f>
        <v/>
      </c>
    </row>
    <row r="596">
      <c r="B596" s="12" t="n"/>
      <c r="F596" s="10" t="n"/>
      <c r="G596" s="10" t="n"/>
      <c r="H596" s="10">
        <f>IF(OR(E596="",F596=""),"",E596*F596+N(G596))</f>
        <v/>
      </c>
      <c r="I596" s="10" t="n"/>
      <c r="J596" s="10">
        <f>IF(H596="","",H596-N(I596))</f>
        <v/>
      </c>
      <c r="K596">
        <f>IF(H596="","",IF(J596&lt;=0,"Paid",IF(I596&gt;0,"Partial","Pending")))</f>
        <v/>
      </c>
    </row>
    <row r="597">
      <c r="B597" s="12" t="n"/>
      <c r="F597" s="10" t="n"/>
      <c r="G597" s="10" t="n"/>
      <c r="H597" s="10">
        <f>IF(OR(E597="",F597=""),"",E597*F597+N(G597))</f>
        <v/>
      </c>
      <c r="I597" s="10" t="n"/>
      <c r="J597" s="10">
        <f>IF(H597="","",H597-N(I597))</f>
        <v/>
      </c>
      <c r="K597">
        <f>IF(H597="","",IF(J597&lt;=0,"Paid",IF(I597&gt;0,"Partial","Pending")))</f>
        <v/>
      </c>
    </row>
    <row r="598">
      <c r="B598" s="12" t="n"/>
      <c r="F598" s="10" t="n"/>
      <c r="G598" s="10" t="n"/>
      <c r="H598" s="10">
        <f>IF(OR(E598="",F598=""),"",E598*F598+N(G598))</f>
        <v/>
      </c>
      <c r="I598" s="10" t="n"/>
      <c r="J598" s="10">
        <f>IF(H598="","",H598-N(I598))</f>
        <v/>
      </c>
      <c r="K598">
        <f>IF(H598="","",IF(J598&lt;=0,"Paid",IF(I598&gt;0,"Partial","Pending")))</f>
        <v/>
      </c>
    </row>
    <row r="599">
      <c r="B599" s="12" t="n"/>
      <c r="F599" s="10" t="n"/>
      <c r="G599" s="10" t="n"/>
      <c r="H599" s="10">
        <f>IF(OR(E599="",F599=""),"",E599*F599+N(G599))</f>
        <v/>
      </c>
      <c r="I599" s="10" t="n"/>
      <c r="J599" s="10">
        <f>IF(H599="","",H599-N(I599))</f>
        <v/>
      </c>
      <c r="K599">
        <f>IF(H599="","",IF(J599&lt;=0,"Paid",IF(I599&gt;0,"Partial","Pending")))</f>
        <v/>
      </c>
    </row>
    <row r="600">
      <c r="B600" s="12" t="n"/>
      <c r="F600" s="10" t="n"/>
      <c r="G600" s="10" t="n"/>
      <c r="H600" s="10">
        <f>IF(OR(E600="",F600=""),"",E600*F600+N(G600))</f>
        <v/>
      </c>
      <c r="I600" s="10" t="n"/>
      <c r="J600" s="10">
        <f>IF(H600="","",H600-N(I600))</f>
        <v/>
      </c>
      <c r="K600">
        <f>IF(H600="","",IF(J600&lt;=0,"Paid",IF(I600&gt;0,"Partial","Pending")))</f>
        <v/>
      </c>
    </row>
    <row r="601">
      <c r="B601" s="12" t="n"/>
      <c r="F601" s="10" t="n"/>
      <c r="G601" s="10" t="n"/>
      <c r="H601" s="10">
        <f>IF(OR(E601="",F601=""),"",E601*F601+N(G601))</f>
        <v/>
      </c>
      <c r="I601" s="10" t="n"/>
      <c r="J601" s="10">
        <f>IF(H601="","",H601-N(I601))</f>
        <v/>
      </c>
      <c r="K601">
        <f>IF(H601="","",IF(J601&lt;=0,"Paid",IF(I601&gt;0,"Partial","Pending")))</f>
        <v/>
      </c>
    </row>
    <row r="602">
      <c r="B602" s="12" t="n"/>
      <c r="F602" s="10" t="n"/>
      <c r="G602" s="10" t="n"/>
      <c r="H602" s="10">
        <f>IF(OR(E602="",F602=""),"",E602*F602+N(G602))</f>
        <v/>
      </c>
      <c r="I602" s="10" t="n"/>
      <c r="J602" s="10">
        <f>IF(H602="","",H602-N(I602))</f>
        <v/>
      </c>
      <c r="K602">
        <f>IF(H602="","",IF(J602&lt;=0,"Paid",IF(I602&gt;0,"Partial","Pending")))</f>
        <v/>
      </c>
    </row>
    <row r="603">
      <c r="B603" s="12" t="n"/>
      <c r="F603" s="10" t="n"/>
      <c r="G603" s="10" t="n"/>
      <c r="H603" s="10">
        <f>IF(OR(E603="",F603=""),"",E603*F603+N(G603))</f>
        <v/>
      </c>
      <c r="I603" s="10" t="n"/>
      <c r="J603" s="10">
        <f>IF(H603="","",H603-N(I603))</f>
        <v/>
      </c>
      <c r="K603">
        <f>IF(H603="","",IF(J603&lt;=0,"Paid",IF(I603&gt;0,"Partial","Pending")))</f>
        <v/>
      </c>
    </row>
    <row r="604">
      <c r="B604" s="12" t="n"/>
      <c r="F604" s="10" t="n"/>
      <c r="G604" s="10" t="n"/>
      <c r="H604" s="10">
        <f>IF(OR(E604="",F604=""),"",E604*F604+N(G604))</f>
        <v/>
      </c>
      <c r="I604" s="10" t="n"/>
      <c r="J604" s="10">
        <f>IF(H604="","",H604-N(I604))</f>
        <v/>
      </c>
      <c r="K604">
        <f>IF(H604="","",IF(J604&lt;=0,"Paid",IF(I604&gt;0,"Partial","Pending")))</f>
        <v/>
      </c>
    </row>
    <row r="605">
      <c r="B605" s="12" t="n"/>
      <c r="F605" s="10" t="n"/>
      <c r="G605" s="10" t="n"/>
      <c r="H605" s="10">
        <f>IF(OR(E605="",F605=""),"",E605*F605+N(G605))</f>
        <v/>
      </c>
      <c r="I605" s="10" t="n"/>
      <c r="J605" s="10">
        <f>IF(H605="","",H605-N(I605))</f>
        <v/>
      </c>
      <c r="K605">
        <f>IF(H605="","",IF(J605&lt;=0,"Paid",IF(I605&gt;0,"Partial","Pending")))</f>
        <v/>
      </c>
    </row>
    <row r="606">
      <c r="B606" s="12" t="n"/>
      <c r="F606" s="10" t="n"/>
      <c r="G606" s="10" t="n"/>
      <c r="H606" s="10">
        <f>IF(OR(E606="",F606=""),"",E606*F606+N(G606))</f>
        <v/>
      </c>
      <c r="I606" s="10" t="n"/>
      <c r="J606" s="10">
        <f>IF(H606="","",H606-N(I606))</f>
        <v/>
      </c>
      <c r="K606">
        <f>IF(H606="","",IF(J606&lt;=0,"Paid",IF(I606&gt;0,"Partial","Pending")))</f>
        <v/>
      </c>
    </row>
    <row r="607">
      <c r="B607" s="12" t="n"/>
      <c r="F607" s="10" t="n"/>
      <c r="G607" s="10" t="n"/>
      <c r="H607" s="10">
        <f>IF(OR(E607="",F607=""),"",E607*F607+N(G607))</f>
        <v/>
      </c>
      <c r="I607" s="10" t="n"/>
      <c r="J607" s="10">
        <f>IF(H607="","",H607-N(I607))</f>
        <v/>
      </c>
      <c r="K607">
        <f>IF(H607="","",IF(J607&lt;=0,"Paid",IF(I607&gt;0,"Partial","Pending")))</f>
        <v/>
      </c>
    </row>
    <row r="608">
      <c r="B608" s="12" t="n"/>
      <c r="F608" s="10" t="n"/>
      <c r="G608" s="10" t="n"/>
      <c r="H608" s="10">
        <f>IF(OR(E608="",F608=""),"",E608*F608+N(G608))</f>
        <v/>
      </c>
      <c r="I608" s="10" t="n"/>
      <c r="J608" s="10">
        <f>IF(H608="","",H608-N(I608))</f>
        <v/>
      </c>
      <c r="K608">
        <f>IF(H608="","",IF(J608&lt;=0,"Paid",IF(I608&gt;0,"Partial","Pending")))</f>
        <v/>
      </c>
    </row>
    <row r="609">
      <c r="B609" s="12" t="n"/>
      <c r="F609" s="10" t="n"/>
      <c r="G609" s="10" t="n"/>
      <c r="H609" s="10">
        <f>IF(OR(E609="",F609=""),"",E609*F609+N(G609))</f>
        <v/>
      </c>
      <c r="I609" s="10" t="n"/>
      <c r="J609" s="10">
        <f>IF(H609="","",H609-N(I609))</f>
        <v/>
      </c>
      <c r="K609">
        <f>IF(H609="","",IF(J609&lt;=0,"Paid",IF(I609&gt;0,"Partial","Pending")))</f>
        <v/>
      </c>
    </row>
    <row r="610">
      <c r="B610" s="12" t="n"/>
      <c r="F610" s="10" t="n"/>
      <c r="G610" s="10" t="n"/>
      <c r="H610" s="10">
        <f>IF(OR(E610="",F610=""),"",E610*F610+N(G610))</f>
        <v/>
      </c>
      <c r="I610" s="10" t="n"/>
      <c r="J610" s="10">
        <f>IF(H610="","",H610-N(I610))</f>
        <v/>
      </c>
      <c r="K610">
        <f>IF(H610="","",IF(J610&lt;=0,"Paid",IF(I610&gt;0,"Partial","Pending")))</f>
        <v/>
      </c>
    </row>
    <row r="611">
      <c r="B611" s="12" t="n"/>
      <c r="F611" s="10" t="n"/>
      <c r="G611" s="10" t="n"/>
      <c r="H611" s="10">
        <f>IF(OR(E611="",F611=""),"",E611*F611+N(G611))</f>
        <v/>
      </c>
      <c r="I611" s="10" t="n"/>
      <c r="J611" s="10">
        <f>IF(H611="","",H611-N(I611))</f>
        <v/>
      </c>
      <c r="K611">
        <f>IF(H611="","",IF(J611&lt;=0,"Paid",IF(I611&gt;0,"Partial","Pending")))</f>
        <v/>
      </c>
    </row>
    <row r="612">
      <c r="B612" s="12" t="n"/>
      <c r="F612" s="10" t="n"/>
      <c r="G612" s="10" t="n"/>
      <c r="H612" s="10">
        <f>IF(OR(E612="",F612=""),"",E612*F612+N(G612))</f>
        <v/>
      </c>
      <c r="I612" s="10" t="n"/>
      <c r="J612" s="10">
        <f>IF(H612="","",H612-N(I612))</f>
        <v/>
      </c>
      <c r="K612">
        <f>IF(H612="","",IF(J612&lt;=0,"Paid",IF(I612&gt;0,"Partial","Pending")))</f>
        <v/>
      </c>
    </row>
    <row r="613">
      <c r="B613" s="12" t="n"/>
      <c r="F613" s="10" t="n"/>
      <c r="G613" s="10" t="n"/>
      <c r="H613" s="10">
        <f>IF(OR(E613="",F613=""),"",E613*F613+N(G613))</f>
        <v/>
      </c>
      <c r="I613" s="10" t="n"/>
      <c r="J613" s="10">
        <f>IF(H613="","",H613-N(I613))</f>
        <v/>
      </c>
      <c r="K613">
        <f>IF(H613="","",IF(J613&lt;=0,"Paid",IF(I613&gt;0,"Partial","Pending")))</f>
        <v/>
      </c>
    </row>
    <row r="614">
      <c r="B614" s="12" t="n"/>
      <c r="F614" s="10" t="n"/>
      <c r="G614" s="10" t="n"/>
      <c r="H614" s="10">
        <f>IF(OR(E614="",F614=""),"",E614*F614+N(G614))</f>
        <v/>
      </c>
      <c r="I614" s="10" t="n"/>
      <c r="J614" s="10">
        <f>IF(H614="","",H614-N(I614))</f>
        <v/>
      </c>
      <c r="K614">
        <f>IF(H614="","",IF(J614&lt;=0,"Paid",IF(I614&gt;0,"Partial","Pending")))</f>
        <v/>
      </c>
    </row>
    <row r="615">
      <c r="B615" s="12" t="n"/>
      <c r="F615" s="10" t="n"/>
      <c r="G615" s="10" t="n"/>
      <c r="H615" s="10">
        <f>IF(OR(E615="",F615=""),"",E615*F615+N(G615))</f>
        <v/>
      </c>
      <c r="I615" s="10" t="n"/>
      <c r="J615" s="10">
        <f>IF(H615="","",H615-N(I615))</f>
        <v/>
      </c>
      <c r="K615">
        <f>IF(H615="","",IF(J615&lt;=0,"Paid",IF(I615&gt;0,"Partial","Pending")))</f>
        <v/>
      </c>
    </row>
    <row r="616">
      <c r="B616" s="12" t="n"/>
      <c r="F616" s="10" t="n"/>
      <c r="G616" s="10" t="n"/>
      <c r="H616" s="10">
        <f>IF(OR(E616="",F616=""),"",E616*F616+N(G616))</f>
        <v/>
      </c>
      <c r="I616" s="10" t="n"/>
      <c r="J616" s="10">
        <f>IF(H616="","",H616-N(I616))</f>
        <v/>
      </c>
      <c r="K616">
        <f>IF(H616="","",IF(J616&lt;=0,"Paid",IF(I616&gt;0,"Partial","Pending")))</f>
        <v/>
      </c>
    </row>
    <row r="617">
      <c r="B617" s="12" t="n"/>
      <c r="F617" s="10" t="n"/>
      <c r="G617" s="10" t="n"/>
      <c r="H617" s="10">
        <f>IF(OR(E617="",F617=""),"",E617*F617+N(G617))</f>
        <v/>
      </c>
      <c r="I617" s="10" t="n"/>
      <c r="J617" s="10">
        <f>IF(H617="","",H617-N(I617))</f>
        <v/>
      </c>
      <c r="K617">
        <f>IF(H617="","",IF(J617&lt;=0,"Paid",IF(I617&gt;0,"Partial","Pending")))</f>
        <v/>
      </c>
    </row>
    <row r="618">
      <c r="B618" s="12" t="n"/>
      <c r="F618" s="10" t="n"/>
      <c r="G618" s="10" t="n"/>
      <c r="H618" s="10">
        <f>IF(OR(E618="",F618=""),"",E618*F618+N(G618))</f>
        <v/>
      </c>
      <c r="I618" s="10" t="n"/>
      <c r="J618" s="10">
        <f>IF(H618="","",H618-N(I618))</f>
        <v/>
      </c>
      <c r="K618">
        <f>IF(H618="","",IF(J618&lt;=0,"Paid",IF(I618&gt;0,"Partial","Pending")))</f>
        <v/>
      </c>
    </row>
    <row r="619">
      <c r="B619" s="12" t="n"/>
      <c r="F619" s="10" t="n"/>
      <c r="G619" s="10" t="n"/>
      <c r="H619" s="10">
        <f>IF(OR(E619="",F619=""),"",E619*F619+N(G619))</f>
        <v/>
      </c>
      <c r="I619" s="10" t="n"/>
      <c r="J619" s="10">
        <f>IF(H619="","",H619-N(I619))</f>
        <v/>
      </c>
      <c r="K619">
        <f>IF(H619="","",IF(J619&lt;=0,"Paid",IF(I619&gt;0,"Partial","Pending")))</f>
        <v/>
      </c>
    </row>
    <row r="620">
      <c r="B620" s="12" t="n"/>
      <c r="F620" s="10" t="n"/>
      <c r="G620" s="10" t="n"/>
      <c r="H620" s="10">
        <f>IF(OR(E620="",F620=""),"",E620*F620+N(G620))</f>
        <v/>
      </c>
      <c r="I620" s="10" t="n"/>
      <c r="J620" s="10">
        <f>IF(H620="","",H620-N(I620))</f>
        <v/>
      </c>
      <c r="K620">
        <f>IF(H620="","",IF(J620&lt;=0,"Paid",IF(I620&gt;0,"Partial","Pending")))</f>
        <v/>
      </c>
    </row>
    <row r="621">
      <c r="B621" s="12" t="n"/>
      <c r="F621" s="10" t="n"/>
      <c r="G621" s="10" t="n"/>
      <c r="H621" s="10">
        <f>IF(OR(E621="",F621=""),"",E621*F621+N(G621))</f>
        <v/>
      </c>
      <c r="I621" s="10" t="n"/>
      <c r="J621" s="10">
        <f>IF(H621="","",H621-N(I621))</f>
        <v/>
      </c>
      <c r="K621">
        <f>IF(H621="","",IF(J621&lt;=0,"Paid",IF(I621&gt;0,"Partial","Pending")))</f>
        <v/>
      </c>
    </row>
    <row r="622">
      <c r="B622" s="12" t="n"/>
      <c r="F622" s="10" t="n"/>
      <c r="G622" s="10" t="n"/>
      <c r="H622" s="10">
        <f>IF(OR(E622="",F622=""),"",E622*F622+N(G622))</f>
        <v/>
      </c>
      <c r="I622" s="10" t="n"/>
      <c r="J622" s="10">
        <f>IF(H622="","",H622-N(I622))</f>
        <v/>
      </c>
      <c r="K622">
        <f>IF(H622="","",IF(J622&lt;=0,"Paid",IF(I622&gt;0,"Partial","Pending")))</f>
        <v/>
      </c>
    </row>
    <row r="623">
      <c r="B623" s="12" t="n"/>
      <c r="F623" s="10" t="n"/>
      <c r="G623" s="10" t="n"/>
      <c r="H623" s="10">
        <f>IF(OR(E623="",F623=""),"",E623*F623+N(G623))</f>
        <v/>
      </c>
      <c r="I623" s="10" t="n"/>
      <c r="J623" s="10">
        <f>IF(H623="","",H623-N(I623))</f>
        <v/>
      </c>
      <c r="K623">
        <f>IF(H623="","",IF(J623&lt;=0,"Paid",IF(I623&gt;0,"Partial","Pending")))</f>
        <v/>
      </c>
    </row>
    <row r="624">
      <c r="B624" s="12" t="n"/>
      <c r="F624" s="10" t="n"/>
      <c r="G624" s="10" t="n"/>
      <c r="H624" s="10">
        <f>IF(OR(E624="",F624=""),"",E624*F624+N(G624))</f>
        <v/>
      </c>
      <c r="I624" s="10" t="n"/>
      <c r="J624" s="10">
        <f>IF(H624="","",H624-N(I624))</f>
        <v/>
      </c>
      <c r="K624">
        <f>IF(H624="","",IF(J624&lt;=0,"Paid",IF(I624&gt;0,"Partial","Pending")))</f>
        <v/>
      </c>
    </row>
    <row r="625">
      <c r="B625" s="12" t="n"/>
      <c r="F625" s="10" t="n"/>
      <c r="G625" s="10" t="n"/>
      <c r="H625" s="10">
        <f>IF(OR(E625="",F625=""),"",E625*F625+N(G625))</f>
        <v/>
      </c>
      <c r="I625" s="10" t="n"/>
      <c r="J625" s="10">
        <f>IF(H625="","",H625-N(I625))</f>
        <v/>
      </c>
      <c r="K625">
        <f>IF(H625="","",IF(J625&lt;=0,"Paid",IF(I625&gt;0,"Partial","Pending")))</f>
        <v/>
      </c>
    </row>
    <row r="626">
      <c r="B626" s="12" t="n"/>
      <c r="F626" s="10" t="n"/>
      <c r="G626" s="10" t="n"/>
      <c r="H626" s="10">
        <f>IF(OR(E626="",F626=""),"",E626*F626+N(G626))</f>
        <v/>
      </c>
      <c r="I626" s="10" t="n"/>
      <c r="J626" s="10">
        <f>IF(H626="","",H626-N(I626))</f>
        <v/>
      </c>
      <c r="K626">
        <f>IF(H626="","",IF(J626&lt;=0,"Paid",IF(I626&gt;0,"Partial","Pending")))</f>
        <v/>
      </c>
    </row>
    <row r="627">
      <c r="B627" s="12" t="n"/>
      <c r="F627" s="10" t="n"/>
      <c r="G627" s="10" t="n"/>
      <c r="H627" s="10">
        <f>IF(OR(E627="",F627=""),"",E627*F627+N(G627))</f>
        <v/>
      </c>
      <c r="I627" s="10" t="n"/>
      <c r="J627" s="10">
        <f>IF(H627="","",H627-N(I627))</f>
        <v/>
      </c>
      <c r="K627">
        <f>IF(H627="","",IF(J627&lt;=0,"Paid",IF(I627&gt;0,"Partial","Pending")))</f>
        <v/>
      </c>
    </row>
    <row r="628">
      <c r="B628" s="12" t="n"/>
      <c r="F628" s="10" t="n"/>
      <c r="G628" s="10" t="n"/>
      <c r="H628" s="10">
        <f>IF(OR(E628="",F628=""),"",E628*F628+N(G628))</f>
        <v/>
      </c>
      <c r="I628" s="10" t="n"/>
      <c r="J628" s="10">
        <f>IF(H628="","",H628-N(I628))</f>
        <v/>
      </c>
      <c r="K628">
        <f>IF(H628="","",IF(J628&lt;=0,"Paid",IF(I628&gt;0,"Partial","Pending")))</f>
        <v/>
      </c>
    </row>
    <row r="629">
      <c r="B629" s="12" t="n"/>
      <c r="F629" s="10" t="n"/>
      <c r="G629" s="10" t="n"/>
      <c r="H629" s="10">
        <f>IF(OR(E629="",F629=""),"",E629*F629+N(G629))</f>
        <v/>
      </c>
      <c r="I629" s="10" t="n"/>
      <c r="J629" s="10">
        <f>IF(H629="","",H629-N(I629))</f>
        <v/>
      </c>
      <c r="K629">
        <f>IF(H629="","",IF(J629&lt;=0,"Paid",IF(I629&gt;0,"Partial","Pending")))</f>
        <v/>
      </c>
    </row>
    <row r="630">
      <c r="B630" s="12" t="n"/>
      <c r="F630" s="10" t="n"/>
      <c r="G630" s="10" t="n"/>
      <c r="H630" s="10">
        <f>IF(OR(E630="",F630=""),"",E630*F630+N(G630))</f>
        <v/>
      </c>
      <c r="I630" s="10" t="n"/>
      <c r="J630" s="10">
        <f>IF(H630="","",H630-N(I630))</f>
        <v/>
      </c>
      <c r="K630">
        <f>IF(H630="","",IF(J630&lt;=0,"Paid",IF(I630&gt;0,"Partial","Pending")))</f>
        <v/>
      </c>
    </row>
    <row r="631">
      <c r="B631" s="12" t="n"/>
      <c r="F631" s="10" t="n"/>
      <c r="G631" s="10" t="n"/>
      <c r="H631" s="10">
        <f>IF(OR(E631="",F631=""),"",E631*F631+N(G631))</f>
        <v/>
      </c>
      <c r="I631" s="10" t="n"/>
      <c r="J631" s="10">
        <f>IF(H631="","",H631-N(I631))</f>
        <v/>
      </c>
      <c r="K631">
        <f>IF(H631="","",IF(J631&lt;=0,"Paid",IF(I631&gt;0,"Partial","Pending")))</f>
        <v/>
      </c>
    </row>
    <row r="632">
      <c r="B632" s="12" t="n"/>
      <c r="F632" s="10" t="n"/>
      <c r="G632" s="10" t="n"/>
      <c r="H632" s="10">
        <f>IF(OR(E632="",F632=""),"",E632*F632+N(G632))</f>
        <v/>
      </c>
      <c r="I632" s="10" t="n"/>
      <c r="J632" s="10">
        <f>IF(H632="","",H632-N(I632))</f>
        <v/>
      </c>
      <c r="K632">
        <f>IF(H632="","",IF(J632&lt;=0,"Paid",IF(I632&gt;0,"Partial","Pending")))</f>
        <v/>
      </c>
    </row>
    <row r="633">
      <c r="B633" s="12" t="n"/>
      <c r="F633" s="10" t="n"/>
      <c r="G633" s="10" t="n"/>
      <c r="H633" s="10">
        <f>IF(OR(E633="",F633=""),"",E633*F633+N(G633))</f>
        <v/>
      </c>
      <c r="I633" s="10" t="n"/>
      <c r="J633" s="10">
        <f>IF(H633="","",H633-N(I633))</f>
        <v/>
      </c>
      <c r="K633">
        <f>IF(H633="","",IF(J633&lt;=0,"Paid",IF(I633&gt;0,"Partial","Pending")))</f>
        <v/>
      </c>
    </row>
    <row r="634">
      <c r="B634" s="12" t="n"/>
      <c r="F634" s="10" t="n"/>
      <c r="G634" s="10" t="n"/>
      <c r="H634" s="10">
        <f>IF(OR(E634="",F634=""),"",E634*F634+N(G634))</f>
        <v/>
      </c>
      <c r="I634" s="10" t="n"/>
      <c r="J634" s="10">
        <f>IF(H634="","",H634-N(I634))</f>
        <v/>
      </c>
      <c r="K634">
        <f>IF(H634="","",IF(J634&lt;=0,"Paid",IF(I634&gt;0,"Partial","Pending")))</f>
        <v/>
      </c>
    </row>
    <row r="635">
      <c r="B635" s="12" t="n"/>
      <c r="F635" s="10" t="n"/>
      <c r="G635" s="10" t="n"/>
      <c r="H635" s="10">
        <f>IF(OR(E635="",F635=""),"",E635*F635+N(G635))</f>
        <v/>
      </c>
      <c r="I635" s="10" t="n"/>
      <c r="J635" s="10">
        <f>IF(H635="","",H635-N(I635))</f>
        <v/>
      </c>
      <c r="K635">
        <f>IF(H635="","",IF(J635&lt;=0,"Paid",IF(I635&gt;0,"Partial","Pending")))</f>
        <v/>
      </c>
    </row>
    <row r="636">
      <c r="B636" s="12" t="n"/>
      <c r="F636" s="10" t="n"/>
      <c r="G636" s="10" t="n"/>
      <c r="H636" s="10">
        <f>IF(OR(E636="",F636=""),"",E636*F636+N(G636))</f>
        <v/>
      </c>
      <c r="I636" s="10" t="n"/>
      <c r="J636" s="10">
        <f>IF(H636="","",H636-N(I636))</f>
        <v/>
      </c>
      <c r="K636">
        <f>IF(H636="","",IF(J636&lt;=0,"Paid",IF(I636&gt;0,"Partial","Pending")))</f>
        <v/>
      </c>
    </row>
    <row r="637">
      <c r="B637" s="12" t="n"/>
      <c r="F637" s="10" t="n"/>
      <c r="G637" s="10" t="n"/>
      <c r="H637" s="10">
        <f>IF(OR(E637="",F637=""),"",E637*F637+N(G637))</f>
        <v/>
      </c>
      <c r="I637" s="10" t="n"/>
      <c r="J637" s="10">
        <f>IF(H637="","",H637-N(I637))</f>
        <v/>
      </c>
      <c r="K637">
        <f>IF(H637="","",IF(J637&lt;=0,"Paid",IF(I637&gt;0,"Partial","Pending")))</f>
        <v/>
      </c>
    </row>
    <row r="638">
      <c r="B638" s="12" t="n"/>
      <c r="F638" s="10" t="n"/>
      <c r="G638" s="10" t="n"/>
      <c r="H638" s="10">
        <f>IF(OR(E638="",F638=""),"",E638*F638+N(G638))</f>
        <v/>
      </c>
      <c r="I638" s="10" t="n"/>
      <c r="J638" s="10">
        <f>IF(H638="","",H638-N(I638))</f>
        <v/>
      </c>
      <c r="K638">
        <f>IF(H638="","",IF(J638&lt;=0,"Paid",IF(I638&gt;0,"Partial","Pending")))</f>
        <v/>
      </c>
    </row>
    <row r="639">
      <c r="B639" s="12" t="n"/>
      <c r="F639" s="10" t="n"/>
      <c r="G639" s="10" t="n"/>
      <c r="H639" s="10">
        <f>IF(OR(E639="",F639=""),"",E639*F639+N(G639))</f>
        <v/>
      </c>
      <c r="I639" s="10" t="n"/>
      <c r="J639" s="10">
        <f>IF(H639="","",H639-N(I639))</f>
        <v/>
      </c>
      <c r="K639">
        <f>IF(H639="","",IF(J639&lt;=0,"Paid",IF(I639&gt;0,"Partial","Pending")))</f>
        <v/>
      </c>
    </row>
    <row r="640">
      <c r="B640" s="12" t="n"/>
      <c r="F640" s="10" t="n"/>
      <c r="G640" s="10" t="n"/>
      <c r="H640" s="10">
        <f>IF(OR(E640="",F640=""),"",E640*F640+N(G640))</f>
        <v/>
      </c>
      <c r="I640" s="10" t="n"/>
      <c r="J640" s="10">
        <f>IF(H640="","",H640-N(I640))</f>
        <v/>
      </c>
      <c r="K640">
        <f>IF(H640="","",IF(J640&lt;=0,"Paid",IF(I640&gt;0,"Partial","Pending")))</f>
        <v/>
      </c>
    </row>
    <row r="641">
      <c r="B641" s="12" t="n"/>
      <c r="F641" s="10" t="n"/>
      <c r="G641" s="10" t="n"/>
      <c r="H641" s="10">
        <f>IF(OR(E641="",F641=""),"",E641*F641+N(G641))</f>
        <v/>
      </c>
      <c r="I641" s="10" t="n"/>
      <c r="J641" s="10">
        <f>IF(H641="","",H641-N(I641))</f>
        <v/>
      </c>
      <c r="K641">
        <f>IF(H641="","",IF(J641&lt;=0,"Paid",IF(I641&gt;0,"Partial","Pending")))</f>
        <v/>
      </c>
    </row>
    <row r="642">
      <c r="B642" s="12" t="n"/>
      <c r="F642" s="10" t="n"/>
      <c r="G642" s="10" t="n"/>
      <c r="H642" s="10">
        <f>IF(OR(E642="",F642=""),"",E642*F642+N(G642))</f>
        <v/>
      </c>
      <c r="I642" s="10" t="n"/>
      <c r="J642" s="10">
        <f>IF(H642="","",H642-N(I642))</f>
        <v/>
      </c>
      <c r="K642">
        <f>IF(H642="","",IF(J642&lt;=0,"Paid",IF(I642&gt;0,"Partial","Pending")))</f>
        <v/>
      </c>
    </row>
    <row r="643">
      <c r="B643" s="12" t="n"/>
      <c r="F643" s="10" t="n"/>
      <c r="G643" s="10" t="n"/>
      <c r="H643" s="10">
        <f>IF(OR(E643="",F643=""),"",E643*F643+N(G643))</f>
        <v/>
      </c>
      <c r="I643" s="10" t="n"/>
      <c r="J643" s="10">
        <f>IF(H643="","",H643-N(I643))</f>
        <v/>
      </c>
      <c r="K643">
        <f>IF(H643="","",IF(J643&lt;=0,"Paid",IF(I643&gt;0,"Partial","Pending")))</f>
        <v/>
      </c>
    </row>
    <row r="644">
      <c r="B644" s="12" t="n"/>
      <c r="F644" s="10" t="n"/>
      <c r="G644" s="10" t="n"/>
      <c r="H644" s="10">
        <f>IF(OR(E644="",F644=""),"",E644*F644+N(G644))</f>
        <v/>
      </c>
      <c r="I644" s="10" t="n"/>
      <c r="J644" s="10">
        <f>IF(H644="","",H644-N(I644))</f>
        <v/>
      </c>
      <c r="K644">
        <f>IF(H644="","",IF(J644&lt;=0,"Paid",IF(I644&gt;0,"Partial","Pending")))</f>
        <v/>
      </c>
    </row>
    <row r="645">
      <c r="B645" s="12" t="n"/>
      <c r="F645" s="10" t="n"/>
      <c r="G645" s="10" t="n"/>
      <c r="H645" s="10">
        <f>IF(OR(E645="",F645=""),"",E645*F645+N(G645))</f>
        <v/>
      </c>
      <c r="I645" s="10" t="n"/>
      <c r="J645" s="10">
        <f>IF(H645="","",H645-N(I645))</f>
        <v/>
      </c>
      <c r="K645">
        <f>IF(H645="","",IF(J645&lt;=0,"Paid",IF(I645&gt;0,"Partial","Pending")))</f>
        <v/>
      </c>
    </row>
    <row r="646">
      <c r="B646" s="12" t="n"/>
      <c r="F646" s="10" t="n"/>
      <c r="G646" s="10" t="n"/>
      <c r="H646" s="10">
        <f>IF(OR(E646="",F646=""),"",E646*F646+N(G646))</f>
        <v/>
      </c>
      <c r="I646" s="10" t="n"/>
      <c r="J646" s="10">
        <f>IF(H646="","",H646-N(I646))</f>
        <v/>
      </c>
      <c r="K646">
        <f>IF(H646="","",IF(J646&lt;=0,"Paid",IF(I646&gt;0,"Partial","Pending")))</f>
        <v/>
      </c>
    </row>
    <row r="647">
      <c r="B647" s="12" t="n"/>
      <c r="F647" s="10" t="n"/>
      <c r="G647" s="10" t="n"/>
      <c r="H647" s="10">
        <f>IF(OR(E647="",F647=""),"",E647*F647+N(G647))</f>
        <v/>
      </c>
      <c r="I647" s="10" t="n"/>
      <c r="J647" s="10">
        <f>IF(H647="","",H647-N(I647))</f>
        <v/>
      </c>
      <c r="K647">
        <f>IF(H647="","",IF(J647&lt;=0,"Paid",IF(I647&gt;0,"Partial","Pending")))</f>
        <v/>
      </c>
    </row>
    <row r="648">
      <c r="B648" s="12" t="n"/>
      <c r="F648" s="10" t="n"/>
      <c r="G648" s="10" t="n"/>
      <c r="H648" s="10">
        <f>IF(OR(E648="",F648=""),"",E648*F648+N(G648))</f>
        <v/>
      </c>
      <c r="I648" s="10" t="n"/>
      <c r="J648" s="10">
        <f>IF(H648="","",H648-N(I648))</f>
        <v/>
      </c>
      <c r="K648">
        <f>IF(H648="","",IF(J648&lt;=0,"Paid",IF(I648&gt;0,"Partial","Pending")))</f>
        <v/>
      </c>
    </row>
    <row r="649">
      <c r="B649" s="12" t="n"/>
      <c r="F649" s="10" t="n"/>
      <c r="G649" s="10" t="n"/>
      <c r="H649" s="10">
        <f>IF(OR(E649="",F649=""),"",E649*F649+N(G649))</f>
        <v/>
      </c>
      <c r="I649" s="10" t="n"/>
      <c r="J649" s="10">
        <f>IF(H649="","",H649-N(I649))</f>
        <v/>
      </c>
      <c r="K649">
        <f>IF(H649="","",IF(J649&lt;=0,"Paid",IF(I649&gt;0,"Partial","Pending")))</f>
        <v/>
      </c>
    </row>
    <row r="650">
      <c r="B650" s="12" t="n"/>
      <c r="F650" s="10" t="n"/>
      <c r="G650" s="10" t="n"/>
      <c r="H650" s="10">
        <f>IF(OR(E650="",F650=""),"",E650*F650+N(G650))</f>
        <v/>
      </c>
      <c r="I650" s="10" t="n"/>
      <c r="J650" s="10">
        <f>IF(H650="","",H650-N(I650))</f>
        <v/>
      </c>
      <c r="K650">
        <f>IF(H650="","",IF(J650&lt;=0,"Paid",IF(I650&gt;0,"Partial","Pending")))</f>
        <v/>
      </c>
    </row>
    <row r="651">
      <c r="B651" s="12" t="n"/>
      <c r="F651" s="10" t="n"/>
      <c r="G651" s="10" t="n"/>
      <c r="H651" s="10">
        <f>IF(OR(E651="",F651=""),"",E651*F651+N(G651))</f>
        <v/>
      </c>
      <c r="I651" s="10" t="n"/>
      <c r="J651" s="10">
        <f>IF(H651="","",H651-N(I651))</f>
        <v/>
      </c>
      <c r="K651">
        <f>IF(H651="","",IF(J651&lt;=0,"Paid",IF(I651&gt;0,"Partial","Pending")))</f>
        <v/>
      </c>
    </row>
    <row r="652">
      <c r="B652" s="12" t="n"/>
      <c r="F652" s="10" t="n"/>
      <c r="G652" s="10" t="n"/>
      <c r="H652" s="10">
        <f>IF(OR(E652="",F652=""),"",E652*F652+N(G652))</f>
        <v/>
      </c>
      <c r="I652" s="10" t="n"/>
      <c r="J652" s="10">
        <f>IF(H652="","",H652-N(I652))</f>
        <v/>
      </c>
      <c r="K652">
        <f>IF(H652="","",IF(J652&lt;=0,"Paid",IF(I652&gt;0,"Partial","Pending")))</f>
        <v/>
      </c>
    </row>
    <row r="653">
      <c r="B653" s="12" t="n"/>
      <c r="F653" s="10" t="n"/>
      <c r="G653" s="10" t="n"/>
      <c r="H653" s="10">
        <f>IF(OR(E653="",F653=""),"",E653*F653+N(G653))</f>
        <v/>
      </c>
      <c r="I653" s="10" t="n"/>
      <c r="J653" s="10">
        <f>IF(H653="","",H653-N(I653))</f>
        <v/>
      </c>
      <c r="K653">
        <f>IF(H653="","",IF(J653&lt;=0,"Paid",IF(I653&gt;0,"Partial","Pending")))</f>
        <v/>
      </c>
    </row>
    <row r="654">
      <c r="B654" s="12" t="n"/>
      <c r="F654" s="10" t="n"/>
      <c r="G654" s="10" t="n"/>
      <c r="H654" s="10">
        <f>IF(OR(E654="",F654=""),"",E654*F654+N(G654))</f>
        <v/>
      </c>
      <c r="I654" s="10" t="n"/>
      <c r="J654" s="10">
        <f>IF(H654="","",H654-N(I654))</f>
        <v/>
      </c>
      <c r="K654">
        <f>IF(H654="","",IF(J654&lt;=0,"Paid",IF(I654&gt;0,"Partial","Pending")))</f>
        <v/>
      </c>
    </row>
    <row r="655">
      <c r="B655" s="12" t="n"/>
      <c r="F655" s="10" t="n"/>
      <c r="G655" s="10" t="n"/>
      <c r="H655" s="10">
        <f>IF(OR(E655="",F655=""),"",E655*F655+N(G655))</f>
        <v/>
      </c>
      <c r="I655" s="10" t="n"/>
      <c r="J655" s="10">
        <f>IF(H655="","",H655-N(I655))</f>
        <v/>
      </c>
      <c r="K655">
        <f>IF(H655="","",IF(J655&lt;=0,"Paid",IF(I655&gt;0,"Partial","Pending")))</f>
        <v/>
      </c>
    </row>
    <row r="656">
      <c r="B656" s="12" t="n"/>
      <c r="F656" s="10" t="n"/>
      <c r="G656" s="10" t="n"/>
      <c r="H656" s="10">
        <f>IF(OR(E656="",F656=""),"",E656*F656+N(G656))</f>
        <v/>
      </c>
      <c r="I656" s="10" t="n"/>
      <c r="J656" s="10">
        <f>IF(H656="","",H656-N(I656))</f>
        <v/>
      </c>
      <c r="K656">
        <f>IF(H656="","",IF(J656&lt;=0,"Paid",IF(I656&gt;0,"Partial","Pending")))</f>
        <v/>
      </c>
    </row>
    <row r="657">
      <c r="B657" s="12" t="n"/>
      <c r="F657" s="10" t="n"/>
      <c r="G657" s="10" t="n"/>
      <c r="H657" s="10">
        <f>IF(OR(E657="",F657=""),"",E657*F657+N(G657))</f>
        <v/>
      </c>
      <c r="I657" s="10" t="n"/>
      <c r="J657" s="10">
        <f>IF(H657="","",H657-N(I657))</f>
        <v/>
      </c>
      <c r="K657">
        <f>IF(H657="","",IF(J657&lt;=0,"Paid",IF(I657&gt;0,"Partial","Pending")))</f>
        <v/>
      </c>
    </row>
    <row r="658">
      <c r="B658" s="12" t="n"/>
      <c r="F658" s="10" t="n"/>
      <c r="G658" s="10" t="n"/>
      <c r="H658" s="10">
        <f>IF(OR(E658="",F658=""),"",E658*F658+N(G658))</f>
        <v/>
      </c>
      <c r="I658" s="10" t="n"/>
      <c r="J658" s="10">
        <f>IF(H658="","",H658-N(I658))</f>
        <v/>
      </c>
      <c r="K658">
        <f>IF(H658="","",IF(J658&lt;=0,"Paid",IF(I658&gt;0,"Partial","Pending")))</f>
        <v/>
      </c>
    </row>
    <row r="659">
      <c r="B659" s="12" t="n"/>
      <c r="F659" s="10" t="n"/>
      <c r="G659" s="10" t="n"/>
      <c r="H659" s="10">
        <f>IF(OR(E659="",F659=""),"",E659*F659+N(G659))</f>
        <v/>
      </c>
      <c r="I659" s="10" t="n"/>
      <c r="J659" s="10">
        <f>IF(H659="","",H659-N(I659))</f>
        <v/>
      </c>
      <c r="K659">
        <f>IF(H659="","",IF(J659&lt;=0,"Paid",IF(I659&gt;0,"Partial","Pending")))</f>
        <v/>
      </c>
    </row>
    <row r="660">
      <c r="B660" s="12" t="n"/>
      <c r="F660" s="10" t="n"/>
      <c r="G660" s="10" t="n"/>
      <c r="H660" s="10">
        <f>IF(OR(E660="",F660=""),"",E660*F660+N(G660))</f>
        <v/>
      </c>
      <c r="I660" s="10" t="n"/>
      <c r="J660" s="10">
        <f>IF(H660="","",H660-N(I660))</f>
        <v/>
      </c>
      <c r="K660">
        <f>IF(H660="","",IF(J660&lt;=0,"Paid",IF(I660&gt;0,"Partial","Pending")))</f>
        <v/>
      </c>
    </row>
    <row r="661">
      <c r="B661" s="12" t="n"/>
      <c r="F661" s="10" t="n"/>
      <c r="G661" s="10" t="n"/>
      <c r="H661" s="10">
        <f>IF(OR(E661="",F661=""),"",E661*F661+N(G661))</f>
        <v/>
      </c>
      <c r="I661" s="10" t="n"/>
      <c r="J661" s="10">
        <f>IF(H661="","",H661-N(I661))</f>
        <v/>
      </c>
      <c r="K661">
        <f>IF(H661="","",IF(J661&lt;=0,"Paid",IF(I661&gt;0,"Partial","Pending")))</f>
        <v/>
      </c>
    </row>
    <row r="662">
      <c r="B662" s="12" t="n"/>
      <c r="F662" s="10" t="n"/>
      <c r="G662" s="10" t="n"/>
      <c r="H662" s="10">
        <f>IF(OR(E662="",F662=""),"",E662*F662+N(G662))</f>
        <v/>
      </c>
      <c r="I662" s="10" t="n"/>
      <c r="J662" s="10">
        <f>IF(H662="","",H662-N(I662))</f>
        <v/>
      </c>
      <c r="K662">
        <f>IF(H662="","",IF(J662&lt;=0,"Paid",IF(I662&gt;0,"Partial","Pending")))</f>
        <v/>
      </c>
    </row>
    <row r="663">
      <c r="B663" s="12" t="n"/>
      <c r="F663" s="10" t="n"/>
      <c r="G663" s="10" t="n"/>
      <c r="H663" s="10">
        <f>IF(OR(E663="",F663=""),"",E663*F663+N(G663))</f>
        <v/>
      </c>
      <c r="I663" s="10" t="n"/>
      <c r="J663" s="10">
        <f>IF(H663="","",H663-N(I663))</f>
        <v/>
      </c>
      <c r="K663">
        <f>IF(H663="","",IF(J663&lt;=0,"Paid",IF(I663&gt;0,"Partial","Pending")))</f>
        <v/>
      </c>
    </row>
    <row r="664">
      <c r="B664" s="12" t="n"/>
      <c r="F664" s="10" t="n"/>
      <c r="G664" s="10" t="n"/>
      <c r="H664" s="10">
        <f>IF(OR(E664="",F664=""),"",E664*F664+N(G664))</f>
        <v/>
      </c>
      <c r="I664" s="10" t="n"/>
      <c r="J664" s="10">
        <f>IF(H664="","",H664-N(I664))</f>
        <v/>
      </c>
      <c r="K664">
        <f>IF(H664="","",IF(J664&lt;=0,"Paid",IF(I664&gt;0,"Partial","Pending")))</f>
        <v/>
      </c>
    </row>
    <row r="665">
      <c r="B665" s="12" t="n"/>
      <c r="F665" s="10" t="n"/>
      <c r="G665" s="10" t="n"/>
      <c r="H665" s="10">
        <f>IF(OR(E665="",F665=""),"",E665*F665+N(G665))</f>
        <v/>
      </c>
      <c r="I665" s="10" t="n"/>
      <c r="J665" s="10">
        <f>IF(H665="","",H665-N(I665))</f>
        <v/>
      </c>
      <c r="K665">
        <f>IF(H665="","",IF(J665&lt;=0,"Paid",IF(I665&gt;0,"Partial","Pending")))</f>
        <v/>
      </c>
    </row>
    <row r="666">
      <c r="B666" s="12" t="n"/>
      <c r="F666" s="10" t="n"/>
      <c r="G666" s="10" t="n"/>
      <c r="H666" s="10">
        <f>IF(OR(E666="",F666=""),"",E666*F666+N(G666))</f>
        <v/>
      </c>
      <c r="I666" s="10" t="n"/>
      <c r="J666" s="10">
        <f>IF(H666="","",H666-N(I666))</f>
        <v/>
      </c>
      <c r="K666">
        <f>IF(H666="","",IF(J666&lt;=0,"Paid",IF(I666&gt;0,"Partial","Pending")))</f>
        <v/>
      </c>
    </row>
    <row r="667">
      <c r="B667" s="12" t="n"/>
      <c r="F667" s="10" t="n"/>
      <c r="G667" s="10" t="n"/>
      <c r="H667" s="10">
        <f>IF(OR(E667="",F667=""),"",E667*F667+N(G667))</f>
        <v/>
      </c>
      <c r="I667" s="10" t="n"/>
      <c r="J667" s="10">
        <f>IF(H667="","",H667-N(I667))</f>
        <v/>
      </c>
      <c r="K667">
        <f>IF(H667="","",IF(J667&lt;=0,"Paid",IF(I667&gt;0,"Partial","Pending")))</f>
        <v/>
      </c>
    </row>
    <row r="668">
      <c r="B668" s="12" t="n"/>
      <c r="F668" s="10" t="n"/>
      <c r="G668" s="10" t="n"/>
      <c r="H668" s="10">
        <f>IF(OR(E668="",F668=""),"",E668*F668+N(G668))</f>
        <v/>
      </c>
      <c r="I668" s="10" t="n"/>
      <c r="J668" s="10">
        <f>IF(H668="","",H668-N(I668))</f>
        <v/>
      </c>
      <c r="K668">
        <f>IF(H668="","",IF(J668&lt;=0,"Paid",IF(I668&gt;0,"Partial","Pending")))</f>
        <v/>
      </c>
    </row>
    <row r="669">
      <c r="B669" s="12" t="n"/>
      <c r="F669" s="10" t="n"/>
      <c r="G669" s="10" t="n"/>
      <c r="H669" s="10">
        <f>IF(OR(E669="",F669=""),"",E669*F669+N(G669))</f>
        <v/>
      </c>
      <c r="I669" s="10" t="n"/>
      <c r="J669" s="10">
        <f>IF(H669="","",H669-N(I669))</f>
        <v/>
      </c>
      <c r="K669">
        <f>IF(H669="","",IF(J669&lt;=0,"Paid",IF(I669&gt;0,"Partial","Pending")))</f>
        <v/>
      </c>
    </row>
    <row r="670">
      <c r="B670" s="12" t="n"/>
      <c r="F670" s="10" t="n"/>
      <c r="G670" s="10" t="n"/>
      <c r="H670" s="10">
        <f>IF(OR(E670="",F670=""),"",E670*F670+N(G670))</f>
        <v/>
      </c>
      <c r="I670" s="10" t="n"/>
      <c r="J670" s="10">
        <f>IF(H670="","",H670-N(I670))</f>
        <v/>
      </c>
      <c r="K670">
        <f>IF(H670="","",IF(J670&lt;=0,"Paid",IF(I670&gt;0,"Partial","Pending")))</f>
        <v/>
      </c>
    </row>
    <row r="671">
      <c r="B671" s="12" t="n"/>
      <c r="F671" s="10" t="n"/>
      <c r="G671" s="10" t="n"/>
      <c r="H671" s="10">
        <f>IF(OR(E671="",F671=""),"",E671*F671+N(G671))</f>
        <v/>
      </c>
      <c r="I671" s="10" t="n"/>
      <c r="J671" s="10">
        <f>IF(H671="","",H671-N(I671))</f>
        <v/>
      </c>
      <c r="K671">
        <f>IF(H671="","",IF(J671&lt;=0,"Paid",IF(I671&gt;0,"Partial","Pending")))</f>
        <v/>
      </c>
    </row>
    <row r="672">
      <c r="B672" s="12" t="n"/>
      <c r="F672" s="10" t="n"/>
      <c r="G672" s="10" t="n"/>
      <c r="H672" s="10">
        <f>IF(OR(E672="",F672=""),"",E672*F672+N(G672))</f>
        <v/>
      </c>
      <c r="I672" s="10" t="n"/>
      <c r="J672" s="10">
        <f>IF(H672="","",H672-N(I672))</f>
        <v/>
      </c>
      <c r="K672">
        <f>IF(H672="","",IF(J672&lt;=0,"Paid",IF(I672&gt;0,"Partial","Pending")))</f>
        <v/>
      </c>
    </row>
    <row r="673">
      <c r="B673" s="12" t="n"/>
      <c r="F673" s="10" t="n"/>
      <c r="G673" s="10" t="n"/>
      <c r="H673" s="10">
        <f>IF(OR(E673="",F673=""),"",E673*F673+N(G673))</f>
        <v/>
      </c>
      <c r="I673" s="10" t="n"/>
      <c r="J673" s="10">
        <f>IF(H673="","",H673-N(I673))</f>
        <v/>
      </c>
      <c r="K673">
        <f>IF(H673="","",IF(J673&lt;=0,"Paid",IF(I673&gt;0,"Partial","Pending")))</f>
        <v/>
      </c>
    </row>
    <row r="674">
      <c r="B674" s="12" t="n"/>
      <c r="F674" s="10" t="n"/>
      <c r="G674" s="10" t="n"/>
      <c r="H674" s="10">
        <f>IF(OR(E674="",F674=""),"",E674*F674+N(G674))</f>
        <v/>
      </c>
      <c r="I674" s="10" t="n"/>
      <c r="J674" s="10">
        <f>IF(H674="","",H674-N(I674))</f>
        <v/>
      </c>
      <c r="K674">
        <f>IF(H674="","",IF(J674&lt;=0,"Paid",IF(I674&gt;0,"Partial","Pending")))</f>
        <v/>
      </c>
    </row>
    <row r="675">
      <c r="B675" s="12" t="n"/>
      <c r="F675" s="10" t="n"/>
      <c r="G675" s="10" t="n"/>
      <c r="H675" s="10">
        <f>IF(OR(E675="",F675=""),"",E675*F675+N(G675))</f>
        <v/>
      </c>
      <c r="I675" s="10" t="n"/>
      <c r="J675" s="10">
        <f>IF(H675="","",H675-N(I675))</f>
        <v/>
      </c>
      <c r="K675">
        <f>IF(H675="","",IF(J675&lt;=0,"Paid",IF(I675&gt;0,"Partial","Pending")))</f>
        <v/>
      </c>
    </row>
    <row r="676">
      <c r="B676" s="12" t="n"/>
      <c r="F676" s="10" t="n"/>
      <c r="G676" s="10" t="n"/>
      <c r="H676" s="10">
        <f>IF(OR(E676="",F676=""),"",E676*F676+N(G676))</f>
        <v/>
      </c>
      <c r="I676" s="10" t="n"/>
      <c r="J676" s="10">
        <f>IF(H676="","",H676-N(I676))</f>
        <v/>
      </c>
      <c r="K676">
        <f>IF(H676="","",IF(J676&lt;=0,"Paid",IF(I676&gt;0,"Partial","Pending")))</f>
        <v/>
      </c>
    </row>
    <row r="677">
      <c r="B677" s="12" t="n"/>
      <c r="F677" s="10" t="n"/>
      <c r="G677" s="10" t="n"/>
      <c r="H677" s="10">
        <f>IF(OR(E677="",F677=""),"",E677*F677+N(G677))</f>
        <v/>
      </c>
      <c r="I677" s="10" t="n"/>
      <c r="J677" s="10">
        <f>IF(H677="","",H677-N(I677))</f>
        <v/>
      </c>
      <c r="K677">
        <f>IF(H677="","",IF(J677&lt;=0,"Paid",IF(I677&gt;0,"Partial","Pending")))</f>
        <v/>
      </c>
    </row>
    <row r="678">
      <c r="B678" s="12" t="n"/>
      <c r="F678" s="10" t="n"/>
      <c r="G678" s="10" t="n"/>
      <c r="H678" s="10">
        <f>IF(OR(E678="",F678=""),"",E678*F678+N(G678))</f>
        <v/>
      </c>
      <c r="I678" s="10" t="n"/>
      <c r="J678" s="10">
        <f>IF(H678="","",H678-N(I678))</f>
        <v/>
      </c>
      <c r="K678">
        <f>IF(H678="","",IF(J678&lt;=0,"Paid",IF(I678&gt;0,"Partial","Pending")))</f>
        <v/>
      </c>
    </row>
    <row r="679">
      <c r="B679" s="12" t="n"/>
      <c r="F679" s="10" t="n"/>
      <c r="G679" s="10" t="n"/>
      <c r="H679" s="10">
        <f>IF(OR(E679="",F679=""),"",E679*F679+N(G679))</f>
        <v/>
      </c>
      <c r="I679" s="10" t="n"/>
      <c r="J679" s="10">
        <f>IF(H679="","",H679-N(I679))</f>
        <v/>
      </c>
      <c r="K679">
        <f>IF(H679="","",IF(J679&lt;=0,"Paid",IF(I679&gt;0,"Partial","Pending")))</f>
        <v/>
      </c>
    </row>
    <row r="680">
      <c r="B680" s="12" t="n"/>
      <c r="F680" s="10" t="n"/>
      <c r="G680" s="10" t="n"/>
      <c r="H680" s="10">
        <f>IF(OR(E680="",F680=""),"",E680*F680+N(G680))</f>
        <v/>
      </c>
      <c r="I680" s="10" t="n"/>
      <c r="J680" s="10">
        <f>IF(H680="","",H680-N(I680))</f>
        <v/>
      </c>
      <c r="K680">
        <f>IF(H680="","",IF(J680&lt;=0,"Paid",IF(I680&gt;0,"Partial","Pending")))</f>
        <v/>
      </c>
    </row>
    <row r="681">
      <c r="B681" s="12" t="n"/>
      <c r="F681" s="10" t="n"/>
      <c r="G681" s="10" t="n"/>
      <c r="H681" s="10">
        <f>IF(OR(E681="",F681=""),"",E681*F681+N(G681))</f>
        <v/>
      </c>
      <c r="I681" s="10" t="n"/>
      <c r="J681" s="10">
        <f>IF(H681="","",H681-N(I681))</f>
        <v/>
      </c>
      <c r="K681">
        <f>IF(H681="","",IF(J681&lt;=0,"Paid",IF(I681&gt;0,"Partial","Pending")))</f>
        <v/>
      </c>
    </row>
    <row r="682">
      <c r="B682" s="12" t="n"/>
      <c r="F682" s="10" t="n"/>
      <c r="G682" s="10" t="n"/>
      <c r="H682" s="10">
        <f>IF(OR(E682="",F682=""),"",E682*F682+N(G682))</f>
        <v/>
      </c>
      <c r="I682" s="10" t="n"/>
      <c r="J682" s="10">
        <f>IF(H682="","",H682-N(I682))</f>
        <v/>
      </c>
      <c r="K682">
        <f>IF(H682="","",IF(J682&lt;=0,"Paid",IF(I682&gt;0,"Partial","Pending")))</f>
        <v/>
      </c>
    </row>
    <row r="683">
      <c r="B683" s="12" t="n"/>
      <c r="F683" s="10" t="n"/>
      <c r="G683" s="10" t="n"/>
      <c r="H683" s="10">
        <f>IF(OR(E683="",F683=""),"",E683*F683+N(G683))</f>
        <v/>
      </c>
      <c r="I683" s="10" t="n"/>
      <c r="J683" s="10">
        <f>IF(H683="","",H683-N(I683))</f>
        <v/>
      </c>
      <c r="K683">
        <f>IF(H683="","",IF(J683&lt;=0,"Paid",IF(I683&gt;0,"Partial","Pending")))</f>
        <v/>
      </c>
    </row>
    <row r="684">
      <c r="B684" s="12" t="n"/>
      <c r="F684" s="10" t="n"/>
      <c r="G684" s="10" t="n"/>
      <c r="H684" s="10">
        <f>IF(OR(E684="",F684=""),"",E684*F684+N(G684))</f>
        <v/>
      </c>
      <c r="I684" s="10" t="n"/>
      <c r="J684" s="10">
        <f>IF(H684="","",H684-N(I684))</f>
        <v/>
      </c>
      <c r="K684">
        <f>IF(H684="","",IF(J684&lt;=0,"Paid",IF(I684&gt;0,"Partial","Pending")))</f>
        <v/>
      </c>
    </row>
    <row r="685">
      <c r="B685" s="12" t="n"/>
      <c r="F685" s="10" t="n"/>
      <c r="G685" s="10" t="n"/>
      <c r="H685" s="10">
        <f>IF(OR(E685="",F685=""),"",E685*F685+N(G685))</f>
        <v/>
      </c>
      <c r="I685" s="10" t="n"/>
      <c r="J685" s="10">
        <f>IF(H685="","",H685-N(I685))</f>
        <v/>
      </c>
      <c r="K685">
        <f>IF(H685="","",IF(J685&lt;=0,"Paid",IF(I685&gt;0,"Partial","Pending")))</f>
        <v/>
      </c>
    </row>
    <row r="686">
      <c r="B686" s="12" t="n"/>
      <c r="F686" s="10" t="n"/>
      <c r="G686" s="10" t="n"/>
      <c r="H686" s="10">
        <f>IF(OR(E686="",F686=""),"",E686*F686+N(G686))</f>
        <v/>
      </c>
      <c r="I686" s="10" t="n"/>
      <c r="J686" s="10">
        <f>IF(H686="","",H686-N(I686))</f>
        <v/>
      </c>
      <c r="K686">
        <f>IF(H686="","",IF(J686&lt;=0,"Paid",IF(I686&gt;0,"Partial","Pending")))</f>
        <v/>
      </c>
    </row>
    <row r="687">
      <c r="B687" s="12" t="n"/>
      <c r="F687" s="10" t="n"/>
      <c r="G687" s="10" t="n"/>
      <c r="H687" s="10">
        <f>IF(OR(E687="",F687=""),"",E687*F687+N(G687))</f>
        <v/>
      </c>
      <c r="I687" s="10" t="n"/>
      <c r="J687" s="10">
        <f>IF(H687="","",H687-N(I687))</f>
        <v/>
      </c>
      <c r="K687">
        <f>IF(H687="","",IF(J687&lt;=0,"Paid",IF(I687&gt;0,"Partial","Pending")))</f>
        <v/>
      </c>
    </row>
    <row r="688">
      <c r="B688" s="12" t="n"/>
      <c r="F688" s="10" t="n"/>
      <c r="G688" s="10" t="n"/>
      <c r="H688" s="10">
        <f>IF(OR(E688="",F688=""),"",E688*F688+N(G688))</f>
        <v/>
      </c>
      <c r="I688" s="10" t="n"/>
      <c r="J688" s="10">
        <f>IF(H688="","",H688-N(I688))</f>
        <v/>
      </c>
      <c r="K688">
        <f>IF(H688="","",IF(J688&lt;=0,"Paid",IF(I688&gt;0,"Partial","Pending")))</f>
        <v/>
      </c>
    </row>
    <row r="689">
      <c r="B689" s="12" t="n"/>
      <c r="F689" s="10" t="n"/>
      <c r="G689" s="10" t="n"/>
      <c r="H689" s="10">
        <f>IF(OR(E689="",F689=""),"",E689*F689+N(G689))</f>
        <v/>
      </c>
      <c r="I689" s="10" t="n"/>
      <c r="J689" s="10">
        <f>IF(H689="","",H689-N(I689))</f>
        <v/>
      </c>
      <c r="K689">
        <f>IF(H689="","",IF(J689&lt;=0,"Paid",IF(I689&gt;0,"Partial","Pending")))</f>
        <v/>
      </c>
    </row>
    <row r="690">
      <c r="B690" s="12" t="n"/>
      <c r="F690" s="10" t="n"/>
      <c r="G690" s="10" t="n"/>
      <c r="H690" s="10">
        <f>IF(OR(E690="",F690=""),"",E690*F690+N(G690))</f>
        <v/>
      </c>
      <c r="I690" s="10" t="n"/>
      <c r="J690" s="10">
        <f>IF(H690="","",H690-N(I690))</f>
        <v/>
      </c>
      <c r="K690">
        <f>IF(H690="","",IF(J690&lt;=0,"Paid",IF(I690&gt;0,"Partial","Pending")))</f>
        <v/>
      </c>
    </row>
    <row r="691">
      <c r="B691" s="12" t="n"/>
      <c r="F691" s="10" t="n"/>
      <c r="G691" s="10" t="n"/>
      <c r="H691" s="10">
        <f>IF(OR(E691="",F691=""),"",E691*F691+N(G691))</f>
        <v/>
      </c>
      <c r="I691" s="10" t="n"/>
      <c r="J691" s="10">
        <f>IF(H691="","",H691-N(I691))</f>
        <v/>
      </c>
      <c r="K691">
        <f>IF(H691="","",IF(J691&lt;=0,"Paid",IF(I691&gt;0,"Partial","Pending")))</f>
        <v/>
      </c>
    </row>
    <row r="692">
      <c r="B692" s="12" t="n"/>
      <c r="F692" s="10" t="n"/>
      <c r="G692" s="10" t="n"/>
      <c r="H692" s="10">
        <f>IF(OR(E692="",F692=""),"",E692*F692+N(G692))</f>
        <v/>
      </c>
      <c r="I692" s="10" t="n"/>
      <c r="J692" s="10">
        <f>IF(H692="","",H692-N(I692))</f>
        <v/>
      </c>
      <c r="K692">
        <f>IF(H692="","",IF(J692&lt;=0,"Paid",IF(I692&gt;0,"Partial","Pending")))</f>
        <v/>
      </c>
    </row>
    <row r="693">
      <c r="B693" s="12" t="n"/>
      <c r="F693" s="10" t="n"/>
      <c r="G693" s="10" t="n"/>
      <c r="H693" s="10">
        <f>IF(OR(E693="",F693=""),"",E693*F693+N(G693))</f>
        <v/>
      </c>
      <c r="I693" s="10" t="n"/>
      <c r="J693" s="10">
        <f>IF(H693="","",H693-N(I693))</f>
        <v/>
      </c>
      <c r="K693">
        <f>IF(H693="","",IF(J693&lt;=0,"Paid",IF(I693&gt;0,"Partial","Pending")))</f>
        <v/>
      </c>
    </row>
    <row r="694">
      <c r="B694" s="12" t="n"/>
      <c r="F694" s="10" t="n"/>
      <c r="G694" s="10" t="n"/>
      <c r="H694" s="10">
        <f>IF(OR(E694="",F694=""),"",E694*F694+N(G694))</f>
        <v/>
      </c>
      <c r="I694" s="10" t="n"/>
      <c r="J694" s="10">
        <f>IF(H694="","",H694-N(I694))</f>
        <v/>
      </c>
      <c r="K694">
        <f>IF(H694="","",IF(J694&lt;=0,"Paid",IF(I694&gt;0,"Partial","Pending")))</f>
        <v/>
      </c>
    </row>
    <row r="695">
      <c r="B695" s="12" t="n"/>
      <c r="F695" s="10" t="n"/>
      <c r="G695" s="10" t="n"/>
      <c r="H695" s="10">
        <f>IF(OR(E695="",F695=""),"",E695*F695+N(G695))</f>
        <v/>
      </c>
      <c r="I695" s="10" t="n"/>
      <c r="J695" s="10">
        <f>IF(H695="","",H695-N(I695))</f>
        <v/>
      </c>
      <c r="K695">
        <f>IF(H695="","",IF(J695&lt;=0,"Paid",IF(I695&gt;0,"Partial","Pending")))</f>
        <v/>
      </c>
    </row>
    <row r="696">
      <c r="B696" s="12" t="n"/>
      <c r="F696" s="10" t="n"/>
      <c r="G696" s="10" t="n"/>
      <c r="H696" s="10">
        <f>IF(OR(E696="",F696=""),"",E696*F696+N(G696))</f>
        <v/>
      </c>
      <c r="I696" s="10" t="n"/>
      <c r="J696" s="10">
        <f>IF(H696="","",H696-N(I696))</f>
        <v/>
      </c>
      <c r="K696">
        <f>IF(H696="","",IF(J696&lt;=0,"Paid",IF(I696&gt;0,"Partial","Pending")))</f>
        <v/>
      </c>
    </row>
    <row r="697">
      <c r="B697" s="12" t="n"/>
      <c r="F697" s="10" t="n"/>
      <c r="G697" s="10" t="n"/>
      <c r="H697" s="10">
        <f>IF(OR(E697="",F697=""),"",E697*F697+N(G697))</f>
        <v/>
      </c>
      <c r="I697" s="10" t="n"/>
      <c r="J697" s="10">
        <f>IF(H697="","",H697-N(I697))</f>
        <v/>
      </c>
      <c r="K697">
        <f>IF(H697="","",IF(J697&lt;=0,"Paid",IF(I697&gt;0,"Partial","Pending")))</f>
        <v/>
      </c>
    </row>
    <row r="698">
      <c r="B698" s="12" t="n"/>
      <c r="F698" s="10" t="n"/>
      <c r="G698" s="10" t="n"/>
      <c r="H698" s="10">
        <f>IF(OR(E698="",F698=""),"",E698*F698+N(G698))</f>
        <v/>
      </c>
      <c r="I698" s="10" t="n"/>
      <c r="J698" s="10">
        <f>IF(H698="","",H698-N(I698))</f>
        <v/>
      </c>
      <c r="K698">
        <f>IF(H698="","",IF(J698&lt;=0,"Paid",IF(I698&gt;0,"Partial","Pending")))</f>
        <v/>
      </c>
    </row>
    <row r="699">
      <c r="B699" s="12" t="n"/>
      <c r="F699" s="10" t="n"/>
      <c r="G699" s="10" t="n"/>
      <c r="H699" s="10">
        <f>IF(OR(E699="",F699=""),"",E699*F699+N(G699))</f>
        <v/>
      </c>
      <c r="I699" s="10" t="n"/>
      <c r="J699" s="10">
        <f>IF(H699="","",H699-N(I699))</f>
        <v/>
      </c>
      <c r="K699">
        <f>IF(H699="","",IF(J699&lt;=0,"Paid",IF(I699&gt;0,"Partial","Pending")))</f>
        <v/>
      </c>
    </row>
    <row r="700">
      <c r="B700" s="12" t="n"/>
      <c r="F700" s="10" t="n"/>
      <c r="G700" s="10" t="n"/>
      <c r="H700" s="10">
        <f>IF(OR(E700="",F700=""),"",E700*F700+N(G700))</f>
        <v/>
      </c>
      <c r="I700" s="10" t="n"/>
      <c r="J700" s="10">
        <f>IF(H700="","",H700-N(I700))</f>
        <v/>
      </c>
      <c r="K700">
        <f>IF(H700="","",IF(J700&lt;=0,"Paid",IF(I700&gt;0,"Partial","Pending")))</f>
        <v/>
      </c>
    </row>
    <row r="701">
      <c r="B701" s="12" t="n"/>
      <c r="F701" s="10" t="n"/>
      <c r="G701" s="10" t="n"/>
      <c r="H701" s="10">
        <f>IF(OR(E701="",F701=""),"",E701*F701+N(G701))</f>
        <v/>
      </c>
      <c r="I701" s="10" t="n"/>
      <c r="J701" s="10">
        <f>IF(H701="","",H701-N(I701))</f>
        <v/>
      </c>
      <c r="K701">
        <f>IF(H701="","",IF(J701&lt;=0,"Paid",IF(I701&gt;0,"Partial","Pending")))</f>
        <v/>
      </c>
    </row>
    <row r="702">
      <c r="B702" s="12" t="n"/>
      <c r="F702" s="10" t="n"/>
      <c r="G702" s="10" t="n"/>
      <c r="H702" s="10">
        <f>IF(OR(E702="",F702=""),"",E702*F702+N(G702))</f>
        <v/>
      </c>
      <c r="I702" s="10" t="n"/>
      <c r="J702" s="10">
        <f>IF(H702="","",H702-N(I702))</f>
        <v/>
      </c>
      <c r="K702">
        <f>IF(H702="","",IF(J702&lt;=0,"Paid",IF(I702&gt;0,"Partial","Pending")))</f>
        <v/>
      </c>
    </row>
    <row r="703">
      <c r="B703" s="12" t="n"/>
      <c r="F703" s="10" t="n"/>
      <c r="G703" s="10" t="n"/>
      <c r="H703" s="10">
        <f>IF(OR(E703="",F703=""),"",E703*F703+N(G703))</f>
        <v/>
      </c>
      <c r="I703" s="10" t="n"/>
      <c r="J703" s="10">
        <f>IF(H703="","",H703-N(I703))</f>
        <v/>
      </c>
      <c r="K703">
        <f>IF(H703="","",IF(J703&lt;=0,"Paid",IF(I703&gt;0,"Partial","Pending")))</f>
        <v/>
      </c>
    </row>
    <row r="704">
      <c r="B704" s="12" t="n"/>
      <c r="F704" s="10" t="n"/>
      <c r="G704" s="10" t="n"/>
      <c r="H704" s="10">
        <f>IF(OR(E704="",F704=""),"",E704*F704+N(G704))</f>
        <v/>
      </c>
      <c r="I704" s="10" t="n"/>
      <c r="J704" s="10">
        <f>IF(H704="","",H704-N(I704))</f>
        <v/>
      </c>
      <c r="K704">
        <f>IF(H704="","",IF(J704&lt;=0,"Paid",IF(I704&gt;0,"Partial","Pending")))</f>
        <v/>
      </c>
    </row>
    <row r="705">
      <c r="B705" s="12" t="n"/>
      <c r="F705" s="10" t="n"/>
      <c r="G705" s="10" t="n"/>
      <c r="H705" s="10">
        <f>IF(OR(E705="",F705=""),"",E705*F705+N(G705))</f>
        <v/>
      </c>
      <c r="I705" s="10" t="n"/>
      <c r="J705" s="10">
        <f>IF(H705="","",H705-N(I705))</f>
        <v/>
      </c>
      <c r="K705">
        <f>IF(H705="","",IF(J705&lt;=0,"Paid",IF(I705&gt;0,"Partial","Pending")))</f>
        <v/>
      </c>
    </row>
    <row r="706">
      <c r="B706" s="12" t="n"/>
      <c r="F706" s="10" t="n"/>
      <c r="G706" s="10" t="n"/>
      <c r="H706" s="10">
        <f>IF(OR(E706="",F706=""),"",E706*F706+N(G706))</f>
        <v/>
      </c>
      <c r="I706" s="10" t="n"/>
      <c r="J706" s="10">
        <f>IF(H706="","",H706-N(I706))</f>
        <v/>
      </c>
      <c r="K706">
        <f>IF(H706="","",IF(J706&lt;=0,"Paid",IF(I706&gt;0,"Partial","Pending")))</f>
        <v/>
      </c>
    </row>
    <row r="707">
      <c r="B707" s="12" t="n"/>
      <c r="F707" s="10" t="n"/>
      <c r="G707" s="10" t="n"/>
      <c r="H707" s="10">
        <f>IF(OR(E707="",F707=""),"",E707*F707+N(G707))</f>
        <v/>
      </c>
      <c r="I707" s="10" t="n"/>
      <c r="J707" s="10">
        <f>IF(H707="","",H707-N(I707))</f>
        <v/>
      </c>
      <c r="K707">
        <f>IF(H707="","",IF(J707&lt;=0,"Paid",IF(I707&gt;0,"Partial","Pending")))</f>
        <v/>
      </c>
    </row>
    <row r="708">
      <c r="B708" s="12" t="n"/>
      <c r="F708" s="10" t="n"/>
      <c r="G708" s="10" t="n"/>
      <c r="H708" s="10">
        <f>IF(OR(E708="",F708=""),"",E708*F708+N(G708))</f>
        <v/>
      </c>
      <c r="I708" s="10" t="n"/>
      <c r="J708" s="10">
        <f>IF(H708="","",H708-N(I708))</f>
        <v/>
      </c>
      <c r="K708">
        <f>IF(H708="","",IF(J708&lt;=0,"Paid",IF(I708&gt;0,"Partial","Pending")))</f>
        <v/>
      </c>
    </row>
    <row r="709">
      <c r="B709" s="12" t="n"/>
      <c r="F709" s="10" t="n"/>
      <c r="G709" s="10" t="n"/>
      <c r="H709" s="10">
        <f>IF(OR(E709="",F709=""),"",E709*F709+N(G709))</f>
        <v/>
      </c>
      <c r="I709" s="10" t="n"/>
      <c r="J709" s="10">
        <f>IF(H709="","",H709-N(I709))</f>
        <v/>
      </c>
      <c r="K709">
        <f>IF(H709="","",IF(J709&lt;=0,"Paid",IF(I709&gt;0,"Partial","Pending")))</f>
        <v/>
      </c>
    </row>
    <row r="710">
      <c r="B710" s="12" t="n"/>
      <c r="F710" s="10" t="n"/>
      <c r="G710" s="10" t="n"/>
      <c r="H710" s="10">
        <f>IF(OR(E710="",F710=""),"",E710*F710+N(G710))</f>
        <v/>
      </c>
      <c r="I710" s="10" t="n"/>
      <c r="J710" s="10">
        <f>IF(H710="","",H710-N(I710))</f>
        <v/>
      </c>
      <c r="K710">
        <f>IF(H710="","",IF(J710&lt;=0,"Paid",IF(I710&gt;0,"Partial","Pending")))</f>
        <v/>
      </c>
    </row>
    <row r="711">
      <c r="B711" s="12" t="n"/>
      <c r="F711" s="10" t="n"/>
      <c r="G711" s="10" t="n"/>
      <c r="H711" s="10">
        <f>IF(OR(E711="",F711=""),"",E711*F711+N(G711))</f>
        <v/>
      </c>
      <c r="I711" s="10" t="n"/>
      <c r="J711" s="10">
        <f>IF(H711="","",H711-N(I711))</f>
        <v/>
      </c>
      <c r="K711">
        <f>IF(H711="","",IF(J711&lt;=0,"Paid",IF(I711&gt;0,"Partial","Pending")))</f>
        <v/>
      </c>
    </row>
    <row r="712">
      <c r="B712" s="12" t="n"/>
      <c r="F712" s="10" t="n"/>
      <c r="G712" s="10" t="n"/>
      <c r="H712" s="10">
        <f>IF(OR(E712="",F712=""),"",E712*F712+N(G712))</f>
        <v/>
      </c>
      <c r="I712" s="10" t="n"/>
      <c r="J712" s="10">
        <f>IF(H712="","",H712-N(I712))</f>
        <v/>
      </c>
      <c r="K712">
        <f>IF(H712="","",IF(J712&lt;=0,"Paid",IF(I712&gt;0,"Partial","Pending")))</f>
        <v/>
      </c>
    </row>
    <row r="713">
      <c r="B713" s="12" t="n"/>
      <c r="F713" s="10" t="n"/>
      <c r="G713" s="10" t="n"/>
      <c r="H713" s="10">
        <f>IF(OR(E713="",F713=""),"",E713*F713+N(G713))</f>
        <v/>
      </c>
      <c r="I713" s="10" t="n"/>
      <c r="J713" s="10">
        <f>IF(H713="","",H713-N(I713))</f>
        <v/>
      </c>
      <c r="K713">
        <f>IF(H713="","",IF(J713&lt;=0,"Paid",IF(I713&gt;0,"Partial","Pending")))</f>
        <v/>
      </c>
    </row>
    <row r="714">
      <c r="B714" s="12" t="n"/>
      <c r="F714" s="10" t="n"/>
      <c r="G714" s="10" t="n"/>
      <c r="H714" s="10">
        <f>IF(OR(E714="",F714=""),"",E714*F714+N(G714))</f>
        <v/>
      </c>
      <c r="I714" s="10" t="n"/>
      <c r="J714" s="10">
        <f>IF(H714="","",H714-N(I714))</f>
        <v/>
      </c>
      <c r="K714">
        <f>IF(H714="","",IF(J714&lt;=0,"Paid",IF(I714&gt;0,"Partial","Pending")))</f>
        <v/>
      </c>
    </row>
    <row r="715">
      <c r="B715" s="12" t="n"/>
      <c r="F715" s="10" t="n"/>
      <c r="G715" s="10" t="n"/>
      <c r="H715" s="10">
        <f>IF(OR(E715="",F715=""),"",E715*F715+N(G715))</f>
        <v/>
      </c>
      <c r="I715" s="10" t="n"/>
      <c r="J715" s="10">
        <f>IF(H715="","",H715-N(I715))</f>
        <v/>
      </c>
      <c r="K715">
        <f>IF(H715="","",IF(J715&lt;=0,"Paid",IF(I715&gt;0,"Partial","Pending")))</f>
        <v/>
      </c>
    </row>
    <row r="716">
      <c r="B716" s="12" t="n"/>
      <c r="F716" s="10" t="n"/>
      <c r="G716" s="10" t="n"/>
      <c r="H716" s="10">
        <f>IF(OR(E716="",F716=""),"",E716*F716+N(G716))</f>
        <v/>
      </c>
      <c r="I716" s="10" t="n"/>
      <c r="J716" s="10">
        <f>IF(H716="","",H716-N(I716))</f>
        <v/>
      </c>
      <c r="K716">
        <f>IF(H716="","",IF(J716&lt;=0,"Paid",IF(I716&gt;0,"Partial","Pending")))</f>
        <v/>
      </c>
    </row>
    <row r="717">
      <c r="B717" s="12" t="n"/>
      <c r="F717" s="10" t="n"/>
      <c r="G717" s="10" t="n"/>
      <c r="H717" s="10">
        <f>IF(OR(E717="",F717=""),"",E717*F717+N(G717))</f>
        <v/>
      </c>
      <c r="I717" s="10" t="n"/>
      <c r="J717" s="10">
        <f>IF(H717="","",H717-N(I717))</f>
        <v/>
      </c>
      <c r="K717">
        <f>IF(H717="","",IF(J717&lt;=0,"Paid",IF(I717&gt;0,"Partial","Pending")))</f>
        <v/>
      </c>
    </row>
    <row r="718">
      <c r="B718" s="12" t="n"/>
      <c r="F718" s="10" t="n"/>
      <c r="G718" s="10" t="n"/>
      <c r="H718" s="10">
        <f>IF(OR(E718="",F718=""),"",E718*F718+N(G718))</f>
        <v/>
      </c>
      <c r="I718" s="10" t="n"/>
      <c r="J718" s="10">
        <f>IF(H718="","",H718-N(I718))</f>
        <v/>
      </c>
      <c r="K718">
        <f>IF(H718="","",IF(J718&lt;=0,"Paid",IF(I718&gt;0,"Partial","Pending")))</f>
        <v/>
      </c>
    </row>
    <row r="719">
      <c r="B719" s="12" t="n"/>
      <c r="F719" s="10" t="n"/>
      <c r="G719" s="10" t="n"/>
      <c r="H719" s="10">
        <f>IF(OR(E719="",F719=""),"",E719*F719+N(G719))</f>
        <v/>
      </c>
      <c r="I719" s="10" t="n"/>
      <c r="J719" s="10">
        <f>IF(H719="","",H719-N(I719))</f>
        <v/>
      </c>
      <c r="K719">
        <f>IF(H719="","",IF(J719&lt;=0,"Paid",IF(I719&gt;0,"Partial","Pending")))</f>
        <v/>
      </c>
    </row>
    <row r="720">
      <c r="B720" s="12" t="n"/>
      <c r="F720" s="10" t="n"/>
      <c r="G720" s="10" t="n"/>
      <c r="H720" s="10">
        <f>IF(OR(E720="",F720=""),"",E720*F720+N(G720))</f>
        <v/>
      </c>
      <c r="I720" s="10" t="n"/>
      <c r="J720" s="10">
        <f>IF(H720="","",H720-N(I720))</f>
        <v/>
      </c>
      <c r="K720">
        <f>IF(H720="","",IF(J720&lt;=0,"Paid",IF(I720&gt;0,"Partial","Pending")))</f>
        <v/>
      </c>
    </row>
    <row r="721">
      <c r="B721" s="12" t="n"/>
      <c r="F721" s="10" t="n"/>
      <c r="G721" s="10" t="n"/>
      <c r="H721" s="10">
        <f>IF(OR(E721="",F721=""),"",E721*F721+N(G721))</f>
        <v/>
      </c>
      <c r="I721" s="10" t="n"/>
      <c r="J721" s="10">
        <f>IF(H721="","",H721-N(I721))</f>
        <v/>
      </c>
      <c r="K721">
        <f>IF(H721="","",IF(J721&lt;=0,"Paid",IF(I721&gt;0,"Partial","Pending")))</f>
        <v/>
      </c>
    </row>
    <row r="722">
      <c r="B722" s="12" t="n"/>
      <c r="F722" s="10" t="n"/>
      <c r="G722" s="10" t="n"/>
      <c r="H722" s="10">
        <f>IF(OR(E722="",F722=""),"",E722*F722+N(G722))</f>
        <v/>
      </c>
      <c r="I722" s="10" t="n"/>
      <c r="J722" s="10">
        <f>IF(H722="","",H722-N(I722))</f>
        <v/>
      </c>
      <c r="K722">
        <f>IF(H722="","",IF(J722&lt;=0,"Paid",IF(I722&gt;0,"Partial","Pending")))</f>
        <v/>
      </c>
    </row>
    <row r="723">
      <c r="B723" s="12" t="n"/>
      <c r="F723" s="10" t="n"/>
      <c r="G723" s="10" t="n"/>
      <c r="H723" s="10">
        <f>IF(OR(E723="",F723=""),"",E723*F723+N(G723))</f>
        <v/>
      </c>
      <c r="I723" s="10" t="n"/>
      <c r="J723" s="10">
        <f>IF(H723="","",H723-N(I723))</f>
        <v/>
      </c>
      <c r="K723">
        <f>IF(H723="","",IF(J723&lt;=0,"Paid",IF(I723&gt;0,"Partial","Pending")))</f>
        <v/>
      </c>
    </row>
    <row r="724">
      <c r="B724" s="12" t="n"/>
      <c r="F724" s="10" t="n"/>
      <c r="G724" s="10" t="n"/>
      <c r="H724" s="10">
        <f>IF(OR(E724="",F724=""),"",E724*F724+N(G724))</f>
        <v/>
      </c>
      <c r="I724" s="10" t="n"/>
      <c r="J724" s="10">
        <f>IF(H724="","",H724-N(I724))</f>
        <v/>
      </c>
      <c r="K724">
        <f>IF(H724="","",IF(J724&lt;=0,"Paid",IF(I724&gt;0,"Partial","Pending")))</f>
        <v/>
      </c>
    </row>
    <row r="725">
      <c r="B725" s="12" t="n"/>
      <c r="F725" s="10" t="n"/>
      <c r="G725" s="10" t="n"/>
      <c r="H725" s="10">
        <f>IF(OR(E725="",F725=""),"",E725*F725+N(G725))</f>
        <v/>
      </c>
      <c r="I725" s="10" t="n"/>
      <c r="J725" s="10">
        <f>IF(H725="","",H725-N(I725))</f>
        <v/>
      </c>
      <c r="K725">
        <f>IF(H725="","",IF(J725&lt;=0,"Paid",IF(I725&gt;0,"Partial","Pending")))</f>
        <v/>
      </c>
    </row>
    <row r="726">
      <c r="B726" s="12" t="n"/>
      <c r="F726" s="10" t="n"/>
      <c r="G726" s="10" t="n"/>
      <c r="H726" s="10">
        <f>IF(OR(E726="",F726=""),"",E726*F726+N(G726))</f>
        <v/>
      </c>
      <c r="I726" s="10" t="n"/>
      <c r="J726" s="10">
        <f>IF(H726="","",H726-N(I726))</f>
        <v/>
      </c>
      <c r="K726">
        <f>IF(H726="","",IF(J726&lt;=0,"Paid",IF(I726&gt;0,"Partial","Pending")))</f>
        <v/>
      </c>
    </row>
    <row r="727">
      <c r="B727" s="12" t="n"/>
      <c r="F727" s="10" t="n"/>
      <c r="G727" s="10" t="n"/>
      <c r="H727" s="10">
        <f>IF(OR(E727="",F727=""),"",E727*F727+N(G727))</f>
        <v/>
      </c>
      <c r="I727" s="10" t="n"/>
      <c r="J727" s="10">
        <f>IF(H727="","",H727-N(I727))</f>
        <v/>
      </c>
      <c r="K727">
        <f>IF(H727="","",IF(J727&lt;=0,"Paid",IF(I727&gt;0,"Partial","Pending")))</f>
        <v/>
      </c>
    </row>
    <row r="728">
      <c r="B728" s="12" t="n"/>
      <c r="F728" s="10" t="n"/>
      <c r="G728" s="10" t="n"/>
      <c r="H728" s="10">
        <f>IF(OR(E728="",F728=""),"",E728*F728+N(G728))</f>
        <v/>
      </c>
      <c r="I728" s="10" t="n"/>
      <c r="J728" s="10">
        <f>IF(H728="","",H728-N(I728))</f>
        <v/>
      </c>
      <c r="K728">
        <f>IF(H728="","",IF(J728&lt;=0,"Paid",IF(I728&gt;0,"Partial","Pending")))</f>
        <v/>
      </c>
    </row>
    <row r="729">
      <c r="B729" s="12" t="n"/>
      <c r="F729" s="10" t="n"/>
      <c r="G729" s="10" t="n"/>
      <c r="H729" s="10">
        <f>IF(OR(E729="",F729=""),"",E729*F729+N(G729))</f>
        <v/>
      </c>
      <c r="I729" s="10" t="n"/>
      <c r="J729" s="10">
        <f>IF(H729="","",H729-N(I729))</f>
        <v/>
      </c>
      <c r="K729">
        <f>IF(H729="","",IF(J729&lt;=0,"Paid",IF(I729&gt;0,"Partial","Pending")))</f>
        <v/>
      </c>
    </row>
    <row r="730">
      <c r="B730" s="12" t="n"/>
      <c r="F730" s="10" t="n"/>
      <c r="G730" s="10" t="n"/>
      <c r="H730" s="10">
        <f>IF(OR(E730="",F730=""),"",E730*F730+N(G730))</f>
        <v/>
      </c>
      <c r="I730" s="10" t="n"/>
      <c r="J730" s="10">
        <f>IF(H730="","",H730-N(I730))</f>
        <v/>
      </c>
      <c r="K730">
        <f>IF(H730="","",IF(J730&lt;=0,"Paid",IF(I730&gt;0,"Partial","Pending")))</f>
        <v/>
      </c>
    </row>
    <row r="731">
      <c r="B731" s="12" t="n"/>
      <c r="F731" s="10" t="n"/>
      <c r="G731" s="10" t="n"/>
      <c r="H731" s="10">
        <f>IF(OR(E731="",F731=""),"",E731*F731+N(G731))</f>
        <v/>
      </c>
      <c r="I731" s="10" t="n"/>
      <c r="J731" s="10">
        <f>IF(H731="","",H731-N(I731))</f>
        <v/>
      </c>
      <c r="K731">
        <f>IF(H731="","",IF(J731&lt;=0,"Paid",IF(I731&gt;0,"Partial","Pending")))</f>
        <v/>
      </c>
    </row>
    <row r="732">
      <c r="B732" s="12" t="n"/>
      <c r="F732" s="10" t="n"/>
      <c r="G732" s="10" t="n"/>
      <c r="H732" s="10">
        <f>IF(OR(E732="",F732=""),"",E732*F732+N(G732))</f>
        <v/>
      </c>
      <c r="I732" s="10" t="n"/>
      <c r="J732" s="10">
        <f>IF(H732="","",H732-N(I732))</f>
        <v/>
      </c>
      <c r="K732">
        <f>IF(H732="","",IF(J732&lt;=0,"Paid",IF(I732&gt;0,"Partial","Pending")))</f>
        <v/>
      </c>
    </row>
    <row r="733">
      <c r="B733" s="12" t="n"/>
      <c r="F733" s="10" t="n"/>
      <c r="G733" s="10" t="n"/>
      <c r="H733" s="10">
        <f>IF(OR(E733="",F733=""),"",E733*F733+N(G733))</f>
        <v/>
      </c>
      <c r="I733" s="10" t="n"/>
      <c r="J733" s="10">
        <f>IF(H733="","",H733-N(I733))</f>
        <v/>
      </c>
      <c r="K733">
        <f>IF(H733="","",IF(J733&lt;=0,"Paid",IF(I733&gt;0,"Partial","Pending")))</f>
        <v/>
      </c>
    </row>
    <row r="734">
      <c r="B734" s="12" t="n"/>
      <c r="F734" s="10" t="n"/>
      <c r="G734" s="10" t="n"/>
      <c r="H734" s="10">
        <f>IF(OR(E734="",F734=""),"",E734*F734+N(G734))</f>
        <v/>
      </c>
      <c r="I734" s="10" t="n"/>
      <c r="J734" s="10">
        <f>IF(H734="","",H734-N(I734))</f>
        <v/>
      </c>
      <c r="K734">
        <f>IF(H734="","",IF(J734&lt;=0,"Paid",IF(I734&gt;0,"Partial","Pending")))</f>
        <v/>
      </c>
    </row>
    <row r="735">
      <c r="B735" s="12" t="n"/>
      <c r="F735" s="10" t="n"/>
      <c r="G735" s="10" t="n"/>
      <c r="H735" s="10">
        <f>IF(OR(E735="",F735=""),"",E735*F735+N(G735))</f>
        <v/>
      </c>
      <c r="I735" s="10" t="n"/>
      <c r="J735" s="10">
        <f>IF(H735="","",H735-N(I735))</f>
        <v/>
      </c>
      <c r="K735">
        <f>IF(H735="","",IF(J735&lt;=0,"Paid",IF(I735&gt;0,"Partial","Pending")))</f>
        <v/>
      </c>
    </row>
    <row r="736">
      <c r="B736" s="12" t="n"/>
      <c r="F736" s="10" t="n"/>
      <c r="G736" s="10" t="n"/>
      <c r="H736" s="10">
        <f>IF(OR(E736="",F736=""),"",E736*F736+N(G736))</f>
        <v/>
      </c>
      <c r="I736" s="10" t="n"/>
      <c r="J736" s="10">
        <f>IF(H736="","",H736-N(I736))</f>
        <v/>
      </c>
      <c r="K736">
        <f>IF(H736="","",IF(J736&lt;=0,"Paid",IF(I736&gt;0,"Partial","Pending")))</f>
        <v/>
      </c>
    </row>
    <row r="737">
      <c r="B737" s="12" t="n"/>
      <c r="F737" s="10" t="n"/>
      <c r="G737" s="10" t="n"/>
      <c r="H737" s="10">
        <f>IF(OR(E737="",F737=""),"",E737*F737+N(G737))</f>
        <v/>
      </c>
      <c r="I737" s="10" t="n"/>
      <c r="J737" s="10">
        <f>IF(H737="","",H737-N(I737))</f>
        <v/>
      </c>
      <c r="K737">
        <f>IF(H737="","",IF(J737&lt;=0,"Paid",IF(I737&gt;0,"Partial","Pending")))</f>
        <v/>
      </c>
    </row>
    <row r="738">
      <c r="B738" s="12" t="n"/>
      <c r="F738" s="10" t="n"/>
      <c r="G738" s="10" t="n"/>
      <c r="H738" s="10">
        <f>IF(OR(E738="",F738=""),"",E738*F738+N(G738))</f>
        <v/>
      </c>
      <c r="I738" s="10" t="n"/>
      <c r="J738" s="10">
        <f>IF(H738="","",H738-N(I738))</f>
        <v/>
      </c>
      <c r="K738">
        <f>IF(H738="","",IF(J738&lt;=0,"Paid",IF(I738&gt;0,"Partial","Pending")))</f>
        <v/>
      </c>
    </row>
    <row r="739">
      <c r="B739" s="12" t="n"/>
      <c r="F739" s="10" t="n"/>
      <c r="G739" s="10" t="n"/>
      <c r="H739" s="10">
        <f>IF(OR(E739="",F739=""),"",E739*F739+N(G739))</f>
        <v/>
      </c>
      <c r="I739" s="10" t="n"/>
      <c r="J739" s="10">
        <f>IF(H739="","",H739-N(I739))</f>
        <v/>
      </c>
      <c r="K739">
        <f>IF(H739="","",IF(J739&lt;=0,"Paid",IF(I739&gt;0,"Partial","Pending")))</f>
        <v/>
      </c>
    </row>
    <row r="740">
      <c r="B740" s="12" t="n"/>
      <c r="F740" s="10" t="n"/>
      <c r="G740" s="10" t="n"/>
      <c r="H740" s="10">
        <f>IF(OR(E740="",F740=""),"",E740*F740+N(G740))</f>
        <v/>
      </c>
      <c r="I740" s="10" t="n"/>
      <c r="J740" s="10">
        <f>IF(H740="","",H740-N(I740))</f>
        <v/>
      </c>
      <c r="K740">
        <f>IF(H740="","",IF(J740&lt;=0,"Paid",IF(I740&gt;0,"Partial","Pending")))</f>
        <v/>
      </c>
    </row>
    <row r="741">
      <c r="B741" s="12" t="n"/>
      <c r="F741" s="10" t="n"/>
      <c r="G741" s="10" t="n"/>
      <c r="H741" s="10">
        <f>IF(OR(E741="",F741=""),"",E741*F741+N(G741))</f>
        <v/>
      </c>
      <c r="I741" s="10" t="n"/>
      <c r="J741" s="10">
        <f>IF(H741="","",H741-N(I741))</f>
        <v/>
      </c>
      <c r="K741">
        <f>IF(H741="","",IF(J741&lt;=0,"Paid",IF(I741&gt;0,"Partial","Pending")))</f>
        <v/>
      </c>
    </row>
    <row r="742">
      <c r="B742" s="12" t="n"/>
      <c r="F742" s="10" t="n"/>
      <c r="G742" s="10" t="n"/>
      <c r="H742" s="10">
        <f>IF(OR(E742="",F742=""),"",E742*F742+N(G742))</f>
        <v/>
      </c>
      <c r="I742" s="10" t="n"/>
      <c r="J742" s="10">
        <f>IF(H742="","",H742-N(I742))</f>
        <v/>
      </c>
      <c r="K742">
        <f>IF(H742="","",IF(J742&lt;=0,"Paid",IF(I742&gt;0,"Partial","Pending")))</f>
        <v/>
      </c>
    </row>
    <row r="743">
      <c r="B743" s="12" t="n"/>
      <c r="F743" s="10" t="n"/>
      <c r="G743" s="10" t="n"/>
      <c r="H743" s="10">
        <f>IF(OR(E743="",F743=""),"",E743*F743+N(G743))</f>
        <v/>
      </c>
      <c r="I743" s="10" t="n"/>
      <c r="J743" s="10">
        <f>IF(H743="","",H743-N(I743))</f>
        <v/>
      </c>
      <c r="K743">
        <f>IF(H743="","",IF(J743&lt;=0,"Paid",IF(I743&gt;0,"Partial","Pending")))</f>
        <v/>
      </c>
    </row>
    <row r="744">
      <c r="B744" s="12" t="n"/>
      <c r="F744" s="10" t="n"/>
      <c r="G744" s="10" t="n"/>
      <c r="H744" s="10">
        <f>IF(OR(E744="",F744=""),"",E744*F744+N(G744))</f>
        <v/>
      </c>
      <c r="I744" s="10" t="n"/>
      <c r="J744" s="10">
        <f>IF(H744="","",H744-N(I744))</f>
        <v/>
      </c>
      <c r="K744">
        <f>IF(H744="","",IF(J744&lt;=0,"Paid",IF(I744&gt;0,"Partial","Pending")))</f>
        <v/>
      </c>
    </row>
    <row r="745">
      <c r="B745" s="12" t="n"/>
      <c r="F745" s="10" t="n"/>
      <c r="G745" s="10" t="n"/>
      <c r="H745" s="10">
        <f>IF(OR(E745="",F745=""),"",E745*F745+N(G745))</f>
        <v/>
      </c>
      <c r="I745" s="10" t="n"/>
      <c r="J745" s="10">
        <f>IF(H745="","",H745-N(I745))</f>
        <v/>
      </c>
      <c r="K745">
        <f>IF(H745="","",IF(J745&lt;=0,"Paid",IF(I745&gt;0,"Partial","Pending")))</f>
        <v/>
      </c>
    </row>
    <row r="746">
      <c r="B746" s="12" t="n"/>
      <c r="F746" s="10" t="n"/>
      <c r="G746" s="10" t="n"/>
      <c r="H746" s="10">
        <f>IF(OR(E746="",F746=""),"",E746*F746+N(G746))</f>
        <v/>
      </c>
      <c r="I746" s="10" t="n"/>
      <c r="J746" s="10">
        <f>IF(H746="","",H746-N(I746))</f>
        <v/>
      </c>
      <c r="K746">
        <f>IF(H746="","",IF(J746&lt;=0,"Paid",IF(I746&gt;0,"Partial","Pending")))</f>
        <v/>
      </c>
    </row>
    <row r="747">
      <c r="B747" s="12" t="n"/>
      <c r="F747" s="10" t="n"/>
      <c r="G747" s="10" t="n"/>
      <c r="H747" s="10">
        <f>IF(OR(E747="",F747=""),"",E747*F747+N(G747))</f>
        <v/>
      </c>
      <c r="I747" s="10" t="n"/>
      <c r="J747" s="10">
        <f>IF(H747="","",H747-N(I747))</f>
        <v/>
      </c>
      <c r="K747">
        <f>IF(H747="","",IF(J747&lt;=0,"Paid",IF(I747&gt;0,"Partial","Pending")))</f>
        <v/>
      </c>
    </row>
    <row r="748">
      <c r="B748" s="12" t="n"/>
      <c r="F748" s="10" t="n"/>
      <c r="G748" s="10" t="n"/>
      <c r="H748" s="10">
        <f>IF(OR(E748="",F748=""),"",E748*F748+N(G748))</f>
        <v/>
      </c>
      <c r="I748" s="10" t="n"/>
      <c r="J748" s="10">
        <f>IF(H748="","",H748-N(I748))</f>
        <v/>
      </c>
      <c r="K748">
        <f>IF(H748="","",IF(J748&lt;=0,"Paid",IF(I748&gt;0,"Partial","Pending")))</f>
        <v/>
      </c>
    </row>
    <row r="749">
      <c r="B749" s="12" t="n"/>
      <c r="F749" s="10" t="n"/>
      <c r="G749" s="10" t="n"/>
      <c r="H749" s="10">
        <f>IF(OR(E749="",F749=""),"",E749*F749+N(G749))</f>
        <v/>
      </c>
      <c r="I749" s="10" t="n"/>
      <c r="J749" s="10">
        <f>IF(H749="","",H749-N(I749))</f>
        <v/>
      </c>
      <c r="K749">
        <f>IF(H749="","",IF(J749&lt;=0,"Paid",IF(I749&gt;0,"Partial","Pending")))</f>
        <v/>
      </c>
    </row>
    <row r="750">
      <c r="B750" s="12" t="n"/>
      <c r="F750" s="10" t="n"/>
      <c r="G750" s="10" t="n"/>
      <c r="H750" s="10">
        <f>IF(OR(E750="",F750=""),"",E750*F750+N(G750))</f>
        <v/>
      </c>
      <c r="I750" s="10" t="n"/>
      <c r="J750" s="10">
        <f>IF(H750="","",H750-N(I750))</f>
        <v/>
      </c>
      <c r="K750">
        <f>IF(H750="","",IF(J750&lt;=0,"Paid",IF(I750&gt;0,"Partial","Pending")))</f>
        <v/>
      </c>
    </row>
    <row r="751">
      <c r="B751" s="12" t="n"/>
      <c r="F751" s="10" t="n"/>
      <c r="G751" s="10" t="n"/>
      <c r="H751" s="10">
        <f>IF(OR(E751="",F751=""),"",E751*F751+N(G751))</f>
        <v/>
      </c>
      <c r="I751" s="10" t="n"/>
      <c r="J751" s="10">
        <f>IF(H751="","",H751-N(I751))</f>
        <v/>
      </c>
      <c r="K751">
        <f>IF(H751="","",IF(J751&lt;=0,"Paid",IF(I751&gt;0,"Partial","Pending")))</f>
        <v/>
      </c>
    </row>
    <row r="752">
      <c r="B752" s="12" t="n"/>
      <c r="F752" s="10" t="n"/>
      <c r="G752" s="10" t="n"/>
      <c r="H752" s="10">
        <f>IF(OR(E752="",F752=""),"",E752*F752+N(G752))</f>
        <v/>
      </c>
      <c r="I752" s="10" t="n"/>
      <c r="J752" s="10">
        <f>IF(H752="","",H752-N(I752))</f>
        <v/>
      </c>
      <c r="K752">
        <f>IF(H752="","",IF(J752&lt;=0,"Paid",IF(I752&gt;0,"Partial","Pending")))</f>
        <v/>
      </c>
    </row>
    <row r="753">
      <c r="B753" s="12" t="n"/>
      <c r="F753" s="10" t="n"/>
      <c r="G753" s="10" t="n"/>
      <c r="H753" s="10">
        <f>IF(OR(E753="",F753=""),"",E753*F753+N(G753))</f>
        <v/>
      </c>
      <c r="I753" s="10" t="n"/>
      <c r="J753" s="10">
        <f>IF(H753="","",H753-N(I753))</f>
        <v/>
      </c>
      <c r="K753">
        <f>IF(H753="","",IF(J753&lt;=0,"Paid",IF(I753&gt;0,"Partial","Pending")))</f>
        <v/>
      </c>
    </row>
    <row r="754">
      <c r="B754" s="12" t="n"/>
      <c r="F754" s="10" t="n"/>
      <c r="G754" s="10" t="n"/>
      <c r="H754" s="10">
        <f>IF(OR(E754="",F754=""),"",E754*F754+N(G754))</f>
        <v/>
      </c>
      <c r="I754" s="10" t="n"/>
      <c r="J754" s="10">
        <f>IF(H754="","",H754-N(I754))</f>
        <v/>
      </c>
      <c r="K754">
        <f>IF(H754="","",IF(J754&lt;=0,"Paid",IF(I754&gt;0,"Partial","Pending")))</f>
        <v/>
      </c>
    </row>
    <row r="755">
      <c r="B755" s="12" t="n"/>
      <c r="F755" s="10" t="n"/>
      <c r="G755" s="10" t="n"/>
      <c r="H755" s="10">
        <f>IF(OR(E755="",F755=""),"",E755*F755+N(G755))</f>
        <v/>
      </c>
      <c r="I755" s="10" t="n"/>
      <c r="J755" s="10">
        <f>IF(H755="","",H755-N(I755))</f>
        <v/>
      </c>
      <c r="K755">
        <f>IF(H755="","",IF(J755&lt;=0,"Paid",IF(I755&gt;0,"Partial","Pending")))</f>
        <v/>
      </c>
    </row>
    <row r="756">
      <c r="B756" s="12" t="n"/>
      <c r="F756" s="10" t="n"/>
      <c r="G756" s="10" t="n"/>
      <c r="H756" s="10">
        <f>IF(OR(E756="",F756=""),"",E756*F756+N(G756))</f>
        <v/>
      </c>
      <c r="I756" s="10" t="n"/>
      <c r="J756" s="10">
        <f>IF(H756="","",H756-N(I756))</f>
        <v/>
      </c>
      <c r="K756">
        <f>IF(H756="","",IF(J756&lt;=0,"Paid",IF(I756&gt;0,"Partial","Pending")))</f>
        <v/>
      </c>
    </row>
    <row r="757">
      <c r="B757" s="12" t="n"/>
      <c r="F757" s="10" t="n"/>
      <c r="G757" s="10" t="n"/>
      <c r="H757" s="10">
        <f>IF(OR(E757="",F757=""),"",E757*F757+N(G757))</f>
        <v/>
      </c>
      <c r="I757" s="10" t="n"/>
      <c r="J757" s="10">
        <f>IF(H757="","",H757-N(I757))</f>
        <v/>
      </c>
      <c r="K757">
        <f>IF(H757="","",IF(J757&lt;=0,"Paid",IF(I757&gt;0,"Partial","Pending")))</f>
        <v/>
      </c>
    </row>
    <row r="758">
      <c r="B758" s="12" t="n"/>
      <c r="F758" s="10" t="n"/>
      <c r="G758" s="10" t="n"/>
      <c r="H758" s="10">
        <f>IF(OR(E758="",F758=""),"",E758*F758+N(G758))</f>
        <v/>
      </c>
      <c r="I758" s="10" t="n"/>
      <c r="J758" s="10">
        <f>IF(H758="","",H758-N(I758))</f>
        <v/>
      </c>
      <c r="K758">
        <f>IF(H758="","",IF(J758&lt;=0,"Paid",IF(I758&gt;0,"Partial","Pending")))</f>
        <v/>
      </c>
    </row>
    <row r="759">
      <c r="B759" s="12" t="n"/>
      <c r="F759" s="10" t="n"/>
      <c r="G759" s="10" t="n"/>
      <c r="H759" s="10">
        <f>IF(OR(E759="",F759=""),"",E759*F759+N(G759))</f>
        <v/>
      </c>
      <c r="I759" s="10" t="n"/>
      <c r="J759" s="10">
        <f>IF(H759="","",H759-N(I759))</f>
        <v/>
      </c>
      <c r="K759">
        <f>IF(H759="","",IF(J759&lt;=0,"Paid",IF(I759&gt;0,"Partial","Pending")))</f>
        <v/>
      </c>
    </row>
    <row r="760">
      <c r="B760" s="12" t="n"/>
      <c r="F760" s="10" t="n"/>
      <c r="G760" s="10" t="n"/>
      <c r="H760" s="10">
        <f>IF(OR(E760="",F760=""),"",E760*F760+N(G760))</f>
        <v/>
      </c>
      <c r="I760" s="10" t="n"/>
      <c r="J760" s="10">
        <f>IF(H760="","",H760-N(I760))</f>
        <v/>
      </c>
      <c r="K760">
        <f>IF(H760="","",IF(J760&lt;=0,"Paid",IF(I760&gt;0,"Partial","Pending")))</f>
        <v/>
      </c>
    </row>
    <row r="761">
      <c r="B761" s="12" t="n"/>
      <c r="F761" s="10" t="n"/>
      <c r="G761" s="10" t="n"/>
      <c r="H761" s="10">
        <f>IF(OR(E761="",F761=""),"",E761*F761+N(G761))</f>
        <v/>
      </c>
      <c r="I761" s="10" t="n"/>
      <c r="J761" s="10">
        <f>IF(H761="","",H761-N(I761))</f>
        <v/>
      </c>
      <c r="K761">
        <f>IF(H761="","",IF(J761&lt;=0,"Paid",IF(I761&gt;0,"Partial","Pending")))</f>
        <v/>
      </c>
    </row>
    <row r="762">
      <c r="B762" s="12" t="n"/>
      <c r="F762" s="10" t="n"/>
      <c r="G762" s="10" t="n"/>
      <c r="H762" s="10">
        <f>IF(OR(E762="",F762=""),"",E762*F762+N(G762))</f>
        <v/>
      </c>
      <c r="I762" s="10" t="n"/>
      <c r="J762" s="10">
        <f>IF(H762="","",H762-N(I762))</f>
        <v/>
      </c>
      <c r="K762">
        <f>IF(H762="","",IF(J762&lt;=0,"Paid",IF(I762&gt;0,"Partial","Pending")))</f>
        <v/>
      </c>
    </row>
    <row r="763">
      <c r="B763" s="12" t="n"/>
      <c r="F763" s="10" t="n"/>
      <c r="G763" s="10" t="n"/>
      <c r="H763" s="10">
        <f>IF(OR(E763="",F763=""),"",E763*F763+N(G763))</f>
        <v/>
      </c>
      <c r="I763" s="10" t="n"/>
      <c r="J763" s="10">
        <f>IF(H763="","",H763-N(I763))</f>
        <v/>
      </c>
      <c r="K763">
        <f>IF(H763="","",IF(J763&lt;=0,"Paid",IF(I763&gt;0,"Partial","Pending")))</f>
        <v/>
      </c>
    </row>
    <row r="764">
      <c r="B764" s="12" t="n"/>
      <c r="F764" s="10" t="n"/>
      <c r="G764" s="10" t="n"/>
      <c r="H764" s="10">
        <f>IF(OR(E764="",F764=""),"",E764*F764+N(G764))</f>
        <v/>
      </c>
      <c r="I764" s="10" t="n"/>
      <c r="J764" s="10">
        <f>IF(H764="","",H764-N(I764))</f>
        <v/>
      </c>
      <c r="K764">
        <f>IF(H764="","",IF(J764&lt;=0,"Paid",IF(I764&gt;0,"Partial","Pending")))</f>
        <v/>
      </c>
    </row>
    <row r="765">
      <c r="B765" s="12" t="n"/>
      <c r="F765" s="10" t="n"/>
      <c r="G765" s="10" t="n"/>
      <c r="H765" s="10">
        <f>IF(OR(E765="",F765=""),"",E765*F765+N(G765))</f>
        <v/>
      </c>
      <c r="I765" s="10" t="n"/>
      <c r="J765" s="10">
        <f>IF(H765="","",H765-N(I765))</f>
        <v/>
      </c>
      <c r="K765">
        <f>IF(H765="","",IF(J765&lt;=0,"Paid",IF(I765&gt;0,"Partial","Pending")))</f>
        <v/>
      </c>
    </row>
    <row r="766">
      <c r="B766" s="12" t="n"/>
      <c r="F766" s="10" t="n"/>
      <c r="G766" s="10" t="n"/>
      <c r="H766" s="10">
        <f>IF(OR(E766="",F766=""),"",E766*F766+N(G766))</f>
        <v/>
      </c>
      <c r="I766" s="10" t="n"/>
      <c r="J766" s="10">
        <f>IF(H766="","",H766-N(I766))</f>
        <v/>
      </c>
      <c r="K766">
        <f>IF(H766="","",IF(J766&lt;=0,"Paid",IF(I766&gt;0,"Partial","Pending")))</f>
        <v/>
      </c>
    </row>
    <row r="767">
      <c r="B767" s="12" t="n"/>
      <c r="F767" s="10" t="n"/>
      <c r="G767" s="10" t="n"/>
      <c r="H767" s="10">
        <f>IF(OR(E767="",F767=""),"",E767*F767+N(G767))</f>
        <v/>
      </c>
      <c r="I767" s="10" t="n"/>
      <c r="J767" s="10">
        <f>IF(H767="","",H767-N(I767))</f>
        <v/>
      </c>
      <c r="K767">
        <f>IF(H767="","",IF(J767&lt;=0,"Paid",IF(I767&gt;0,"Partial","Pending")))</f>
        <v/>
      </c>
    </row>
    <row r="768">
      <c r="B768" s="12" t="n"/>
      <c r="F768" s="10" t="n"/>
      <c r="G768" s="10" t="n"/>
      <c r="H768" s="10">
        <f>IF(OR(E768="",F768=""),"",E768*F768+N(G768))</f>
        <v/>
      </c>
      <c r="I768" s="10" t="n"/>
      <c r="J768" s="10">
        <f>IF(H768="","",H768-N(I768))</f>
        <v/>
      </c>
      <c r="K768">
        <f>IF(H768="","",IF(J768&lt;=0,"Paid",IF(I768&gt;0,"Partial","Pending")))</f>
        <v/>
      </c>
    </row>
    <row r="769">
      <c r="B769" s="12" t="n"/>
      <c r="F769" s="10" t="n"/>
      <c r="G769" s="10" t="n"/>
      <c r="H769" s="10">
        <f>IF(OR(E769="",F769=""),"",E769*F769+N(G769))</f>
        <v/>
      </c>
      <c r="I769" s="10" t="n"/>
      <c r="J769" s="10">
        <f>IF(H769="","",H769-N(I769))</f>
        <v/>
      </c>
      <c r="K769">
        <f>IF(H769="","",IF(J769&lt;=0,"Paid",IF(I769&gt;0,"Partial","Pending")))</f>
        <v/>
      </c>
    </row>
    <row r="770">
      <c r="B770" s="12" t="n"/>
      <c r="F770" s="10" t="n"/>
      <c r="G770" s="10" t="n"/>
      <c r="H770" s="10">
        <f>IF(OR(E770="",F770=""),"",E770*F770+N(G770))</f>
        <v/>
      </c>
      <c r="I770" s="10" t="n"/>
      <c r="J770" s="10">
        <f>IF(H770="","",H770-N(I770))</f>
        <v/>
      </c>
      <c r="K770">
        <f>IF(H770="","",IF(J770&lt;=0,"Paid",IF(I770&gt;0,"Partial","Pending")))</f>
        <v/>
      </c>
    </row>
    <row r="771">
      <c r="B771" s="12" t="n"/>
      <c r="F771" s="10" t="n"/>
      <c r="G771" s="10" t="n"/>
      <c r="H771" s="10">
        <f>IF(OR(E771="",F771=""),"",E771*F771+N(G771))</f>
        <v/>
      </c>
      <c r="I771" s="10" t="n"/>
      <c r="J771" s="10">
        <f>IF(H771="","",H771-N(I771))</f>
        <v/>
      </c>
      <c r="K771">
        <f>IF(H771="","",IF(J771&lt;=0,"Paid",IF(I771&gt;0,"Partial","Pending")))</f>
        <v/>
      </c>
    </row>
    <row r="772">
      <c r="B772" s="12" t="n"/>
      <c r="F772" s="10" t="n"/>
      <c r="G772" s="10" t="n"/>
      <c r="H772" s="10">
        <f>IF(OR(E772="",F772=""),"",E772*F772+N(G772))</f>
        <v/>
      </c>
      <c r="I772" s="10" t="n"/>
      <c r="J772" s="10">
        <f>IF(H772="","",H772-N(I772))</f>
        <v/>
      </c>
      <c r="K772">
        <f>IF(H772="","",IF(J772&lt;=0,"Paid",IF(I772&gt;0,"Partial","Pending")))</f>
        <v/>
      </c>
    </row>
    <row r="773">
      <c r="B773" s="12" t="n"/>
      <c r="F773" s="10" t="n"/>
      <c r="G773" s="10" t="n"/>
      <c r="H773" s="10">
        <f>IF(OR(E773="",F773=""),"",E773*F773+N(G773))</f>
        <v/>
      </c>
      <c r="I773" s="10" t="n"/>
      <c r="J773" s="10">
        <f>IF(H773="","",H773-N(I773))</f>
        <v/>
      </c>
      <c r="K773">
        <f>IF(H773="","",IF(J773&lt;=0,"Paid",IF(I773&gt;0,"Partial","Pending")))</f>
        <v/>
      </c>
    </row>
    <row r="774">
      <c r="B774" s="12" t="n"/>
      <c r="F774" s="10" t="n"/>
      <c r="G774" s="10" t="n"/>
      <c r="H774" s="10">
        <f>IF(OR(E774="",F774=""),"",E774*F774+N(G774))</f>
        <v/>
      </c>
      <c r="I774" s="10" t="n"/>
      <c r="J774" s="10">
        <f>IF(H774="","",H774-N(I774))</f>
        <v/>
      </c>
      <c r="K774">
        <f>IF(H774="","",IF(J774&lt;=0,"Paid",IF(I774&gt;0,"Partial","Pending")))</f>
        <v/>
      </c>
    </row>
    <row r="775">
      <c r="B775" s="12" t="n"/>
      <c r="F775" s="10" t="n"/>
      <c r="G775" s="10" t="n"/>
      <c r="H775" s="10">
        <f>IF(OR(E775="",F775=""),"",E775*F775+N(G775))</f>
        <v/>
      </c>
      <c r="I775" s="10" t="n"/>
      <c r="J775" s="10">
        <f>IF(H775="","",H775-N(I775))</f>
        <v/>
      </c>
      <c r="K775">
        <f>IF(H775="","",IF(J775&lt;=0,"Paid",IF(I775&gt;0,"Partial","Pending")))</f>
        <v/>
      </c>
    </row>
    <row r="776">
      <c r="B776" s="12" t="n"/>
      <c r="F776" s="10" t="n"/>
      <c r="G776" s="10" t="n"/>
      <c r="H776" s="10">
        <f>IF(OR(E776="",F776=""),"",E776*F776+N(G776))</f>
        <v/>
      </c>
      <c r="I776" s="10" t="n"/>
      <c r="J776" s="10">
        <f>IF(H776="","",H776-N(I776))</f>
        <v/>
      </c>
      <c r="K776">
        <f>IF(H776="","",IF(J776&lt;=0,"Paid",IF(I776&gt;0,"Partial","Pending")))</f>
        <v/>
      </c>
    </row>
    <row r="777">
      <c r="B777" s="12" t="n"/>
      <c r="F777" s="10" t="n"/>
      <c r="G777" s="10" t="n"/>
      <c r="H777" s="10">
        <f>IF(OR(E777="",F777=""),"",E777*F777+N(G777))</f>
        <v/>
      </c>
      <c r="I777" s="10" t="n"/>
      <c r="J777" s="10">
        <f>IF(H777="","",H777-N(I777))</f>
        <v/>
      </c>
      <c r="K777">
        <f>IF(H777="","",IF(J777&lt;=0,"Paid",IF(I777&gt;0,"Partial","Pending")))</f>
        <v/>
      </c>
    </row>
    <row r="778">
      <c r="B778" s="12" t="n"/>
      <c r="F778" s="10" t="n"/>
      <c r="G778" s="10" t="n"/>
      <c r="H778" s="10">
        <f>IF(OR(E778="",F778=""),"",E778*F778+N(G778))</f>
        <v/>
      </c>
      <c r="I778" s="10" t="n"/>
      <c r="J778" s="10">
        <f>IF(H778="","",H778-N(I778))</f>
        <v/>
      </c>
      <c r="K778">
        <f>IF(H778="","",IF(J778&lt;=0,"Paid",IF(I778&gt;0,"Partial","Pending")))</f>
        <v/>
      </c>
    </row>
    <row r="779">
      <c r="B779" s="12" t="n"/>
      <c r="F779" s="10" t="n"/>
      <c r="G779" s="10" t="n"/>
      <c r="H779" s="10">
        <f>IF(OR(E779="",F779=""),"",E779*F779+N(G779))</f>
        <v/>
      </c>
      <c r="I779" s="10" t="n"/>
      <c r="J779" s="10">
        <f>IF(H779="","",H779-N(I779))</f>
        <v/>
      </c>
      <c r="K779">
        <f>IF(H779="","",IF(J779&lt;=0,"Paid",IF(I779&gt;0,"Partial","Pending")))</f>
        <v/>
      </c>
    </row>
    <row r="780">
      <c r="B780" s="12" t="n"/>
      <c r="F780" s="10" t="n"/>
      <c r="G780" s="10" t="n"/>
      <c r="H780" s="10">
        <f>IF(OR(E780="",F780=""),"",E780*F780+N(G780))</f>
        <v/>
      </c>
      <c r="I780" s="10" t="n"/>
      <c r="J780" s="10">
        <f>IF(H780="","",H780-N(I780))</f>
        <v/>
      </c>
      <c r="K780">
        <f>IF(H780="","",IF(J780&lt;=0,"Paid",IF(I780&gt;0,"Partial","Pending")))</f>
        <v/>
      </c>
    </row>
    <row r="781">
      <c r="B781" s="12" t="n"/>
      <c r="F781" s="10" t="n"/>
      <c r="G781" s="10" t="n"/>
      <c r="H781" s="10">
        <f>IF(OR(E781="",F781=""),"",E781*F781+N(G781))</f>
        <v/>
      </c>
      <c r="I781" s="10" t="n"/>
      <c r="J781" s="10">
        <f>IF(H781="","",H781-N(I781))</f>
        <v/>
      </c>
      <c r="K781">
        <f>IF(H781="","",IF(J781&lt;=0,"Paid",IF(I781&gt;0,"Partial","Pending")))</f>
        <v/>
      </c>
    </row>
    <row r="782">
      <c r="B782" s="12" t="n"/>
      <c r="F782" s="10" t="n"/>
      <c r="G782" s="10" t="n"/>
      <c r="H782" s="10">
        <f>IF(OR(E782="",F782=""),"",E782*F782+N(G782))</f>
        <v/>
      </c>
      <c r="I782" s="10" t="n"/>
      <c r="J782" s="10">
        <f>IF(H782="","",H782-N(I782))</f>
        <v/>
      </c>
      <c r="K782">
        <f>IF(H782="","",IF(J782&lt;=0,"Paid",IF(I782&gt;0,"Partial","Pending")))</f>
        <v/>
      </c>
    </row>
    <row r="783">
      <c r="B783" s="12" t="n"/>
      <c r="F783" s="10" t="n"/>
      <c r="G783" s="10" t="n"/>
      <c r="H783" s="10">
        <f>IF(OR(E783="",F783=""),"",E783*F783+N(G783))</f>
        <v/>
      </c>
      <c r="I783" s="10" t="n"/>
      <c r="J783" s="10">
        <f>IF(H783="","",H783-N(I783))</f>
        <v/>
      </c>
      <c r="K783">
        <f>IF(H783="","",IF(J783&lt;=0,"Paid",IF(I783&gt;0,"Partial","Pending")))</f>
        <v/>
      </c>
    </row>
    <row r="784">
      <c r="B784" s="12" t="n"/>
      <c r="F784" s="10" t="n"/>
      <c r="G784" s="10" t="n"/>
      <c r="H784" s="10">
        <f>IF(OR(E784="",F784=""),"",E784*F784+N(G784))</f>
        <v/>
      </c>
      <c r="I784" s="10" t="n"/>
      <c r="J784" s="10">
        <f>IF(H784="","",H784-N(I784))</f>
        <v/>
      </c>
      <c r="K784">
        <f>IF(H784="","",IF(J784&lt;=0,"Paid",IF(I784&gt;0,"Partial","Pending")))</f>
        <v/>
      </c>
    </row>
    <row r="785">
      <c r="B785" s="12" t="n"/>
      <c r="F785" s="10" t="n"/>
      <c r="G785" s="10" t="n"/>
      <c r="H785" s="10">
        <f>IF(OR(E785="",F785=""),"",E785*F785+N(G785))</f>
        <v/>
      </c>
      <c r="I785" s="10" t="n"/>
      <c r="J785" s="10">
        <f>IF(H785="","",H785-N(I785))</f>
        <v/>
      </c>
      <c r="K785">
        <f>IF(H785="","",IF(J785&lt;=0,"Paid",IF(I785&gt;0,"Partial","Pending")))</f>
        <v/>
      </c>
    </row>
    <row r="786">
      <c r="B786" s="12" t="n"/>
      <c r="F786" s="10" t="n"/>
      <c r="G786" s="10" t="n"/>
      <c r="H786" s="10">
        <f>IF(OR(E786="",F786=""),"",E786*F786+N(G786))</f>
        <v/>
      </c>
      <c r="I786" s="10" t="n"/>
      <c r="J786" s="10">
        <f>IF(H786="","",H786-N(I786))</f>
        <v/>
      </c>
      <c r="K786">
        <f>IF(H786="","",IF(J786&lt;=0,"Paid",IF(I786&gt;0,"Partial","Pending")))</f>
        <v/>
      </c>
    </row>
    <row r="787">
      <c r="B787" s="12" t="n"/>
      <c r="F787" s="10" t="n"/>
      <c r="G787" s="10" t="n"/>
      <c r="H787" s="10">
        <f>IF(OR(E787="",F787=""),"",E787*F787+N(G787))</f>
        <v/>
      </c>
      <c r="I787" s="10" t="n"/>
      <c r="J787" s="10">
        <f>IF(H787="","",H787-N(I787))</f>
        <v/>
      </c>
      <c r="K787">
        <f>IF(H787="","",IF(J787&lt;=0,"Paid",IF(I787&gt;0,"Partial","Pending")))</f>
        <v/>
      </c>
    </row>
    <row r="788">
      <c r="B788" s="12" t="n"/>
      <c r="F788" s="10" t="n"/>
      <c r="G788" s="10" t="n"/>
      <c r="H788" s="10">
        <f>IF(OR(E788="",F788=""),"",E788*F788+N(G788))</f>
        <v/>
      </c>
      <c r="I788" s="10" t="n"/>
      <c r="J788" s="10">
        <f>IF(H788="","",H788-N(I788))</f>
        <v/>
      </c>
      <c r="K788">
        <f>IF(H788="","",IF(J788&lt;=0,"Paid",IF(I788&gt;0,"Partial","Pending")))</f>
        <v/>
      </c>
    </row>
    <row r="789">
      <c r="B789" s="12" t="n"/>
      <c r="F789" s="10" t="n"/>
      <c r="G789" s="10" t="n"/>
      <c r="H789" s="10">
        <f>IF(OR(E789="",F789=""),"",E789*F789+N(G789))</f>
        <v/>
      </c>
      <c r="I789" s="10" t="n"/>
      <c r="J789" s="10">
        <f>IF(H789="","",H789-N(I789))</f>
        <v/>
      </c>
      <c r="K789">
        <f>IF(H789="","",IF(J789&lt;=0,"Paid",IF(I789&gt;0,"Partial","Pending")))</f>
        <v/>
      </c>
    </row>
    <row r="790">
      <c r="B790" s="12" t="n"/>
      <c r="F790" s="10" t="n"/>
      <c r="G790" s="10" t="n"/>
      <c r="H790" s="10">
        <f>IF(OR(E790="",F790=""),"",E790*F790+N(G790))</f>
        <v/>
      </c>
      <c r="I790" s="10" t="n"/>
      <c r="J790" s="10">
        <f>IF(H790="","",H790-N(I790))</f>
        <v/>
      </c>
      <c r="K790">
        <f>IF(H790="","",IF(J790&lt;=0,"Paid",IF(I790&gt;0,"Partial","Pending")))</f>
        <v/>
      </c>
    </row>
    <row r="791">
      <c r="B791" s="12" t="n"/>
      <c r="F791" s="10" t="n"/>
      <c r="G791" s="10" t="n"/>
      <c r="H791" s="10">
        <f>IF(OR(E791="",F791=""),"",E791*F791+N(G791))</f>
        <v/>
      </c>
      <c r="I791" s="10" t="n"/>
      <c r="J791" s="10">
        <f>IF(H791="","",H791-N(I791))</f>
        <v/>
      </c>
      <c r="K791">
        <f>IF(H791="","",IF(J791&lt;=0,"Paid",IF(I791&gt;0,"Partial","Pending")))</f>
        <v/>
      </c>
    </row>
    <row r="792">
      <c r="B792" s="12" t="n"/>
      <c r="F792" s="10" t="n"/>
      <c r="G792" s="10" t="n"/>
      <c r="H792" s="10">
        <f>IF(OR(E792="",F792=""),"",E792*F792+N(G792))</f>
        <v/>
      </c>
      <c r="I792" s="10" t="n"/>
      <c r="J792" s="10">
        <f>IF(H792="","",H792-N(I792))</f>
        <v/>
      </c>
      <c r="K792">
        <f>IF(H792="","",IF(J792&lt;=0,"Paid",IF(I792&gt;0,"Partial","Pending")))</f>
        <v/>
      </c>
    </row>
    <row r="793">
      <c r="B793" s="12" t="n"/>
      <c r="F793" s="10" t="n"/>
      <c r="G793" s="10" t="n"/>
      <c r="H793" s="10">
        <f>IF(OR(E793="",F793=""),"",E793*F793+N(G793))</f>
        <v/>
      </c>
      <c r="I793" s="10" t="n"/>
      <c r="J793" s="10">
        <f>IF(H793="","",H793-N(I793))</f>
        <v/>
      </c>
      <c r="K793">
        <f>IF(H793="","",IF(J793&lt;=0,"Paid",IF(I793&gt;0,"Partial","Pending")))</f>
        <v/>
      </c>
    </row>
    <row r="794">
      <c r="B794" s="12" t="n"/>
      <c r="F794" s="10" t="n"/>
      <c r="G794" s="10" t="n"/>
      <c r="H794" s="10">
        <f>IF(OR(E794="",F794=""),"",E794*F794+N(G794))</f>
        <v/>
      </c>
      <c r="I794" s="10" t="n"/>
      <c r="J794" s="10">
        <f>IF(H794="","",H794-N(I794))</f>
        <v/>
      </c>
      <c r="K794">
        <f>IF(H794="","",IF(J794&lt;=0,"Paid",IF(I794&gt;0,"Partial","Pending")))</f>
        <v/>
      </c>
    </row>
    <row r="795">
      <c r="B795" s="12" t="n"/>
      <c r="F795" s="10" t="n"/>
      <c r="G795" s="10" t="n"/>
      <c r="H795" s="10">
        <f>IF(OR(E795="",F795=""),"",E795*F795+N(G795))</f>
        <v/>
      </c>
      <c r="I795" s="10" t="n"/>
      <c r="J795" s="10">
        <f>IF(H795="","",H795-N(I795))</f>
        <v/>
      </c>
      <c r="K795">
        <f>IF(H795="","",IF(J795&lt;=0,"Paid",IF(I795&gt;0,"Partial","Pending")))</f>
        <v/>
      </c>
    </row>
    <row r="796">
      <c r="B796" s="12" t="n"/>
      <c r="F796" s="10" t="n"/>
      <c r="G796" s="10" t="n"/>
      <c r="H796" s="10">
        <f>IF(OR(E796="",F796=""),"",E796*F796+N(G796))</f>
        <v/>
      </c>
      <c r="I796" s="10" t="n"/>
      <c r="J796" s="10">
        <f>IF(H796="","",H796-N(I796))</f>
        <v/>
      </c>
      <c r="K796">
        <f>IF(H796="","",IF(J796&lt;=0,"Paid",IF(I796&gt;0,"Partial","Pending")))</f>
        <v/>
      </c>
    </row>
    <row r="797">
      <c r="B797" s="12" t="n"/>
      <c r="F797" s="10" t="n"/>
      <c r="G797" s="10" t="n"/>
      <c r="H797" s="10">
        <f>IF(OR(E797="",F797=""),"",E797*F797+N(G797))</f>
        <v/>
      </c>
      <c r="I797" s="10" t="n"/>
      <c r="J797" s="10">
        <f>IF(H797="","",H797-N(I797))</f>
        <v/>
      </c>
      <c r="K797">
        <f>IF(H797="","",IF(J797&lt;=0,"Paid",IF(I797&gt;0,"Partial","Pending")))</f>
        <v/>
      </c>
    </row>
    <row r="798">
      <c r="B798" s="12" t="n"/>
      <c r="F798" s="10" t="n"/>
      <c r="G798" s="10" t="n"/>
      <c r="H798" s="10">
        <f>IF(OR(E798="",F798=""),"",E798*F798+N(G798))</f>
        <v/>
      </c>
      <c r="I798" s="10" t="n"/>
      <c r="J798" s="10">
        <f>IF(H798="","",H798-N(I798))</f>
        <v/>
      </c>
      <c r="K798">
        <f>IF(H798="","",IF(J798&lt;=0,"Paid",IF(I798&gt;0,"Partial","Pending")))</f>
        <v/>
      </c>
    </row>
    <row r="799">
      <c r="B799" s="12" t="n"/>
      <c r="F799" s="10" t="n"/>
      <c r="G799" s="10" t="n"/>
      <c r="H799" s="10">
        <f>IF(OR(E799="",F799=""),"",E799*F799+N(G799))</f>
        <v/>
      </c>
      <c r="I799" s="10" t="n"/>
      <c r="J799" s="10">
        <f>IF(H799="","",H799-N(I799))</f>
        <v/>
      </c>
      <c r="K799">
        <f>IF(H799="","",IF(J799&lt;=0,"Paid",IF(I799&gt;0,"Partial","Pending")))</f>
        <v/>
      </c>
    </row>
    <row r="800">
      <c r="B800" s="12" t="n"/>
      <c r="F800" s="10" t="n"/>
      <c r="G800" s="10" t="n"/>
      <c r="H800" s="10">
        <f>IF(OR(E800="",F800=""),"",E800*F800+N(G800))</f>
        <v/>
      </c>
      <c r="I800" s="10" t="n"/>
      <c r="J800" s="10">
        <f>IF(H800="","",H800-N(I800))</f>
        <v/>
      </c>
      <c r="K800">
        <f>IF(H800="","",IF(J800&lt;=0,"Paid",IF(I800&gt;0,"Partial","Pending")))</f>
        <v/>
      </c>
    </row>
    <row r="801">
      <c r="B801" s="12" t="n"/>
      <c r="F801" s="10" t="n"/>
      <c r="G801" s="10" t="n"/>
      <c r="H801" s="10">
        <f>IF(OR(E801="",F801=""),"",E801*F801+N(G801))</f>
        <v/>
      </c>
      <c r="I801" s="10" t="n"/>
      <c r="J801" s="10">
        <f>IF(H801="","",H801-N(I801))</f>
        <v/>
      </c>
      <c r="K801">
        <f>IF(H801="","",IF(J801&lt;=0,"Paid",IF(I801&gt;0,"Partial","Pending")))</f>
        <v/>
      </c>
    </row>
    <row r="802">
      <c r="B802" s="12" t="n"/>
      <c r="F802" s="10" t="n"/>
      <c r="G802" s="10" t="n"/>
      <c r="H802" s="10">
        <f>IF(OR(E802="",F802=""),"",E802*F802+N(G802))</f>
        <v/>
      </c>
      <c r="I802" s="10" t="n"/>
      <c r="J802" s="10">
        <f>IF(H802="","",H802-N(I802))</f>
        <v/>
      </c>
      <c r="K802">
        <f>IF(H802="","",IF(J802&lt;=0,"Paid",IF(I802&gt;0,"Partial","Pending")))</f>
        <v/>
      </c>
    </row>
    <row r="803">
      <c r="B803" s="12" t="n"/>
      <c r="F803" s="10" t="n"/>
      <c r="G803" s="10" t="n"/>
      <c r="H803" s="10">
        <f>IF(OR(E803="",F803=""),"",E803*F803+N(G803))</f>
        <v/>
      </c>
      <c r="I803" s="10" t="n"/>
      <c r="J803" s="10">
        <f>IF(H803="","",H803-N(I803))</f>
        <v/>
      </c>
      <c r="K803">
        <f>IF(H803="","",IF(J803&lt;=0,"Paid",IF(I803&gt;0,"Partial","Pending")))</f>
        <v/>
      </c>
    </row>
    <row r="804">
      <c r="B804" s="12" t="n"/>
      <c r="F804" s="10" t="n"/>
      <c r="G804" s="10" t="n"/>
      <c r="H804" s="10">
        <f>IF(OR(E804="",F804=""),"",E804*F804+N(G804))</f>
        <v/>
      </c>
      <c r="I804" s="10" t="n"/>
      <c r="J804" s="10">
        <f>IF(H804="","",H804-N(I804))</f>
        <v/>
      </c>
      <c r="K804">
        <f>IF(H804="","",IF(J804&lt;=0,"Paid",IF(I804&gt;0,"Partial","Pending")))</f>
        <v/>
      </c>
    </row>
    <row r="805">
      <c r="B805" s="12" t="n"/>
      <c r="F805" s="10" t="n"/>
      <c r="G805" s="10" t="n"/>
      <c r="H805" s="10">
        <f>IF(OR(E805="",F805=""),"",E805*F805+N(G805))</f>
        <v/>
      </c>
      <c r="I805" s="10" t="n"/>
      <c r="J805" s="10">
        <f>IF(H805="","",H805-N(I805))</f>
        <v/>
      </c>
      <c r="K805">
        <f>IF(H805="","",IF(J805&lt;=0,"Paid",IF(I805&gt;0,"Partial","Pending")))</f>
        <v/>
      </c>
    </row>
    <row r="806">
      <c r="B806" s="12" t="n"/>
      <c r="F806" s="10" t="n"/>
      <c r="G806" s="10" t="n"/>
      <c r="H806" s="10">
        <f>IF(OR(E806="",F806=""),"",E806*F806+N(G806))</f>
        <v/>
      </c>
      <c r="I806" s="10" t="n"/>
      <c r="J806" s="10">
        <f>IF(H806="","",H806-N(I806))</f>
        <v/>
      </c>
      <c r="K806">
        <f>IF(H806="","",IF(J806&lt;=0,"Paid",IF(I806&gt;0,"Partial","Pending")))</f>
        <v/>
      </c>
    </row>
    <row r="807">
      <c r="B807" s="12" t="n"/>
      <c r="F807" s="10" t="n"/>
      <c r="G807" s="10" t="n"/>
      <c r="H807" s="10">
        <f>IF(OR(E807="",F807=""),"",E807*F807+N(G807))</f>
        <v/>
      </c>
      <c r="I807" s="10" t="n"/>
      <c r="J807" s="10">
        <f>IF(H807="","",H807-N(I807))</f>
        <v/>
      </c>
      <c r="K807">
        <f>IF(H807="","",IF(J807&lt;=0,"Paid",IF(I807&gt;0,"Partial","Pending")))</f>
        <v/>
      </c>
    </row>
    <row r="808">
      <c r="B808" s="12" t="n"/>
      <c r="F808" s="10" t="n"/>
      <c r="G808" s="10" t="n"/>
      <c r="H808" s="10">
        <f>IF(OR(E808="",F808=""),"",E808*F808+N(G808))</f>
        <v/>
      </c>
      <c r="I808" s="10" t="n"/>
      <c r="J808" s="10">
        <f>IF(H808="","",H808-N(I808))</f>
        <v/>
      </c>
      <c r="K808">
        <f>IF(H808="","",IF(J808&lt;=0,"Paid",IF(I808&gt;0,"Partial","Pending")))</f>
        <v/>
      </c>
    </row>
    <row r="809">
      <c r="B809" s="12" t="n"/>
      <c r="F809" s="10" t="n"/>
      <c r="G809" s="10" t="n"/>
      <c r="H809" s="10">
        <f>IF(OR(E809="",F809=""),"",E809*F809+N(G809))</f>
        <v/>
      </c>
      <c r="I809" s="10" t="n"/>
      <c r="J809" s="10">
        <f>IF(H809="","",H809-N(I809))</f>
        <v/>
      </c>
      <c r="K809">
        <f>IF(H809="","",IF(J809&lt;=0,"Paid",IF(I809&gt;0,"Partial","Pending")))</f>
        <v/>
      </c>
    </row>
    <row r="810">
      <c r="B810" s="12" t="n"/>
      <c r="F810" s="10" t="n"/>
      <c r="G810" s="10" t="n"/>
      <c r="H810" s="10">
        <f>IF(OR(E810="",F810=""),"",E810*F810+N(G810))</f>
        <v/>
      </c>
      <c r="I810" s="10" t="n"/>
      <c r="J810" s="10">
        <f>IF(H810="","",H810-N(I810))</f>
        <v/>
      </c>
      <c r="K810">
        <f>IF(H810="","",IF(J810&lt;=0,"Paid",IF(I810&gt;0,"Partial","Pending")))</f>
        <v/>
      </c>
    </row>
    <row r="811">
      <c r="B811" s="12" t="n"/>
      <c r="F811" s="10" t="n"/>
      <c r="G811" s="10" t="n"/>
      <c r="H811" s="10">
        <f>IF(OR(E811="",F811=""),"",E811*F811+N(G811))</f>
        <v/>
      </c>
      <c r="I811" s="10" t="n"/>
      <c r="J811" s="10">
        <f>IF(H811="","",H811-N(I811))</f>
        <v/>
      </c>
      <c r="K811">
        <f>IF(H811="","",IF(J811&lt;=0,"Paid",IF(I811&gt;0,"Partial","Pending")))</f>
        <v/>
      </c>
    </row>
    <row r="812">
      <c r="B812" s="12" t="n"/>
      <c r="F812" s="10" t="n"/>
      <c r="G812" s="10" t="n"/>
      <c r="H812" s="10">
        <f>IF(OR(E812="",F812=""),"",E812*F812+N(G812))</f>
        <v/>
      </c>
      <c r="I812" s="10" t="n"/>
      <c r="J812" s="10">
        <f>IF(H812="","",H812-N(I812))</f>
        <v/>
      </c>
      <c r="K812">
        <f>IF(H812="","",IF(J812&lt;=0,"Paid",IF(I812&gt;0,"Partial","Pending")))</f>
        <v/>
      </c>
    </row>
    <row r="813">
      <c r="B813" s="12" t="n"/>
      <c r="F813" s="10" t="n"/>
      <c r="G813" s="10" t="n"/>
      <c r="H813" s="10">
        <f>IF(OR(E813="",F813=""),"",E813*F813+N(G813))</f>
        <v/>
      </c>
      <c r="I813" s="10" t="n"/>
      <c r="J813" s="10">
        <f>IF(H813="","",H813-N(I813))</f>
        <v/>
      </c>
      <c r="K813">
        <f>IF(H813="","",IF(J813&lt;=0,"Paid",IF(I813&gt;0,"Partial","Pending")))</f>
        <v/>
      </c>
    </row>
    <row r="814">
      <c r="B814" s="12" t="n"/>
      <c r="F814" s="10" t="n"/>
      <c r="G814" s="10" t="n"/>
      <c r="H814" s="10">
        <f>IF(OR(E814="",F814=""),"",E814*F814+N(G814))</f>
        <v/>
      </c>
      <c r="I814" s="10" t="n"/>
      <c r="J814" s="10">
        <f>IF(H814="","",H814-N(I814))</f>
        <v/>
      </c>
      <c r="K814">
        <f>IF(H814="","",IF(J814&lt;=0,"Paid",IF(I814&gt;0,"Partial","Pending")))</f>
        <v/>
      </c>
    </row>
    <row r="815">
      <c r="B815" s="12" t="n"/>
      <c r="F815" s="10" t="n"/>
      <c r="G815" s="10" t="n"/>
      <c r="H815" s="10">
        <f>IF(OR(E815="",F815=""),"",E815*F815+N(G815))</f>
        <v/>
      </c>
      <c r="I815" s="10" t="n"/>
      <c r="J815" s="10">
        <f>IF(H815="","",H815-N(I815))</f>
        <v/>
      </c>
      <c r="K815">
        <f>IF(H815="","",IF(J815&lt;=0,"Paid",IF(I815&gt;0,"Partial","Pending")))</f>
        <v/>
      </c>
    </row>
    <row r="816">
      <c r="B816" s="12" t="n"/>
      <c r="F816" s="10" t="n"/>
      <c r="G816" s="10" t="n"/>
      <c r="H816" s="10">
        <f>IF(OR(E816="",F816=""),"",E816*F816+N(G816))</f>
        <v/>
      </c>
      <c r="I816" s="10" t="n"/>
      <c r="J816" s="10">
        <f>IF(H816="","",H816-N(I816))</f>
        <v/>
      </c>
      <c r="K816">
        <f>IF(H816="","",IF(J816&lt;=0,"Paid",IF(I816&gt;0,"Partial","Pending")))</f>
        <v/>
      </c>
    </row>
    <row r="817">
      <c r="B817" s="12" t="n"/>
      <c r="F817" s="10" t="n"/>
      <c r="G817" s="10" t="n"/>
      <c r="H817" s="10">
        <f>IF(OR(E817="",F817=""),"",E817*F817+N(G817))</f>
        <v/>
      </c>
      <c r="I817" s="10" t="n"/>
      <c r="J817" s="10">
        <f>IF(H817="","",H817-N(I817))</f>
        <v/>
      </c>
      <c r="K817">
        <f>IF(H817="","",IF(J817&lt;=0,"Paid",IF(I817&gt;0,"Partial","Pending")))</f>
        <v/>
      </c>
    </row>
    <row r="818">
      <c r="B818" s="12" t="n"/>
      <c r="F818" s="10" t="n"/>
      <c r="G818" s="10" t="n"/>
      <c r="H818" s="10">
        <f>IF(OR(E818="",F818=""),"",E818*F818+N(G818))</f>
        <v/>
      </c>
      <c r="I818" s="10" t="n"/>
      <c r="J818" s="10">
        <f>IF(H818="","",H818-N(I818))</f>
        <v/>
      </c>
      <c r="K818">
        <f>IF(H818="","",IF(J818&lt;=0,"Paid",IF(I818&gt;0,"Partial","Pending")))</f>
        <v/>
      </c>
    </row>
    <row r="819">
      <c r="B819" s="12" t="n"/>
      <c r="F819" s="10" t="n"/>
      <c r="G819" s="10" t="n"/>
      <c r="H819" s="10">
        <f>IF(OR(E819="",F819=""),"",E819*F819+N(G819))</f>
        <v/>
      </c>
      <c r="I819" s="10" t="n"/>
      <c r="J819" s="10">
        <f>IF(H819="","",H819-N(I819))</f>
        <v/>
      </c>
      <c r="K819">
        <f>IF(H819="","",IF(J819&lt;=0,"Paid",IF(I819&gt;0,"Partial","Pending")))</f>
        <v/>
      </c>
    </row>
    <row r="820">
      <c r="B820" s="12" t="n"/>
      <c r="F820" s="10" t="n"/>
      <c r="G820" s="10" t="n"/>
      <c r="H820" s="10">
        <f>IF(OR(E820="",F820=""),"",E820*F820+N(G820))</f>
        <v/>
      </c>
      <c r="I820" s="10" t="n"/>
      <c r="J820" s="10">
        <f>IF(H820="","",H820-N(I820))</f>
        <v/>
      </c>
      <c r="K820">
        <f>IF(H820="","",IF(J820&lt;=0,"Paid",IF(I820&gt;0,"Partial","Pending")))</f>
        <v/>
      </c>
    </row>
    <row r="821">
      <c r="B821" s="12" t="n"/>
      <c r="F821" s="10" t="n"/>
      <c r="G821" s="10" t="n"/>
      <c r="H821" s="10">
        <f>IF(OR(E821="",F821=""),"",E821*F821+N(G821))</f>
        <v/>
      </c>
      <c r="I821" s="10" t="n"/>
      <c r="J821" s="10">
        <f>IF(H821="","",H821-N(I821))</f>
        <v/>
      </c>
      <c r="K821">
        <f>IF(H821="","",IF(J821&lt;=0,"Paid",IF(I821&gt;0,"Partial","Pending")))</f>
        <v/>
      </c>
    </row>
    <row r="822">
      <c r="B822" s="12" t="n"/>
      <c r="F822" s="10" t="n"/>
      <c r="G822" s="10" t="n"/>
      <c r="H822" s="10">
        <f>IF(OR(E822="",F822=""),"",E822*F822+N(G822))</f>
        <v/>
      </c>
      <c r="I822" s="10" t="n"/>
      <c r="J822" s="10">
        <f>IF(H822="","",H822-N(I822))</f>
        <v/>
      </c>
      <c r="K822">
        <f>IF(H822="","",IF(J822&lt;=0,"Paid",IF(I822&gt;0,"Partial","Pending")))</f>
        <v/>
      </c>
    </row>
    <row r="823">
      <c r="B823" s="12" t="n"/>
      <c r="F823" s="10" t="n"/>
      <c r="G823" s="10" t="n"/>
      <c r="H823" s="10">
        <f>IF(OR(E823="",F823=""),"",E823*F823+N(G823))</f>
        <v/>
      </c>
      <c r="I823" s="10" t="n"/>
      <c r="J823" s="10">
        <f>IF(H823="","",H823-N(I823))</f>
        <v/>
      </c>
      <c r="K823">
        <f>IF(H823="","",IF(J823&lt;=0,"Paid",IF(I823&gt;0,"Partial","Pending")))</f>
        <v/>
      </c>
    </row>
    <row r="824">
      <c r="B824" s="12" t="n"/>
      <c r="F824" s="10" t="n"/>
      <c r="G824" s="10" t="n"/>
      <c r="H824" s="10">
        <f>IF(OR(E824="",F824=""),"",E824*F824+N(G824))</f>
        <v/>
      </c>
      <c r="I824" s="10" t="n"/>
      <c r="J824" s="10">
        <f>IF(H824="","",H824-N(I824))</f>
        <v/>
      </c>
      <c r="K824">
        <f>IF(H824="","",IF(J824&lt;=0,"Paid",IF(I824&gt;0,"Partial","Pending")))</f>
        <v/>
      </c>
    </row>
    <row r="825">
      <c r="B825" s="12" t="n"/>
      <c r="F825" s="10" t="n"/>
      <c r="G825" s="10" t="n"/>
      <c r="H825" s="10">
        <f>IF(OR(E825="",F825=""),"",E825*F825+N(G825))</f>
        <v/>
      </c>
      <c r="I825" s="10" t="n"/>
      <c r="J825" s="10">
        <f>IF(H825="","",H825-N(I825))</f>
        <v/>
      </c>
      <c r="K825">
        <f>IF(H825="","",IF(J825&lt;=0,"Paid",IF(I825&gt;0,"Partial","Pending")))</f>
        <v/>
      </c>
    </row>
    <row r="826">
      <c r="B826" s="12" t="n"/>
      <c r="F826" s="10" t="n"/>
      <c r="G826" s="10" t="n"/>
      <c r="H826" s="10">
        <f>IF(OR(E826="",F826=""),"",E826*F826+N(G826))</f>
        <v/>
      </c>
      <c r="I826" s="10" t="n"/>
      <c r="J826" s="10">
        <f>IF(H826="","",H826-N(I826))</f>
        <v/>
      </c>
      <c r="K826">
        <f>IF(H826="","",IF(J826&lt;=0,"Paid",IF(I826&gt;0,"Partial","Pending")))</f>
        <v/>
      </c>
    </row>
    <row r="827">
      <c r="B827" s="12" t="n"/>
      <c r="F827" s="10" t="n"/>
      <c r="G827" s="10" t="n"/>
      <c r="H827" s="10">
        <f>IF(OR(E827="",F827=""),"",E827*F827+N(G827))</f>
        <v/>
      </c>
      <c r="I827" s="10" t="n"/>
      <c r="J827" s="10">
        <f>IF(H827="","",H827-N(I827))</f>
        <v/>
      </c>
      <c r="K827">
        <f>IF(H827="","",IF(J827&lt;=0,"Paid",IF(I827&gt;0,"Partial","Pending")))</f>
        <v/>
      </c>
    </row>
    <row r="828">
      <c r="B828" s="12" t="n"/>
      <c r="F828" s="10" t="n"/>
      <c r="G828" s="10" t="n"/>
      <c r="H828" s="10">
        <f>IF(OR(E828="",F828=""),"",E828*F828+N(G828))</f>
        <v/>
      </c>
      <c r="I828" s="10" t="n"/>
      <c r="J828" s="10">
        <f>IF(H828="","",H828-N(I828))</f>
        <v/>
      </c>
      <c r="K828">
        <f>IF(H828="","",IF(J828&lt;=0,"Paid",IF(I828&gt;0,"Partial","Pending")))</f>
        <v/>
      </c>
    </row>
    <row r="829">
      <c r="B829" s="12" t="n"/>
      <c r="F829" s="10" t="n"/>
      <c r="G829" s="10" t="n"/>
      <c r="H829" s="10">
        <f>IF(OR(E829="",F829=""),"",E829*F829+N(G829))</f>
        <v/>
      </c>
      <c r="I829" s="10" t="n"/>
      <c r="J829" s="10">
        <f>IF(H829="","",H829-N(I829))</f>
        <v/>
      </c>
      <c r="K829">
        <f>IF(H829="","",IF(J829&lt;=0,"Paid",IF(I829&gt;0,"Partial","Pending")))</f>
        <v/>
      </c>
    </row>
    <row r="830">
      <c r="B830" s="12" t="n"/>
      <c r="F830" s="10" t="n"/>
      <c r="G830" s="10" t="n"/>
      <c r="H830" s="10">
        <f>IF(OR(E830="",F830=""),"",E830*F830+N(G830))</f>
        <v/>
      </c>
      <c r="I830" s="10" t="n"/>
      <c r="J830" s="10">
        <f>IF(H830="","",H830-N(I830))</f>
        <v/>
      </c>
      <c r="K830">
        <f>IF(H830="","",IF(J830&lt;=0,"Paid",IF(I830&gt;0,"Partial","Pending")))</f>
        <v/>
      </c>
    </row>
    <row r="831">
      <c r="B831" s="12" t="n"/>
      <c r="F831" s="10" t="n"/>
      <c r="G831" s="10" t="n"/>
      <c r="H831" s="10">
        <f>IF(OR(E831="",F831=""),"",E831*F831+N(G831))</f>
        <v/>
      </c>
      <c r="I831" s="10" t="n"/>
      <c r="J831" s="10">
        <f>IF(H831="","",H831-N(I831))</f>
        <v/>
      </c>
      <c r="K831">
        <f>IF(H831="","",IF(J831&lt;=0,"Paid",IF(I831&gt;0,"Partial","Pending")))</f>
        <v/>
      </c>
    </row>
    <row r="832">
      <c r="B832" s="12" t="n"/>
      <c r="F832" s="10" t="n"/>
      <c r="G832" s="10" t="n"/>
      <c r="H832" s="10">
        <f>IF(OR(E832="",F832=""),"",E832*F832+N(G832))</f>
        <v/>
      </c>
      <c r="I832" s="10" t="n"/>
      <c r="J832" s="10">
        <f>IF(H832="","",H832-N(I832))</f>
        <v/>
      </c>
      <c r="K832">
        <f>IF(H832="","",IF(J832&lt;=0,"Paid",IF(I832&gt;0,"Partial","Pending")))</f>
        <v/>
      </c>
    </row>
    <row r="833">
      <c r="B833" s="12" t="n"/>
      <c r="F833" s="10" t="n"/>
      <c r="G833" s="10" t="n"/>
      <c r="H833" s="10">
        <f>IF(OR(E833="",F833=""),"",E833*F833+N(G833))</f>
        <v/>
      </c>
      <c r="I833" s="10" t="n"/>
      <c r="J833" s="10">
        <f>IF(H833="","",H833-N(I833))</f>
        <v/>
      </c>
      <c r="K833">
        <f>IF(H833="","",IF(J833&lt;=0,"Paid",IF(I833&gt;0,"Partial","Pending")))</f>
        <v/>
      </c>
    </row>
    <row r="834">
      <c r="B834" s="12" t="n"/>
      <c r="F834" s="10" t="n"/>
      <c r="G834" s="10" t="n"/>
      <c r="H834" s="10">
        <f>IF(OR(E834="",F834=""),"",E834*F834+N(G834))</f>
        <v/>
      </c>
      <c r="I834" s="10" t="n"/>
      <c r="J834" s="10">
        <f>IF(H834="","",H834-N(I834))</f>
        <v/>
      </c>
      <c r="K834">
        <f>IF(H834="","",IF(J834&lt;=0,"Paid",IF(I834&gt;0,"Partial","Pending")))</f>
        <v/>
      </c>
    </row>
    <row r="835">
      <c r="B835" s="12" t="n"/>
      <c r="F835" s="10" t="n"/>
      <c r="G835" s="10" t="n"/>
      <c r="H835" s="10">
        <f>IF(OR(E835="",F835=""),"",E835*F835+N(G835))</f>
        <v/>
      </c>
      <c r="I835" s="10" t="n"/>
      <c r="J835" s="10">
        <f>IF(H835="","",H835-N(I835))</f>
        <v/>
      </c>
      <c r="K835">
        <f>IF(H835="","",IF(J835&lt;=0,"Paid",IF(I835&gt;0,"Partial","Pending")))</f>
        <v/>
      </c>
    </row>
    <row r="836">
      <c r="B836" s="12" t="n"/>
      <c r="F836" s="10" t="n"/>
      <c r="G836" s="10" t="n"/>
      <c r="H836" s="10">
        <f>IF(OR(E836="",F836=""),"",E836*F836+N(G836))</f>
        <v/>
      </c>
      <c r="I836" s="10" t="n"/>
      <c r="J836" s="10">
        <f>IF(H836="","",H836-N(I836))</f>
        <v/>
      </c>
      <c r="K836">
        <f>IF(H836="","",IF(J836&lt;=0,"Paid",IF(I836&gt;0,"Partial","Pending")))</f>
        <v/>
      </c>
    </row>
    <row r="837">
      <c r="B837" s="12" t="n"/>
      <c r="F837" s="10" t="n"/>
      <c r="G837" s="10" t="n"/>
      <c r="H837" s="10">
        <f>IF(OR(E837="",F837=""),"",E837*F837+N(G837))</f>
        <v/>
      </c>
      <c r="I837" s="10" t="n"/>
      <c r="J837" s="10">
        <f>IF(H837="","",H837-N(I837))</f>
        <v/>
      </c>
      <c r="K837">
        <f>IF(H837="","",IF(J837&lt;=0,"Paid",IF(I837&gt;0,"Partial","Pending")))</f>
        <v/>
      </c>
    </row>
    <row r="838">
      <c r="B838" s="12" t="n"/>
      <c r="F838" s="10" t="n"/>
      <c r="G838" s="10" t="n"/>
      <c r="H838" s="10">
        <f>IF(OR(E838="",F838=""),"",E838*F838+N(G838))</f>
        <v/>
      </c>
      <c r="I838" s="10" t="n"/>
      <c r="J838" s="10">
        <f>IF(H838="","",H838-N(I838))</f>
        <v/>
      </c>
      <c r="K838">
        <f>IF(H838="","",IF(J838&lt;=0,"Paid",IF(I838&gt;0,"Partial","Pending")))</f>
        <v/>
      </c>
    </row>
    <row r="839">
      <c r="B839" s="12" t="n"/>
      <c r="F839" s="10" t="n"/>
      <c r="G839" s="10" t="n"/>
      <c r="H839" s="10">
        <f>IF(OR(E839="",F839=""),"",E839*F839+N(G839))</f>
        <v/>
      </c>
      <c r="I839" s="10" t="n"/>
      <c r="J839" s="10">
        <f>IF(H839="","",H839-N(I839))</f>
        <v/>
      </c>
      <c r="K839">
        <f>IF(H839="","",IF(J839&lt;=0,"Paid",IF(I839&gt;0,"Partial","Pending")))</f>
        <v/>
      </c>
    </row>
    <row r="840">
      <c r="B840" s="12" t="n"/>
      <c r="F840" s="10" t="n"/>
      <c r="G840" s="10" t="n"/>
      <c r="H840" s="10">
        <f>IF(OR(E840="",F840=""),"",E840*F840+N(G840))</f>
        <v/>
      </c>
      <c r="I840" s="10" t="n"/>
      <c r="J840" s="10">
        <f>IF(H840="","",H840-N(I840))</f>
        <v/>
      </c>
      <c r="K840">
        <f>IF(H840="","",IF(J840&lt;=0,"Paid",IF(I840&gt;0,"Partial","Pending")))</f>
        <v/>
      </c>
    </row>
    <row r="841">
      <c r="B841" s="12" t="n"/>
      <c r="F841" s="10" t="n"/>
      <c r="G841" s="10" t="n"/>
      <c r="H841" s="10">
        <f>IF(OR(E841="",F841=""),"",E841*F841+N(G841))</f>
        <v/>
      </c>
      <c r="I841" s="10" t="n"/>
      <c r="J841" s="10">
        <f>IF(H841="","",H841-N(I841))</f>
        <v/>
      </c>
      <c r="K841">
        <f>IF(H841="","",IF(J841&lt;=0,"Paid",IF(I841&gt;0,"Partial","Pending")))</f>
        <v/>
      </c>
    </row>
    <row r="842">
      <c r="B842" s="12" t="n"/>
      <c r="F842" s="10" t="n"/>
      <c r="G842" s="10" t="n"/>
      <c r="H842" s="10">
        <f>IF(OR(E842="",F842=""),"",E842*F842+N(G842))</f>
        <v/>
      </c>
      <c r="I842" s="10" t="n"/>
      <c r="J842" s="10">
        <f>IF(H842="","",H842-N(I842))</f>
        <v/>
      </c>
      <c r="K842">
        <f>IF(H842="","",IF(J842&lt;=0,"Paid",IF(I842&gt;0,"Partial","Pending")))</f>
        <v/>
      </c>
    </row>
    <row r="843">
      <c r="B843" s="12" t="n"/>
      <c r="F843" s="10" t="n"/>
      <c r="G843" s="10" t="n"/>
      <c r="H843" s="10">
        <f>IF(OR(E843="",F843=""),"",E843*F843+N(G843))</f>
        <v/>
      </c>
      <c r="I843" s="10" t="n"/>
      <c r="J843" s="10">
        <f>IF(H843="","",H843-N(I843))</f>
        <v/>
      </c>
      <c r="K843">
        <f>IF(H843="","",IF(J843&lt;=0,"Paid",IF(I843&gt;0,"Partial","Pending")))</f>
        <v/>
      </c>
    </row>
    <row r="844">
      <c r="B844" s="12" t="n"/>
      <c r="F844" s="10" t="n"/>
      <c r="G844" s="10" t="n"/>
      <c r="H844" s="10">
        <f>IF(OR(E844="",F844=""),"",E844*F844+N(G844))</f>
        <v/>
      </c>
      <c r="I844" s="10" t="n"/>
      <c r="J844" s="10">
        <f>IF(H844="","",H844-N(I844))</f>
        <v/>
      </c>
      <c r="K844">
        <f>IF(H844="","",IF(J844&lt;=0,"Paid",IF(I844&gt;0,"Partial","Pending")))</f>
        <v/>
      </c>
    </row>
    <row r="845">
      <c r="B845" s="12" t="n"/>
      <c r="F845" s="10" t="n"/>
      <c r="G845" s="10" t="n"/>
      <c r="H845" s="10">
        <f>IF(OR(E845="",F845=""),"",E845*F845+N(G845))</f>
        <v/>
      </c>
      <c r="I845" s="10" t="n"/>
      <c r="J845" s="10">
        <f>IF(H845="","",H845-N(I845))</f>
        <v/>
      </c>
      <c r="K845">
        <f>IF(H845="","",IF(J845&lt;=0,"Paid",IF(I845&gt;0,"Partial","Pending")))</f>
        <v/>
      </c>
    </row>
    <row r="846">
      <c r="B846" s="12" t="n"/>
      <c r="F846" s="10" t="n"/>
      <c r="G846" s="10" t="n"/>
      <c r="H846" s="10">
        <f>IF(OR(E846="",F846=""),"",E846*F846+N(G846))</f>
        <v/>
      </c>
      <c r="I846" s="10" t="n"/>
      <c r="J846" s="10">
        <f>IF(H846="","",H846-N(I846))</f>
        <v/>
      </c>
      <c r="K846">
        <f>IF(H846="","",IF(J846&lt;=0,"Paid",IF(I846&gt;0,"Partial","Pending")))</f>
        <v/>
      </c>
    </row>
    <row r="847">
      <c r="B847" s="12" t="n"/>
      <c r="F847" s="10" t="n"/>
      <c r="G847" s="10" t="n"/>
      <c r="H847" s="10">
        <f>IF(OR(E847="",F847=""),"",E847*F847+N(G847))</f>
        <v/>
      </c>
      <c r="I847" s="10" t="n"/>
      <c r="J847" s="10">
        <f>IF(H847="","",H847-N(I847))</f>
        <v/>
      </c>
      <c r="K847">
        <f>IF(H847="","",IF(J847&lt;=0,"Paid",IF(I847&gt;0,"Partial","Pending")))</f>
        <v/>
      </c>
    </row>
    <row r="848">
      <c r="B848" s="12" t="n"/>
      <c r="F848" s="10" t="n"/>
      <c r="G848" s="10" t="n"/>
      <c r="H848" s="10">
        <f>IF(OR(E848="",F848=""),"",E848*F848+N(G848))</f>
        <v/>
      </c>
      <c r="I848" s="10" t="n"/>
      <c r="J848" s="10">
        <f>IF(H848="","",H848-N(I848))</f>
        <v/>
      </c>
      <c r="K848">
        <f>IF(H848="","",IF(J848&lt;=0,"Paid",IF(I848&gt;0,"Partial","Pending")))</f>
        <v/>
      </c>
    </row>
    <row r="849">
      <c r="B849" s="12" t="n"/>
      <c r="F849" s="10" t="n"/>
      <c r="G849" s="10" t="n"/>
      <c r="H849" s="10">
        <f>IF(OR(E849="",F849=""),"",E849*F849+N(G849))</f>
        <v/>
      </c>
      <c r="I849" s="10" t="n"/>
      <c r="J849" s="10">
        <f>IF(H849="","",H849-N(I849))</f>
        <v/>
      </c>
      <c r="K849">
        <f>IF(H849="","",IF(J849&lt;=0,"Paid",IF(I849&gt;0,"Partial","Pending")))</f>
        <v/>
      </c>
    </row>
    <row r="850">
      <c r="B850" s="12" t="n"/>
      <c r="F850" s="10" t="n"/>
      <c r="G850" s="10" t="n"/>
      <c r="H850" s="10">
        <f>IF(OR(E850="",F850=""),"",E850*F850+N(G850))</f>
        <v/>
      </c>
      <c r="I850" s="10" t="n"/>
      <c r="J850" s="10">
        <f>IF(H850="","",H850-N(I850))</f>
        <v/>
      </c>
      <c r="K850">
        <f>IF(H850="","",IF(J850&lt;=0,"Paid",IF(I850&gt;0,"Partial","Pending")))</f>
        <v/>
      </c>
    </row>
    <row r="851">
      <c r="B851" s="12" t="n"/>
      <c r="F851" s="10" t="n"/>
      <c r="G851" s="10" t="n"/>
      <c r="H851" s="10">
        <f>IF(OR(E851="",F851=""),"",E851*F851+N(G851))</f>
        <v/>
      </c>
      <c r="I851" s="10" t="n"/>
      <c r="J851" s="10">
        <f>IF(H851="","",H851-N(I851))</f>
        <v/>
      </c>
      <c r="K851">
        <f>IF(H851="","",IF(J851&lt;=0,"Paid",IF(I851&gt;0,"Partial","Pending")))</f>
        <v/>
      </c>
    </row>
    <row r="852">
      <c r="B852" s="12" t="n"/>
      <c r="F852" s="10" t="n"/>
      <c r="G852" s="10" t="n"/>
      <c r="H852" s="10">
        <f>IF(OR(E852="",F852=""),"",E852*F852+N(G852))</f>
        <v/>
      </c>
      <c r="I852" s="10" t="n"/>
      <c r="J852" s="10">
        <f>IF(H852="","",H852-N(I852))</f>
        <v/>
      </c>
      <c r="K852">
        <f>IF(H852="","",IF(J852&lt;=0,"Paid",IF(I852&gt;0,"Partial","Pending")))</f>
        <v/>
      </c>
    </row>
    <row r="853">
      <c r="B853" s="12" t="n"/>
      <c r="F853" s="10" t="n"/>
      <c r="G853" s="10" t="n"/>
      <c r="H853" s="10">
        <f>IF(OR(E853="",F853=""),"",E853*F853+N(G853))</f>
        <v/>
      </c>
      <c r="I853" s="10" t="n"/>
      <c r="J853" s="10">
        <f>IF(H853="","",H853-N(I853))</f>
        <v/>
      </c>
      <c r="K853">
        <f>IF(H853="","",IF(J853&lt;=0,"Paid",IF(I853&gt;0,"Partial","Pending")))</f>
        <v/>
      </c>
    </row>
    <row r="854">
      <c r="B854" s="12" t="n"/>
      <c r="F854" s="10" t="n"/>
      <c r="G854" s="10" t="n"/>
      <c r="H854" s="10">
        <f>IF(OR(E854="",F854=""),"",E854*F854+N(G854))</f>
        <v/>
      </c>
      <c r="I854" s="10" t="n"/>
      <c r="J854" s="10">
        <f>IF(H854="","",H854-N(I854))</f>
        <v/>
      </c>
      <c r="K854">
        <f>IF(H854="","",IF(J854&lt;=0,"Paid",IF(I854&gt;0,"Partial","Pending")))</f>
        <v/>
      </c>
    </row>
    <row r="855">
      <c r="B855" s="12" t="n"/>
      <c r="F855" s="10" t="n"/>
      <c r="G855" s="10" t="n"/>
      <c r="H855" s="10">
        <f>IF(OR(E855="",F855=""),"",E855*F855+N(G855))</f>
        <v/>
      </c>
      <c r="I855" s="10" t="n"/>
      <c r="J855" s="10">
        <f>IF(H855="","",H855-N(I855))</f>
        <v/>
      </c>
      <c r="K855">
        <f>IF(H855="","",IF(J855&lt;=0,"Paid",IF(I855&gt;0,"Partial","Pending")))</f>
        <v/>
      </c>
    </row>
    <row r="856">
      <c r="B856" s="12" t="n"/>
      <c r="F856" s="10" t="n"/>
      <c r="G856" s="10" t="n"/>
      <c r="H856" s="10">
        <f>IF(OR(E856="",F856=""),"",E856*F856+N(G856))</f>
        <v/>
      </c>
      <c r="I856" s="10" t="n"/>
      <c r="J856" s="10">
        <f>IF(H856="","",H856-N(I856))</f>
        <v/>
      </c>
      <c r="K856">
        <f>IF(H856="","",IF(J856&lt;=0,"Paid",IF(I856&gt;0,"Partial","Pending")))</f>
        <v/>
      </c>
    </row>
    <row r="857">
      <c r="B857" s="12" t="n"/>
      <c r="F857" s="10" t="n"/>
      <c r="G857" s="10" t="n"/>
      <c r="H857" s="10">
        <f>IF(OR(E857="",F857=""),"",E857*F857+N(G857))</f>
        <v/>
      </c>
      <c r="I857" s="10" t="n"/>
      <c r="J857" s="10">
        <f>IF(H857="","",H857-N(I857))</f>
        <v/>
      </c>
      <c r="K857">
        <f>IF(H857="","",IF(J857&lt;=0,"Paid",IF(I857&gt;0,"Partial","Pending")))</f>
        <v/>
      </c>
    </row>
    <row r="858">
      <c r="B858" s="12" t="n"/>
      <c r="F858" s="10" t="n"/>
      <c r="G858" s="10" t="n"/>
      <c r="H858" s="10">
        <f>IF(OR(E858="",F858=""),"",E858*F858+N(G858))</f>
        <v/>
      </c>
      <c r="I858" s="10" t="n"/>
      <c r="J858" s="10">
        <f>IF(H858="","",H858-N(I858))</f>
        <v/>
      </c>
      <c r="K858">
        <f>IF(H858="","",IF(J858&lt;=0,"Paid",IF(I858&gt;0,"Partial","Pending")))</f>
        <v/>
      </c>
    </row>
    <row r="859">
      <c r="B859" s="12" t="n"/>
      <c r="F859" s="10" t="n"/>
      <c r="G859" s="10" t="n"/>
      <c r="H859" s="10">
        <f>IF(OR(E859="",F859=""),"",E859*F859+N(G859))</f>
        <v/>
      </c>
      <c r="I859" s="10" t="n"/>
      <c r="J859" s="10">
        <f>IF(H859="","",H859-N(I859))</f>
        <v/>
      </c>
      <c r="K859">
        <f>IF(H859="","",IF(J859&lt;=0,"Paid",IF(I859&gt;0,"Partial","Pending")))</f>
        <v/>
      </c>
    </row>
    <row r="860">
      <c r="B860" s="12" t="n"/>
      <c r="F860" s="10" t="n"/>
      <c r="G860" s="10" t="n"/>
      <c r="H860" s="10">
        <f>IF(OR(E860="",F860=""),"",E860*F860+N(G860))</f>
        <v/>
      </c>
      <c r="I860" s="10" t="n"/>
      <c r="J860" s="10">
        <f>IF(H860="","",H860-N(I860))</f>
        <v/>
      </c>
      <c r="K860">
        <f>IF(H860="","",IF(J860&lt;=0,"Paid",IF(I860&gt;0,"Partial","Pending")))</f>
        <v/>
      </c>
    </row>
    <row r="861">
      <c r="B861" s="12" t="n"/>
      <c r="F861" s="10" t="n"/>
      <c r="G861" s="10" t="n"/>
      <c r="H861" s="10">
        <f>IF(OR(E861="",F861=""),"",E861*F861+N(G861))</f>
        <v/>
      </c>
      <c r="I861" s="10" t="n"/>
      <c r="J861" s="10">
        <f>IF(H861="","",H861-N(I861))</f>
        <v/>
      </c>
      <c r="K861">
        <f>IF(H861="","",IF(J861&lt;=0,"Paid",IF(I861&gt;0,"Partial","Pending")))</f>
        <v/>
      </c>
    </row>
    <row r="862">
      <c r="B862" s="12" t="n"/>
      <c r="F862" s="10" t="n"/>
      <c r="G862" s="10" t="n"/>
      <c r="H862" s="10">
        <f>IF(OR(E862="",F862=""),"",E862*F862+N(G862))</f>
        <v/>
      </c>
      <c r="I862" s="10" t="n"/>
      <c r="J862" s="10">
        <f>IF(H862="","",H862-N(I862))</f>
        <v/>
      </c>
      <c r="K862">
        <f>IF(H862="","",IF(J862&lt;=0,"Paid",IF(I862&gt;0,"Partial","Pending")))</f>
        <v/>
      </c>
    </row>
    <row r="863">
      <c r="B863" s="12" t="n"/>
      <c r="F863" s="10" t="n"/>
      <c r="G863" s="10" t="n"/>
      <c r="H863" s="10">
        <f>IF(OR(E863="",F863=""),"",E863*F863+N(G863))</f>
        <v/>
      </c>
      <c r="I863" s="10" t="n"/>
      <c r="J863" s="10">
        <f>IF(H863="","",H863-N(I863))</f>
        <v/>
      </c>
      <c r="K863">
        <f>IF(H863="","",IF(J863&lt;=0,"Paid",IF(I863&gt;0,"Partial","Pending")))</f>
        <v/>
      </c>
    </row>
    <row r="864">
      <c r="B864" s="12" t="n"/>
      <c r="F864" s="10" t="n"/>
      <c r="G864" s="10" t="n"/>
      <c r="H864" s="10">
        <f>IF(OR(E864="",F864=""),"",E864*F864+N(G864))</f>
        <v/>
      </c>
      <c r="I864" s="10" t="n"/>
      <c r="J864" s="10">
        <f>IF(H864="","",H864-N(I864))</f>
        <v/>
      </c>
      <c r="K864">
        <f>IF(H864="","",IF(J864&lt;=0,"Paid",IF(I864&gt;0,"Partial","Pending")))</f>
        <v/>
      </c>
    </row>
    <row r="865">
      <c r="B865" s="12" t="n"/>
      <c r="F865" s="10" t="n"/>
      <c r="G865" s="10" t="n"/>
      <c r="H865" s="10">
        <f>IF(OR(E865="",F865=""),"",E865*F865+N(G865))</f>
        <v/>
      </c>
      <c r="I865" s="10" t="n"/>
      <c r="J865" s="10">
        <f>IF(H865="","",H865-N(I865))</f>
        <v/>
      </c>
      <c r="K865">
        <f>IF(H865="","",IF(J865&lt;=0,"Paid",IF(I865&gt;0,"Partial","Pending")))</f>
        <v/>
      </c>
    </row>
    <row r="866">
      <c r="B866" s="12" t="n"/>
      <c r="F866" s="10" t="n"/>
      <c r="G866" s="10" t="n"/>
      <c r="H866" s="10">
        <f>IF(OR(E866="",F866=""),"",E866*F866+N(G866))</f>
        <v/>
      </c>
      <c r="I866" s="10" t="n"/>
      <c r="J866" s="10">
        <f>IF(H866="","",H866-N(I866))</f>
        <v/>
      </c>
      <c r="K866">
        <f>IF(H866="","",IF(J866&lt;=0,"Paid",IF(I866&gt;0,"Partial","Pending")))</f>
        <v/>
      </c>
    </row>
    <row r="867">
      <c r="B867" s="12" t="n"/>
      <c r="F867" s="10" t="n"/>
      <c r="G867" s="10" t="n"/>
      <c r="H867" s="10">
        <f>IF(OR(E867="",F867=""),"",E867*F867+N(G867))</f>
        <v/>
      </c>
      <c r="I867" s="10" t="n"/>
      <c r="J867" s="10">
        <f>IF(H867="","",H867-N(I867))</f>
        <v/>
      </c>
      <c r="K867">
        <f>IF(H867="","",IF(J867&lt;=0,"Paid",IF(I867&gt;0,"Partial","Pending")))</f>
        <v/>
      </c>
    </row>
    <row r="868">
      <c r="B868" s="12" t="n"/>
      <c r="F868" s="10" t="n"/>
      <c r="G868" s="10" t="n"/>
      <c r="H868" s="10">
        <f>IF(OR(E868="",F868=""),"",E868*F868+N(G868))</f>
        <v/>
      </c>
      <c r="I868" s="10" t="n"/>
      <c r="J868" s="10">
        <f>IF(H868="","",H868-N(I868))</f>
        <v/>
      </c>
      <c r="K868">
        <f>IF(H868="","",IF(J868&lt;=0,"Paid",IF(I868&gt;0,"Partial","Pending")))</f>
        <v/>
      </c>
    </row>
    <row r="869">
      <c r="B869" s="12" t="n"/>
      <c r="F869" s="10" t="n"/>
      <c r="G869" s="10" t="n"/>
      <c r="H869" s="10">
        <f>IF(OR(E869="",F869=""),"",E869*F869+N(G869))</f>
        <v/>
      </c>
      <c r="I869" s="10" t="n"/>
      <c r="J869" s="10">
        <f>IF(H869="","",H869-N(I869))</f>
        <v/>
      </c>
      <c r="K869">
        <f>IF(H869="","",IF(J869&lt;=0,"Paid",IF(I869&gt;0,"Partial","Pending")))</f>
        <v/>
      </c>
    </row>
    <row r="870">
      <c r="B870" s="12" t="n"/>
      <c r="F870" s="10" t="n"/>
      <c r="G870" s="10" t="n"/>
      <c r="H870" s="10">
        <f>IF(OR(E870="",F870=""),"",E870*F870+N(G870))</f>
        <v/>
      </c>
      <c r="I870" s="10" t="n"/>
      <c r="J870" s="10">
        <f>IF(H870="","",H870-N(I870))</f>
        <v/>
      </c>
      <c r="K870">
        <f>IF(H870="","",IF(J870&lt;=0,"Paid",IF(I870&gt;0,"Partial","Pending")))</f>
        <v/>
      </c>
    </row>
    <row r="871">
      <c r="B871" s="12" t="n"/>
      <c r="F871" s="10" t="n"/>
      <c r="G871" s="10" t="n"/>
      <c r="H871" s="10">
        <f>IF(OR(E871="",F871=""),"",E871*F871+N(G871))</f>
        <v/>
      </c>
      <c r="I871" s="10" t="n"/>
      <c r="J871" s="10">
        <f>IF(H871="","",H871-N(I871))</f>
        <v/>
      </c>
      <c r="K871">
        <f>IF(H871="","",IF(J871&lt;=0,"Paid",IF(I871&gt;0,"Partial","Pending")))</f>
        <v/>
      </c>
    </row>
    <row r="872">
      <c r="B872" s="12" t="n"/>
      <c r="F872" s="10" t="n"/>
      <c r="G872" s="10" t="n"/>
      <c r="H872" s="10">
        <f>IF(OR(E872="",F872=""),"",E872*F872+N(G872))</f>
        <v/>
      </c>
      <c r="I872" s="10" t="n"/>
      <c r="J872" s="10">
        <f>IF(H872="","",H872-N(I872))</f>
        <v/>
      </c>
      <c r="K872">
        <f>IF(H872="","",IF(J872&lt;=0,"Paid",IF(I872&gt;0,"Partial","Pending")))</f>
        <v/>
      </c>
    </row>
    <row r="873">
      <c r="B873" s="12" t="n"/>
      <c r="F873" s="10" t="n"/>
      <c r="G873" s="10" t="n"/>
      <c r="H873" s="10">
        <f>IF(OR(E873="",F873=""),"",E873*F873+N(G873))</f>
        <v/>
      </c>
      <c r="I873" s="10" t="n"/>
      <c r="J873" s="10">
        <f>IF(H873="","",H873-N(I873))</f>
        <v/>
      </c>
      <c r="K873">
        <f>IF(H873="","",IF(J873&lt;=0,"Paid",IF(I873&gt;0,"Partial","Pending")))</f>
        <v/>
      </c>
    </row>
    <row r="874">
      <c r="B874" s="12" t="n"/>
      <c r="F874" s="10" t="n"/>
      <c r="G874" s="10" t="n"/>
      <c r="H874" s="10">
        <f>IF(OR(E874="",F874=""),"",E874*F874+N(G874))</f>
        <v/>
      </c>
      <c r="I874" s="10" t="n"/>
      <c r="J874" s="10">
        <f>IF(H874="","",H874-N(I874))</f>
        <v/>
      </c>
      <c r="K874">
        <f>IF(H874="","",IF(J874&lt;=0,"Paid",IF(I874&gt;0,"Partial","Pending")))</f>
        <v/>
      </c>
    </row>
    <row r="875">
      <c r="B875" s="12" t="n"/>
      <c r="F875" s="10" t="n"/>
      <c r="G875" s="10" t="n"/>
      <c r="H875" s="10">
        <f>IF(OR(E875="",F875=""),"",E875*F875+N(G875))</f>
        <v/>
      </c>
      <c r="I875" s="10" t="n"/>
      <c r="J875" s="10">
        <f>IF(H875="","",H875-N(I875))</f>
        <v/>
      </c>
      <c r="K875">
        <f>IF(H875="","",IF(J875&lt;=0,"Paid",IF(I875&gt;0,"Partial","Pending")))</f>
        <v/>
      </c>
    </row>
    <row r="876">
      <c r="B876" s="12" t="n"/>
      <c r="F876" s="10" t="n"/>
      <c r="G876" s="10" t="n"/>
      <c r="H876" s="10">
        <f>IF(OR(E876="",F876=""),"",E876*F876+N(G876))</f>
        <v/>
      </c>
      <c r="I876" s="10" t="n"/>
      <c r="J876" s="10">
        <f>IF(H876="","",H876-N(I876))</f>
        <v/>
      </c>
      <c r="K876">
        <f>IF(H876="","",IF(J876&lt;=0,"Paid",IF(I876&gt;0,"Partial","Pending")))</f>
        <v/>
      </c>
    </row>
    <row r="877">
      <c r="B877" s="12" t="n"/>
      <c r="F877" s="10" t="n"/>
      <c r="G877" s="10" t="n"/>
      <c r="H877" s="10">
        <f>IF(OR(E877="",F877=""),"",E877*F877+N(G877))</f>
        <v/>
      </c>
      <c r="I877" s="10" t="n"/>
      <c r="J877" s="10">
        <f>IF(H877="","",H877-N(I877))</f>
        <v/>
      </c>
      <c r="K877">
        <f>IF(H877="","",IF(J877&lt;=0,"Paid",IF(I877&gt;0,"Partial","Pending")))</f>
        <v/>
      </c>
    </row>
    <row r="878">
      <c r="B878" s="12" t="n"/>
      <c r="F878" s="10" t="n"/>
      <c r="G878" s="10" t="n"/>
      <c r="H878" s="10">
        <f>IF(OR(E878="",F878=""),"",E878*F878+N(G878))</f>
        <v/>
      </c>
      <c r="I878" s="10" t="n"/>
      <c r="J878" s="10">
        <f>IF(H878="","",H878-N(I878))</f>
        <v/>
      </c>
      <c r="K878">
        <f>IF(H878="","",IF(J878&lt;=0,"Paid",IF(I878&gt;0,"Partial","Pending")))</f>
        <v/>
      </c>
    </row>
    <row r="879">
      <c r="B879" s="12" t="n"/>
      <c r="F879" s="10" t="n"/>
      <c r="G879" s="10" t="n"/>
      <c r="H879" s="10">
        <f>IF(OR(E879="",F879=""),"",E879*F879+N(G879))</f>
        <v/>
      </c>
      <c r="I879" s="10" t="n"/>
      <c r="J879" s="10">
        <f>IF(H879="","",H879-N(I879))</f>
        <v/>
      </c>
      <c r="K879">
        <f>IF(H879="","",IF(J879&lt;=0,"Paid",IF(I879&gt;0,"Partial","Pending")))</f>
        <v/>
      </c>
    </row>
    <row r="880">
      <c r="B880" s="12" t="n"/>
      <c r="F880" s="10" t="n"/>
      <c r="G880" s="10" t="n"/>
      <c r="H880" s="10">
        <f>IF(OR(E880="",F880=""),"",E880*F880+N(G880))</f>
        <v/>
      </c>
      <c r="I880" s="10" t="n"/>
      <c r="J880" s="10">
        <f>IF(H880="","",H880-N(I880))</f>
        <v/>
      </c>
      <c r="K880">
        <f>IF(H880="","",IF(J880&lt;=0,"Paid",IF(I880&gt;0,"Partial","Pending")))</f>
        <v/>
      </c>
    </row>
    <row r="881">
      <c r="B881" s="12" t="n"/>
      <c r="F881" s="10" t="n"/>
      <c r="G881" s="10" t="n"/>
      <c r="H881" s="10">
        <f>IF(OR(E881="",F881=""),"",E881*F881+N(G881))</f>
        <v/>
      </c>
      <c r="I881" s="10" t="n"/>
      <c r="J881" s="10">
        <f>IF(H881="","",H881-N(I881))</f>
        <v/>
      </c>
      <c r="K881">
        <f>IF(H881="","",IF(J881&lt;=0,"Paid",IF(I881&gt;0,"Partial","Pending")))</f>
        <v/>
      </c>
    </row>
    <row r="882">
      <c r="B882" s="12" t="n"/>
      <c r="F882" s="10" t="n"/>
      <c r="G882" s="10" t="n"/>
      <c r="H882" s="10">
        <f>IF(OR(E882="",F882=""),"",E882*F882+N(G882))</f>
        <v/>
      </c>
      <c r="I882" s="10" t="n"/>
      <c r="J882" s="10">
        <f>IF(H882="","",H882-N(I882))</f>
        <v/>
      </c>
      <c r="K882">
        <f>IF(H882="","",IF(J882&lt;=0,"Paid",IF(I882&gt;0,"Partial","Pending")))</f>
        <v/>
      </c>
    </row>
    <row r="883">
      <c r="B883" s="12" t="n"/>
      <c r="F883" s="10" t="n"/>
      <c r="G883" s="10" t="n"/>
      <c r="H883" s="10">
        <f>IF(OR(E883="",F883=""),"",E883*F883+N(G883))</f>
        <v/>
      </c>
      <c r="I883" s="10" t="n"/>
      <c r="J883" s="10">
        <f>IF(H883="","",H883-N(I883))</f>
        <v/>
      </c>
      <c r="K883">
        <f>IF(H883="","",IF(J883&lt;=0,"Paid",IF(I883&gt;0,"Partial","Pending")))</f>
        <v/>
      </c>
    </row>
    <row r="884">
      <c r="B884" s="12" t="n"/>
      <c r="F884" s="10" t="n"/>
      <c r="G884" s="10" t="n"/>
      <c r="H884" s="10">
        <f>IF(OR(E884="",F884=""),"",E884*F884+N(G884))</f>
        <v/>
      </c>
      <c r="I884" s="10" t="n"/>
      <c r="J884" s="10">
        <f>IF(H884="","",H884-N(I884))</f>
        <v/>
      </c>
      <c r="K884">
        <f>IF(H884="","",IF(J884&lt;=0,"Paid",IF(I884&gt;0,"Partial","Pending")))</f>
        <v/>
      </c>
    </row>
    <row r="885">
      <c r="B885" s="12" t="n"/>
      <c r="F885" s="10" t="n"/>
      <c r="G885" s="10" t="n"/>
      <c r="H885" s="10">
        <f>IF(OR(E885="",F885=""),"",E885*F885+N(G885))</f>
        <v/>
      </c>
      <c r="I885" s="10" t="n"/>
      <c r="J885" s="10">
        <f>IF(H885="","",H885-N(I885))</f>
        <v/>
      </c>
      <c r="K885">
        <f>IF(H885="","",IF(J885&lt;=0,"Paid",IF(I885&gt;0,"Partial","Pending")))</f>
        <v/>
      </c>
    </row>
    <row r="886">
      <c r="B886" s="12" t="n"/>
      <c r="F886" s="10" t="n"/>
      <c r="G886" s="10" t="n"/>
      <c r="H886" s="10">
        <f>IF(OR(E886="",F886=""),"",E886*F886+N(G886))</f>
        <v/>
      </c>
      <c r="I886" s="10" t="n"/>
      <c r="J886" s="10">
        <f>IF(H886="","",H886-N(I886))</f>
        <v/>
      </c>
      <c r="K886">
        <f>IF(H886="","",IF(J886&lt;=0,"Paid",IF(I886&gt;0,"Partial","Pending")))</f>
        <v/>
      </c>
    </row>
    <row r="887">
      <c r="B887" s="12" t="n"/>
      <c r="F887" s="10" t="n"/>
      <c r="G887" s="10" t="n"/>
      <c r="H887" s="10">
        <f>IF(OR(E887="",F887=""),"",E887*F887+N(G887))</f>
        <v/>
      </c>
      <c r="I887" s="10" t="n"/>
      <c r="J887" s="10">
        <f>IF(H887="","",H887-N(I887))</f>
        <v/>
      </c>
      <c r="K887">
        <f>IF(H887="","",IF(J887&lt;=0,"Paid",IF(I887&gt;0,"Partial","Pending")))</f>
        <v/>
      </c>
    </row>
    <row r="888">
      <c r="B888" s="12" t="n"/>
      <c r="F888" s="10" t="n"/>
      <c r="G888" s="10" t="n"/>
      <c r="H888" s="10">
        <f>IF(OR(E888="",F888=""),"",E888*F888+N(G888))</f>
        <v/>
      </c>
      <c r="I888" s="10" t="n"/>
      <c r="J888" s="10">
        <f>IF(H888="","",H888-N(I888))</f>
        <v/>
      </c>
      <c r="K888">
        <f>IF(H888="","",IF(J888&lt;=0,"Paid",IF(I888&gt;0,"Partial","Pending")))</f>
        <v/>
      </c>
    </row>
    <row r="889">
      <c r="B889" s="12" t="n"/>
      <c r="F889" s="10" t="n"/>
      <c r="G889" s="10" t="n"/>
      <c r="H889" s="10">
        <f>IF(OR(E889="",F889=""),"",E889*F889+N(G889))</f>
        <v/>
      </c>
      <c r="I889" s="10" t="n"/>
      <c r="J889" s="10">
        <f>IF(H889="","",H889-N(I889))</f>
        <v/>
      </c>
      <c r="K889">
        <f>IF(H889="","",IF(J889&lt;=0,"Paid",IF(I889&gt;0,"Partial","Pending")))</f>
        <v/>
      </c>
    </row>
    <row r="890">
      <c r="B890" s="12" t="n"/>
      <c r="F890" s="10" t="n"/>
      <c r="G890" s="10" t="n"/>
      <c r="H890" s="10">
        <f>IF(OR(E890="",F890=""),"",E890*F890+N(G890))</f>
        <v/>
      </c>
      <c r="I890" s="10" t="n"/>
      <c r="J890" s="10">
        <f>IF(H890="","",H890-N(I890))</f>
        <v/>
      </c>
      <c r="K890">
        <f>IF(H890="","",IF(J890&lt;=0,"Paid",IF(I890&gt;0,"Partial","Pending")))</f>
        <v/>
      </c>
    </row>
    <row r="891">
      <c r="B891" s="12" t="n"/>
      <c r="F891" s="10" t="n"/>
      <c r="G891" s="10" t="n"/>
      <c r="H891" s="10">
        <f>IF(OR(E891="",F891=""),"",E891*F891+N(G891))</f>
        <v/>
      </c>
      <c r="I891" s="10" t="n"/>
      <c r="J891" s="10">
        <f>IF(H891="","",H891-N(I891))</f>
        <v/>
      </c>
      <c r="K891">
        <f>IF(H891="","",IF(J891&lt;=0,"Paid",IF(I891&gt;0,"Partial","Pending")))</f>
        <v/>
      </c>
    </row>
    <row r="892">
      <c r="B892" s="12" t="n"/>
      <c r="F892" s="10" t="n"/>
      <c r="G892" s="10" t="n"/>
      <c r="H892" s="10">
        <f>IF(OR(E892="",F892=""),"",E892*F892+N(G892))</f>
        <v/>
      </c>
      <c r="I892" s="10" t="n"/>
      <c r="J892" s="10">
        <f>IF(H892="","",H892-N(I892))</f>
        <v/>
      </c>
      <c r="K892">
        <f>IF(H892="","",IF(J892&lt;=0,"Paid",IF(I892&gt;0,"Partial","Pending")))</f>
        <v/>
      </c>
    </row>
    <row r="893">
      <c r="B893" s="12" t="n"/>
      <c r="F893" s="10" t="n"/>
      <c r="G893" s="10" t="n"/>
      <c r="H893" s="10">
        <f>IF(OR(E893="",F893=""),"",E893*F893+N(G893))</f>
        <v/>
      </c>
      <c r="I893" s="10" t="n"/>
      <c r="J893" s="10">
        <f>IF(H893="","",H893-N(I893))</f>
        <v/>
      </c>
      <c r="K893">
        <f>IF(H893="","",IF(J893&lt;=0,"Paid",IF(I893&gt;0,"Partial","Pending")))</f>
        <v/>
      </c>
    </row>
    <row r="894">
      <c r="B894" s="12" t="n"/>
      <c r="F894" s="10" t="n"/>
      <c r="G894" s="10" t="n"/>
      <c r="H894" s="10">
        <f>IF(OR(E894="",F894=""),"",E894*F894+N(G894))</f>
        <v/>
      </c>
      <c r="I894" s="10" t="n"/>
      <c r="J894" s="10">
        <f>IF(H894="","",H894-N(I894))</f>
        <v/>
      </c>
      <c r="K894">
        <f>IF(H894="","",IF(J894&lt;=0,"Paid",IF(I894&gt;0,"Partial","Pending")))</f>
        <v/>
      </c>
    </row>
    <row r="895">
      <c r="B895" s="12" t="n"/>
      <c r="F895" s="10" t="n"/>
      <c r="G895" s="10" t="n"/>
      <c r="H895" s="10">
        <f>IF(OR(E895="",F895=""),"",E895*F895+N(G895))</f>
        <v/>
      </c>
      <c r="I895" s="10" t="n"/>
      <c r="J895" s="10">
        <f>IF(H895="","",H895-N(I895))</f>
        <v/>
      </c>
      <c r="K895">
        <f>IF(H895="","",IF(J895&lt;=0,"Paid",IF(I895&gt;0,"Partial","Pending")))</f>
        <v/>
      </c>
    </row>
    <row r="896">
      <c r="B896" s="12" t="n"/>
      <c r="F896" s="10" t="n"/>
      <c r="G896" s="10" t="n"/>
      <c r="H896" s="10">
        <f>IF(OR(E896="",F896=""),"",E896*F896+N(G896))</f>
        <v/>
      </c>
      <c r="I896" s="10" t="n"/>
      <c r="J896" s="10">
        <f>IF(H896="","",H896-N(I896))</f>
        <v/>
      </c>
      <c r="K896">
        <f>IF(H896="","",IF(J896&lt;=0,"Paid",IF(I896&gt;0,"Partial","Pending")))</f>
        <v/>
      </c>
    </row>
    <row r="897">
      <c r="B897" s="12" t="n"/>
      <c r="F897" s="10" t="n"/>
      <c r="G897" s="10" t="n"/>
      <c r="H897" s="10">
        <f>IF(OR(E897="",F897=""),"",E897*F897+N(G897))</f>
        <v/>
      </c>
      <c r="I897" s="10" t="n"/>
      <c r="J897" s="10">
        <f>IF(H897="","",H897-N(I897))</f>
        <v/>
      </c>
      <c r="K897">
        <f>IF(H897="","",IF(J897&lt;=0,"Paid",IF(I897&gt;0,"Partial","Pending")))</f>
        <v/>
      </c>
    </row>
    <row r="898">
      <c r="B898" s="12" t="n"/>
      <c r="F898" s="10" t="n"/>
      <c r="G898" s="10" t="n"/>
      <c r="H898" s="10">
        <f>IF(OR(E898="",F898=""),"",E898*F898+N(G898))</f>
        <v/>
      </c>
      <c r="I898" s="10" t="n"/>
      <c r="J898" s="10">
        <f>IF(H898="","",H898-N(I898))</f>
        <v/>
      </c>
      <c r="K898">
        <f>IF(H898="","",IF(J898&lt;=0,"Paid",IF(I898&gt;0,"Partial","Pending")))</f>
        <v/>
      </c>
    </row>
    <row r="899">
      <c r="B899" s="12" t="n"/>
      <c r="F899" s="10" t="n"/>
      <c r="G899" s="10" t="n"/>
      <c r="H899" s="10">
        <f>IF(OR(E899="",F899=""),"",E899*F899+N(G899))</f>
        <v/>
      </c>
      <c r="I899" s="10" t="n"/>
      <c r="J899" s="10">
        <f>IF(H899="","",H899-N(I899))</f>
        <v/>
      </c>
      <c r="K899">
        <f>IF(H899="","",IF(J899&lt;=0,"Paid",IF(I899&gt;0,"Partial","Pending")))</f>
        <v/>
      </c>
    </row>
    <row r="900">
      <c r="B900" s="12" t="n"/>
      <c r="F900" s="10" t="n"/>
      <c r="G900" s="10" t="n"/>
      <c r="H900" s="10">
        <f>IF(OR(E900="",F900=""),"",E900*F900+N(G900))</f>
        <v/>
      </c>
      <c r="I900" s="10" t="n"/>
      <c r="J900" s="10">
        <f>IF(H900="","",H900-N(I900))</f>
        <v/>
      </c>
      <c r="K900">
        <f>IF(H900="","",IF(J900&lt;=0,"Paid",IF(I900&gt;0,"Partial","Pending")))</f>
        <v/>
      </c>
    </row>
    <row r="901">
      <c r="B901" s="12" t="n"/>
      <c r="F901" s="10" t="n"/>
      <c r="G901" s="10" t="n"/>
      <c r="H901" s="10">
        <f>IF(OR(E901="",F901=""),"",E901*F901+N(G901))</f>
        <v/>
      </c>
      <c r="I901" s="10" t="n"/>
      <c r="J901" s="10">
        <f>IF(H901="","",H901-N(I901))</f>
        <v/>
      </c>
      <c r="K901">
        <f>IF(H901="","",IF(J901&lt;=0,"Paid",IF(I901&gt;0,"Partial","Pending")))</f>
        <v/>
      </c>
    </row>
    <row r="902">
      <c r="B902" s="12" t="n"/>
      <c r="F902" s="10" t="n"/>
      <c r="G902" s="10" t="n"/>
      <c r="H902" s="10">
        <f>IF(OR(E902="",F902=""),"",E902*F902+N(G902))</f>
        <v/>
      </c>
      <c r="I902" s="10" t="n"/>
      <c r="J902" s="10">
        <f>IF(H902="","",H902-N(I902))</f>
        <v/>
      </c>
      <c r="K902">
        <f>IF(H902="","",IF(J902&lt;=0,"Paid",IF(I902&gt;0,"Partial","Pending")))</f>
        <v/>
      </c>
    </row>
    <row r="903">
      <c r="B903" s="12" t="n"/>
      <c r="F903" s="10" t="n"/>
      <c r="G903" s="10" t="n"/>
      <c r="H903" s="10">
        <f>IF(OR(E903="",F903=""),"",E903*F903+N(G903))</f>
        <v/>
      </c>
      <c r="I903" s="10" t="n"/>
      <c r="J903" s="10">
        <f>IF(H903="","",H903-N(I903))</f>
        <v/>
      </c>
      <c r="K903">
        <f>IF(H903="","",IF(J903&lt;=0,"Paid",IF(I903&gt;0,"Partial","Pending")))</f>
        <v/>
      </c>
    </row>
    <row r="904">
      <c r="B904" s="12" t="n"/>
      <c r="F904" s="10" t="n"/>
      <c r="G904" s="10" t="n"/>
      <c r="H904" s="10">
        <f>IF(OR(E904="",F904=""),"",E904*F904+N(G904))</f>
        <v/>
      </c>
      <c r="I904" s="10" t="n"/>
      <c r="J904" s="10">
        <f>IF(H904="","",H904-N(I904))</f>
        <v/>
      </c>
      <c r="K904">
        <f>IF(H904="","",IF(J904&lt;=0,"Paid",IF(I904&gt;0,"Partial","Pending")))</f>
        <v/>
      </c>
    </row>
    <row r="905">
      <c r="B905" s="12" t="n"/>
      <c r="F905" s="10" t="n"/>
      <c r="G905" s="10" t="n"/>
      <c r="H905" s="10">
        <f>IF(OR(E905="",F905=""),"",E905*F905+N(G905))</f>
        <v/>
      </c>
      <c r="I905" s="10" t="n"/>
      <c r="J905" s="10">
        <f>IF(H905="","",H905-N(I905))</f>
        <v/>
      </c>
      <c r="K905">
        <f>IF(H905="","",IF(J905&lt;=0,"Paid",IF(I905&gt;0,"Partial","Pending")))</f>
        <v/>
      </c>
    </row>
    <row r="906">
      <c r="B906" s="12" t="n"/>
      <c r="F906" s="10" t="n"/>
      <c r="G906" s="10" t="n"/>
      <c r="H906" s="10">
        <f>IF(OR(E906="",F906=""),"",E906*F906+N(G906))</f>
        <v/>
      </c>
      <c r="I906" s="10" t="n"/>
      <c r="J906" s="10">
        <f>IF(H906="","",H906-N(I906))</f>
        <v/>
      </c>
      <c r="K906">
        <f>IF(H906="","",IF(J906&lt;=0,"Paid",IF(I906&gt;0,"Partial","Pending")))</f>
        <v/>
      </c>
    </row>
    <row r="907">
      <c r="B907" s="12" t="n"/>
      <c r="F907" s="10" t="n"/>
      <c r="G907" s="10" t="n"/>
      <c r="H907" s="10">
        <f>IF(OR(E907="",F907=""),"",E907*F907+N(G907))</f>
        <v/>
      </c>
      <c r="I907" s="10" t="n"/>
      <c r="J907" s="10">
        <f>IF(H907="","",H907-N(I907))</f>
        <v/>
      </c>
      <c r="K907">
        <f>IF(H907="","",IF(J907&lt;=0,"Paid",IF(I907&gt;0,"Partial","Pending")))</f>
        <v/>
      </c>
    </row>
    <row r="908">
      <c r="B908" s="12" t="n"/>
      <c r="F908" s="10" t="n"/>
      <c r="G908" s="10" t="n"/>
      <c r="H908" s="10">
        <f>IF(OR(E908="",F908=""),"",E908*F908+N(G908))</f>
        <v/>
      </c>
      <c r="I908" s="10" t="n"/>
      <c r="J908" s="10">
        <f>IF(H908="","",H908-N(I908))</f>
        <v/>
      </c>
      <c r="K908">
        <f>IF(H908="","",IF(J908&lt;=0,"Paid",IF(I908&gt;0,"Partial","Pending")))</f>
        <v/>
      </c>
    </row>
    <row r="909">
      <c r="B909" s="12" t="n"/>
      <c r="F909" s="10" t="n"/>
      <c r="G909" s="10" t="n"/>
      <c r="H909" s="10">
        <f>IF(OR(E909="",F909=""),"",E909*F909+N(G909))</f>
        <v/>
      </c>
      <c r="I909" s="10" t="n"/>
      <c r="J909" s="10">
        <f>IF(H909="","",H909-N(I909))</f>
        <v/>
      </c>
      <c r="K909">
        <f>IF(H909="","",IF(J909&lt;=0,"Paid",IF(I909&gt;0,"Partial","Pending")))</f>
        <v/>
      </c>
    </row>
    <row r="910">
      <c r="B910" s="12" t="n"/>
      <c r="F910" s="10" t="n"/>
      <c r="G910" s="10" t="n"/>
      <c r="H910" s="10">
        <f>IF(OR(E910="",F910=""),"",E910*F910+N(G910))</f>
        <v/>
      </c>
      <c r="I910" s="10" t="n"/>
      <c r="J910" s="10">
        <f>IF(H910="","",H910-N(I910))</f>
        <v/>
      </c>
      <c r="K910">
        <f>IF(H910="","",IF(J910&lt;=0,"Paid",IF(I910&gt;0,"Partial","Pending")))</f>
        <v/>
      </c>
    </row>
    <row r="911">
      <c r="B911" s="12" t="n"/>
      <c r="F911" s="10" t="n"/>
      <c r="G911" s="10" t="n"/>
      <c r="H911" s="10">
        <f>IF(OR(E911="",F911=""),"",E911*F911+N(G911))</f>
        <v/>
      </c>
      <c r="I911" s="10" t="n"/>
      <c r="J911" s="10">
        <f>IF(H911="","",H911-N(I911))</f>
        <v/>
      </c>
      <c r="K911">
        <f>IF(H911="","",IF(J911&lt;=0,"Paid",IF(I911&gt;0,"Partial","Pending")))</f>
        <v/>
      </c>
    </row>
    <row r="912">
      <c r="B912" s="12" t="n"/>
      <c r="F912" s="10" t="n"/>
      <c r="G912" s="10" t="n"/>
      <c r="H912" s="10">
        <f>IF(OR(E912="",F912=""),"",E912*F912+N(G912))</f>
        <v/>
      </c>
      <c r="I912" s="10" t="n"/>
      <c r="J912" s="10">
        <f>IF(H912="","",H912-N(I912))</f>
        <v/>
      </c>
      <c r="K912">
        <f>IF(H912="","",IF(J912&lt;=0,"Paid",IF(I912&gt;0,"Partial","Pending")))</f>
        <v/>
      </c>
    </row>
    <row r="913">
      <c r="B913" s="12" t="n"/>
      <c r="F913" s="10" t="n"/>
      <c r="G913" s="10" t="n"/>
      <c r="H913" s="10">
        <f>IF(OR(E913="",F913=""),"",E913*F913+N(G913))</f>
        <v/>
      </c>
      <c r="I913" s="10" t="n"/>
      <c r="J913" s="10">
        <f>IF(H913="","",H913-N(I913))</f>
        <v/>
      </c>
      <c r="K913">
        <f>IF(H913="","",IF(J913&lt;=0,"Paid",IF(I913&gt;0,"Partial","Pending")))</f>
        <v/>
      </c>
    </row>
    <row r="914">
      <c r="B914" s="12" t="n"/>
      <c r="F914" s="10" t="n"/>
      <c r="G914" s="10" t="n"/>
      <c r="H914" s="10">
        <f>IF(OR(E914="",F914=""),"",E914*F914+N(G914))</f>
        <v/>
      </c>
      <c r="I914" s="10" t="n"/>
      <c r="J914" s="10">
        <f>IF(H914="","",H914-N(I914))</f>
        <v/>
      </c>
      <c r="K914">
        <f>IF(H914="","",IF(J914&lt;=0,"Paid",IF(I914&gt;0,"Partial","Pending")))</f>
        <v/>
      </c>
    </row>
    <row r="915">
      <c r="B915" s="12" t="n"/>
      <c r="F915" s="10" t="n"/>
      <c r="G915" s="10" t="n"/>
      <c r="H915" s="10">
        <f>IF(OR(E915="",F915=""),"",E915*F915+N(G915))</f>
        <v/>
      </c>
      <c r="I915" s="10" t="n"/>
      <c r="J915" s="10">
        <f>IF(H915="","",H915-N(I915))</f>
        <v/>
      </c>
      <c r="K915">
        <f>IF(H915="","",IF(J915&lt;=0,"Paid",IF(I915&gt;0,"Partial","Pending")))</f>
        <v/>
      </c>
    </row>
    <row r="916">
      <c r="B916" s="12" t="n"/>
      <c r="F916" s="10" t="n"/>
      <c r="G916" s="10" t="n"/>
      <c r="H916" s="10">
        <f>IF(OR(E916="",F916=""),"",E916*F916+N(G916))</f>
        <v/>
      </c>
      <c r="I916" s="10" t="n"/>
      <c r="J916" s="10">
        <f>IF(H916="","",H916-N(I916))</f>
        <v/>
      </c>
      <c r="K916">
        <f>IF(H916="","",IF(J916&lt;=0,"Paid",IF(I916&gt;0,"Partial","Pending")))</f>
        <v/>
      </c>
    </row>
    <row r="917">
      <c r="B917" s="12" t="n"/>
      <c r="F917" s="10" t="n"/>
      <c r="G917" s="10" t="n"/>
      <c r="H917" s="10">
        <f>IF(OR(E917="",F917=""),"",E917*F917+N(G917))</f>
        <v/>
      </c>
      <c r="I917" s="10" t="n"/>
      <c r="J917" s="10">
        <f>IF(H917="","",H917-N(I917))</f>
        <v/>
      </c>
      <c r="K917">
        <f>IF(H917="","",IF(J917&lt;=0,"Paid",IF(I917&gt;0,"Partial","Pending")))</f>
        <v/>
      </c>
    </row>
    <row r="918">
      <c r="B918" s="12" t="n"/>
      <c r="F918" s="10" t="n"/>
      <c r="G918" s="10" t="n"/>
      <c r="H918" s="10">
        <f>IF(OR(E918="",F918=""),"",E918*F918+N(G918))</f>
        <v/>
      </c>
      <c r="I918" s="10" t="n"/>
      <c r="J918" s="10">
        <f>IF(H918="","",H918-N(I918))</f>
        <v/>
      </c>
      <c r="K918">
        <f>IF(H918="","",IF(J918&lt;=0,"Paid",IF(I918&gt;0,"Partial","Pending")))</f>
        <v/>
      </c>
    </row>
    <row r="919">
      <c r="B919" s="12" t="n"/>
      <c r="F919" s="10" t="n"/>
      <c r="G919" s="10" t="n"/>
      <c r="H919" s="10">
        <f>IF(OR(E919="",F919=""),"",E919*F919+N(G919))</f>
        <v/>
      </c>
      <c r="I919" s="10" t="n"/>
      <c r="J919" s="10">
        <f>IF(H919="","",H919-N(I919))</f>
        <v/>
      </c>
      <c r="K919">
        <f>IF(H919="","",IF(J919&lt;=0,"Paid",IF(I919&gt;0,"Partial","Pending")))</f>
        <v/>
      </c>
    </row>
    <row r="920">
      <c r="B920" s="12" t="n"/>
      <c r="F920" s="10" t="n"/>
      <c r="G920" s="10" t="n"/>
      <c r="H920" s="10">
        <f>IF(OR(E920="",F920=""),"",E920*F920+N(G920))</f>
        <v/>
      </c>
      <c r="I920" s="10" t="n"/>
      <c r="J920" s="10">
        <f>IF(H920="","",H920-N(I920))</f>
        <v/>
      </c>
      <c r="K920">
        <f>IF(H920="","",IF(J920&lt;=0,"Paid",IF(I920&gt;0,"Partial","Pending")))</f>
        <v/>
      </c>
    </row>
    <row r="921">
      <c r="B921" s="12" t="n"/>
      <c r="F921" s="10" t="n"/>
      <c r="G921" s="10" t="n"/>
      <c r="H921" s="10">
        <f>IF(OR(E921="",F921=""),"",E921*F921+N(G921))</f>
        <v/>
      </c>
      <c r="I921" s="10" t="n"/>
      <c r="J921" s="10">
        <f>IF(H921="","",H921-N(I921))</f>
        <v/>
      </c>
      <c r="K921">
        <f>IF(H921="","",IF(J921&lt;=0,"Paid",IF(I921&gt;0,"Partial","Pending")))</f>
        <v/>
      </c>
    </row>
    <row r="922">
      <c r="B922" s="12" t="n"/>
      <c r="F922" s="10" t="n"/>
      <c r="G922" s="10" t="n"/>
      <c r="H922" s="10">
        <f>IF(OR(E922="",F922=""),"",E922*F922+N(G922))</f>
        <v/>
      </c>
      <c r="I922" s="10" t="n"/>
      <c r="J922" s="10">
        <f>IF(H922="","",H922-N(I922))</f>
        <v/>
      </c>
      <c r="K922">
        <f>IF(H922="","",IF(J922&lt;=0,"Paid",IF(I922&gt;0,"Partial","Pending")))</f>
        <v/>
      </c>
    </row>
    <row r="923">
      <c r="B923" s="12" t="n"/>
      <c r="F923" s="10" t="n"/>
      <c r="G923" s="10" t="n"/>
      <c r="H923" s="10">
        <f>IF(OR(E923="",F923=""),"",E923*F923+N(G923))</f>
        <v/>
      </c>
      <c r="I923" s="10" t="n"/>
      <c r="J923" s="10">
        <f>IF(H923="","",H923-N(I923))</f>
        <v/>
      </c>
      <c r="K923">
        <f>IF(H923="","",IF(J923&lt;=0,"Paid",IF(I923&gt;0,"Partial","Pending")))</f>
        <v/>
      </c>
    </row>
    <row r="924">
      <c r="B924" s="12" t="n"/>
      <c r="F924" s="10" t="n"/>
      <c r="G924" s="10" t="n"/>
      <c r="H924" s="10">
        <f>IF(OR(E924="",F924=""),"",E924*F924+N(G924))</f>
        <v/>
      </c>
      <c r="I924" s="10" t="n"/>
      <c r="J924" s="10">
        <f>IF(H924="","",H924-N(I924))</f>
        <v/>
      </c>
      <c r="K924">
        <f>IF(H924="","",IF(J924&lt;=0,"Paid",IF(I924&gt;0,"Partial","Pending")))</f>
        <v/>
      </c>
    </row>
    <row r="925">
      <c r="B925" s="12" t="n"/>
      <c r="F925" s="10" t="n"/>
      <c r="G925" s="10" t="n"/>
      <c r="H925" s="10">
        <f>IF(OR(E925="",F925=""),"",E925*F925+N(G925))</f>
        <v/>
      </c>
      <c r="I925" s="10" t="n"/>
      <c r="J925" s="10">
        <f>IF(H925="","",H925-N(I925))</f>
        <v/>
      </c>
      <c r="K925">
        <f>IF(H925="","",IF(J925&lt;=0,"Paid",IF(I925&gt;0,"Partial","Pending")))</f>
        <v/>
      </c>
    </row>
    <row r="926">
      <c r="B926" s="12" t="n"/>
      <c r="F926" s="10" t="n"/>
      <c r="G926" s="10" t="n"/>
      <c r="H926" s="10">
        <f>IF(OR(E926="",F926=""),"",E926*F926+N(G926))</f>
        <v/>
      </c>
      <c r="I926" s="10" t="n"/>
      <c r="J926" s="10">
        <f>IF(H926="","",H926-N(I926))</f>
        <v/>
      </c>
      <c r="K926">
        <f>IF(H926="","",IF(J926&lt;=0,"Paid",IF(I926&gt;0,"Partial","Pending")))</f>
        <v/>
      </c>
    </row>
    <row r="927">
      <c r="B927" s="12" t="n"/>
      <c r="F927" s="10" t="n"/>
      <c r="G927" s="10" t="n"/>
      <c r="H927" s="10">
        <f>IF(OR(E927="",F927=""),"",E927*F927+N(G927))</f>
        <v/>
      </c>
      <c r="I927" s="10" t="n"/>
      <c r="J927" s="10">
        <f>IF(H927="","",H927-N(I927))</f>
        <v/>
      </c>
      <c r="K927">
        <f>IF(H927="","",IF(J927&lt;=0,"Paid",IF(I927&gt;0,"Partial","Pending")))</f>
        <v/>
      </c>
    </row>
    <row r="928">
      <c r="B928" s="12" t="n"/>
      <c r="F928" s="10" t="n"/>
      <c r="G928" s="10" t="n"/>
      <c r="H928" s="10">
        <f>IF(OR(E928="",F928=""),"",E928*F928+N(G928))</f>
        <v/>
      </c>
      <c r="I928" s="10" t="n"/>
      <c r="J928" s="10">
        <f>IF(H928="","",H928-N(I928))</f>
        <v/>
      </c>
      <c r="K928">
        <f>IF(H928="","",IF(J928&lt;=0,"Paid",IF(I928&gt;0,"Partial","Pending")))</f>
        <v/>
      </c>
    </row>
    <row r="929">
      <c r="B929" s="12" t="n"/>
      <c r="F929" s="10" t="n"/>
      <c r="G929" s="10" t="n"/>
      <c r="H929" s="10">
        <f>IF(OR(E929="",F929=""),"",E929*F929+N(G929))</f>
        <v/>
      </c>
      <c r="I929" s="10" t="n"/>
      <c r="J929" s="10">
        <f>IF(H929="","",H929-N(I929))</f>
        <v/>
      </c>
      <c r="K929">
        <f>IF(H929="","",IF(J929&lt;=0,"Paid",IF(I929&gt;0,"Partial","Pending")))</f>
        <v/>
      </c>
    </row>
    <row r="930">
      <c r="B930" s="12" t="n"/>
      <c r="F930" s="10" t="n"/>
      <c r="G930" s="10" t="n"/>
      <c r="H930" s="10">
        <f>IF(OR(E930="",F930=""),"",E930*F930+N(G930))</f>
        <v/>
      </c>
      <c r="I930" s="10" t="n"/>
      <c r="J930" s="10">
        <f>IF(H930="","",H930-N(I930))</f>
        <v/>
      </c>
      <c r="K930">
        <f>IF(H930="","",IF(J930&lt;=0,"Paid",IF(I930&gt;0,"Partial","Pending")))</f>
        <v/>
      </c>
    </row>
    <row r="931">
      <c r="B931" s="12" t="n"/>
      <c r="F931" s="10" t="n"/>
      <c r="G931" s="10" t="n"/>
      <c r="H931" s="10">
        <f>IF(OR(E931="",F931=""),"",E931*F931+N(G931))</f>
        <v/>
      </c>
      <c r="I931" s="10" t="n"/>
      <c r="J931" s="10">
        <f>IF(H931="","",H931-N(I931))</f>
        <v/>
      </c>
      <c r="K931">
        <f>IF(H931="","",IF(J931&lt;=0,"Paid",IF(I931&gt;0,"Partial","Pending")))</f>
        <v/>
      </c>
    </row>
    <row r="932">
      <c r="B932" s="12" t="n"/>
      <c r="F932" s="10" t="n"/>
      <c r="G932" s="10" t="n"/>
      <c r="H932" s="10">
        <f>IF(OR(E932="",F932=""),"",E932*F932+N(G932))</f>
        <v/>
      </c>
      <c r="I932" s="10" t="n"/>
      <c r="J932" s="10">
        <f>IF(H932="","",H932-N(I932))</f>
        <v/>
      </c>
      <c r="K932">
        <f>IF(H932="","",IF(J932&lt;=0,"Paid",IF(I932&gt;0,"Partial","Pending")))</f>
        <v/>
      </c>
    </row>
    <row r="933">
      <c r="B933" s="12" t="n"/>
      <c r="F933" s="10" t="n"/>
      <c r="G933" s="10" t="n"/>
      <c r="H933" s="10">
        <f>IF(OR(E933="",F933=""),"",E933*F933+N(G933))</f>
        <v/>
      </c>
      <c r="I933" s="10" t="n"/>
      <c r="J933" s="10">
        <f>IF(H933="","",H933-N(I933))</f>
        <v/>
      </c>
      <c r="K933">
        <f>IF(H933="","",IF(J933&lt;=0,"Paid",IF(I933&gt;0,"Partial","Pending")))</f>
        <v/>
      </c>
    </row>
    <row r="934">
      <c r="B934" s="12" t="n"/>
      <c r="F934" s="10" t="n"/>
      <c r="G934" s="10" t="n"/>
      <c r="H934" s="10">
        <f>IF(OR(E934="",F934=""),"",E934*F934+N(G934))</f>
        <v/>
      </c>
      <c r="I934" s="10" t="n"/>
      <c r="J934" s="10">
        <f>IF(H934="","",H934-N(I934))</f>
        <v/>
      </c>
      <c r="K934">
        <f>IF(H934="","",IF(J934&lt;=0,"Paid",IF(I934&gt;0,"Partial","Pending")))</f>
        <v/>
      </c>
    </row>
    <row r="935">
      <c r="B935" s="12" t="n"/>
      <c r="F935" s="10" t="n"/>
      <c r="G935" s="10" t="n"/>
      <c r="H935" s="10">
        <f>IF(OR(E935="",F935=""),"",E935*F935+N(G935))</f>
        <v/>
      </c>
      <c r="I935" s="10" t="n"/>
      <c r="J935" s="10">
        <f>IF(H935="","",H935-N(I935))</f>
        <v/>
      </c>
      <c r="K935">
        <f>IF(H935="","",IF(J935&lt;=0,"Paid",IF(I935&gt;0,"Partial","Pending")))</f>
        <v/>
      </c>
    </row>
    <row r="936">
      <c r="B936" s="12" t="n"/>
      <c r="F936" s="10" t="n"/>
      <c r="G936" s="10" t="n"/>
      <c r="H936" s="10">
        <f>IF(OR(E936="",F936=""),"",E936*F936+N(G936))</f>
        <v/>
      </c>
      <c r="I936" s="10" t="n"/>
      <c r="J936" s="10">
        <f>IF(H936="","",H936-N(I936))</f>
        <v/>
      </c>
      <c r="K936">
        <f>IF(H936="","",IF(J936&lt;=0,"Paid",IF(I936&gt;0,"Partial","Pending")))</f>
        <v/>
      </c>
    </row>
    <row r="937">
      <c r="B937" s="12" t="n"/>
      <c r="F937" s="10" t="n"/>
      <c r="G937" s="10" t="n"/>
      <c r="H937" s="10">
        <f>IF(OR(E937="",F937=""),"",E937*F937+N(G937))</f>
        <v/>
      </c>
      <c r="I937" s="10" t="n"/>
      <c r="J937" s="10">
        <f>IF(H937="","",H937-N(I937))</f>
        <v/>
      </c>
      <c r="K937">
        <f>IF(H937="","",IF(J937&lt;=0,"Paid",IF(I937&gt;0,"Partial","Pending")))</f>
        <v/>
      </c>
    </row>
    <row r="938">
      <c r="B938" s="12" t="n"/>
      <c r="F938" s="10" t="n"/>
      <c r="G938" s="10" t="n"/>
      <c r="H938" s="10">
        <f>IF(OR(E938="",F938=""),"",E938*F938+N(G938))</f>
        <v/>
      </c>
      <c r="I938" s="10" t="n"/>
      <c r="J938" s="10">
        <f>IF(H938="","",H938-N(I938))</f>
        <v/>
      </c>
      <c r="K938">
        <f>IF(H938="","",IF(J938&lt;=0,"Paid",IF(I938&gt;0,"Partial","Pending")))</f>
        <v/>
      </c>
    </row>
    <row r="939">
      <c r="B939" s="12" t="n"/>
      <c r="F939" s="10" t="n"/>
      <c r="G939" s="10" t="n"/>
      <c r="H939" s="10">
        <f>IF(OR(E939="",F939=""),"",E939*F939+N(G939))</f>
        <v/>
      </c>
      <c r="I939" s="10" t="n"/>
      <c r="J939" s="10">
        <f>IF(H939="","",H939-N(I939))</f>
        <v/>
      </c>
      <c r="K939">
        <f>IF(H939="","",IF(J939&lt;=0,"Paid",IF(I939&gt;0,"Partial","Pending")))</f>
        <v/>
      </c>
    </row>
    <row r="940">
      <c r="B940" s="12" t="n"/>
      <c r="F940" s="10" t="n"/>
      <c r="G940" s="10" t="n"/>
      <c r="H940" s="10">
        <f>IF(OR(E940="",F940=""),"",E940*F940+N(G940))</f>
        <v/>
      </c>
      <c r="I940" s="10" t="n"/>
      <c r="J940" s="10">
        <f>IF(H940="","",H940-N(I940))</f>
        <v/>
      </c>
      <c r="K940">
        <f>IF(H940="","",IF(J940&lt;=0,"Paid",IF(I940&gt;0,"Partial","Pending")))</f>
        <v/>
      </c>
    </row>
    <row r="941">
      <c r="B941" s="12" t="n"/>
      <c r="F941" s="10" t="n"/>
      <c r="G941" s="10" t="n"/>
      <c r="H941" s="10">
        <f>IF(OR(E941="",F941=""),"",E941*F941+N(G941))</f>
        <v/>
      </c>
      <c r="I941" s="10" t="n"/>
      <c r="J941" s="10">
        <f>IF(H941="","",H941-N(I941))</f>
        <v/>
      </c>
      <c r="K941">
        <f>IF(H941="","",IF(J941&lt;=0,"Paid",IF(I941&gt;0,"Partial","Pending")))</f>
        <v/>
      </c>
    </row>
    <row r="942">
      <c r="B942" s="12" t="n"/>
      <c r="F942" s="10" t="n"/>
      <c r="G942" s="10" t="n"/>
      <c r="H942" s="10">
        <f>IF(OR(E942="",F942=""),"",E942*F942+N(G942))</f>
        <v/>
      </c>
      <c r="I942" s="10" t="n"/>
      <c r="J942" s="10">
        <f>IF(H942="","",H942-N(I942))</f>
        <v/>
      </c>
      <c r="K942">
        <f>IF(H942="","",IF(J942&lt;=0,"Paid",IF(I942&gt;0,"Partial","Pending")))</f>
        <v/>
      </c>
    </row>
    <row r="943">
      <c r="B943" s="12" t="n"/>
      <c r="F943" s="10" t="n"/>
      <c r="G943" s="10" t="n"/>
      <c r="H943" s="10">
        <f>IF(OR(E943="",F943=""),"",E943*F943+N(G943))</f>
        <v/>
      </c>
      <c r="I943" s="10" t="n"/>
      <c r="J943" s="10">
        <f>IF(H943="","",H943-N(I943))</f>
        <v/>
      </c>
      <c r="K943">
        <f>IF(H943="","",IF(J943&lt;=0,"Paid",IF(I943&gt;0,"Partial","Pending")))</f>
        <v/>
      </c>
    </row>
    <row r="944">
      <c r="B944" s="12" t="n"/>
      <c r="F944" s="10" t="n"/>
      <c r="G944" s="10" t="n"/>
      <c r="H944" s="10">
        <f>IF(OR(E944="",F944=""),"",E944*F944+N(G944))</f>
        <v/>
      </c>
      <c r="I944" s="10" t="n"/>
      <c r="J944" s="10">
        <f>IF(H944="","",H944-N(I944))</f>
        <v/>
      </c>
      <c r="K944">
        <f>IF(H944="","",IF(J944&lt;=0,"Paid",IF(I944&gt;0,"Partial","Pending")))</f>
        <v/>
      </c>
    </row>
    <row r="945">
      <c r="B945" s="12" t="n"/>
      <c r="F945" s="10" t="n"/>
      <c r="G945" s="10" t="n"/>
      <c r="H945" s="10">
        <f>IF(OR(E945="",F945=""),"",E945*F945+N(G945))</f>
        <v/>
      </c>
      <c r="I945" s="10" t="n"/>
      <c r="J945" s="10">
        <f>IF(H945="","",H945-N(I945))</f>
        <v/>
      </c>
      <c r="K945">
        <f>IF(H945="","",IF(J945&lt;=0,"Paid",IF(I945&gt;0,"Partial","Pending")))</f>
        <v/>
      </c>
    </row>
    <row r="946">
      <c r="B946" s="12" t="n"/>
      <c r="F946" s="10" t="n"/>
      <c r="G946" s="10" t="n"/>
      <c r="H946" s="10">
        <f>IF(OR(E946="",F946=""),"",E946*F946+N(G946))</f>
        <v/>
      </c>
      <c r="I946" s="10" t="n"/>
      <c r="J946" s="10">
        <f>IF(H946="","",H946-N(I946))</f>
        <v/>
      </c>
      <c r="K946">
        <f>IF(H946="","",IF(J946&lt;=0,"Paid",IF(I946&gt;0,"Partial","Pending")))</f>
        <v/>
      </c>
    </row>
    <row r="947">
      <c r="B947" s="12" t="n"/>
      <c r="F947" s="10" t="n"/>
      <c r="G947" s="10" t="n"/>
      <c r="H947" s="10">
        <f>IF(OR(E947="",F947=""),"",E947*F947+N(G947))</f>
        <v/>
      </c>
      <c r="I947" s="10" t="n"/>
      <c r="J947" s="10">
        <f>IF(H947="","",H947-N(I947))</f>
        <v/>
      </c>
      <c r="K947">
        <f>IF(H947="","",IF(J947&lt;=0,"Paid",IF(I947&gt;0,"Partial","Pending")))</f>
        <v/>
      </c>
    </row>
    <row r="948">
      <c r="B948" s="12" t="n"/>
      <c r="F948" s="10" t="n"/>
      <c r="G948" s="10" t="n"/>
      <c r="H948" s="10">
        <f>IF(OR(E948="",F948=""),"",E948*F948+N(G948))</f>
        <v/>
      </c>
      <c r="I948" s="10" t="n"/>
      <c r="J948" s="10">
        <f>IF(H948="","",H948-N(I948))</f>
        <v/>
      </c>
      <c r="K948">
        <f>IF(H948="","",IF(J948&lt;=0,"Paid",IF(I948&gt;0,"Partial","Pending")))</f>
        <v/>
      </c>
    </row>
    <row r="949">
      <c r="B949" s="12" t="n"/>
      <c r="F949" s="10" t="n"/>
      <c r="G949" s="10" t="n"/>
      <c r="H949" s="10">
        <f>IF(OR(E949="",F949=""),"",E949*F949+N(G949))</f>
        <v/>
      </c>
      <c r="I949" s="10" t="n"/>
      <c r="J949" s="10">
        <f>IF(H949="","",H949-N(I949))</f>
        <v/>
      </c>
      <c r="K949">
        <f>IF(H949="","",IF(J949&lt;=0,"Paid",IF(I949&gt;0,"Partial","Pending")))</f>
        <v/>
      </c>
    </row>
    <row r="950">
      <c r="B950" s="12" t="n"/>
      <c r="F950" s="10" t="n"/>
      <c r="G950" s="10" t="n"/>
      <c r="H950" s="10">
        <f>IF(OR(E950="",F950=""),"",E950*F950+N(G950))</f>
        <v/>
      </c>
      <c r="I950" s="10" t="n"/>
      <c r="J950" s="10">
        <f>IF(H950="","",H950-N(I950))</f>
        <v/>
      </c>
      <c r="K950">
        <f>IF(H950="","",IF(J950&lt;=0,"Paid",IF(I950&gt;0,"Partial","Pending")))</f>
        <v/>
      </c>
    </row>
    <row r="951">
      <c r="B951" s="12" t="n"/>
      <c r="F951" s="10" t="n"/>
      <c r="G951" s="10" t="n"/>
      <c r="H951" s="10">
        <f>IF(OR(E951="",F951=""),"",E951*F951+N(G951))</f>
        <v/>
      </c>
      <c r="I951" s="10" t="n"/>
      <c r="J951" s="10">
        <f>IF(H951="","",H951-N(I951))</f>
        <v/>
      </c>
      <c r="K951">
        <f>IF(H951="","",IF(J951&lt;=0,"Paid",IF(I951&gt;0,"Partial","Pending")))</f>
        <v/>
      </c>
    </row>
    <row r="952">
      <c r="B952" s="12" t="n"/>
      <c r="F952" s="10" t="n"/>
      <c r="G952" s="10" t="n"/>
      <c r="H952" s="10">
        <f>IF(OR(E952="",F952=""),"",E952*F952+N(G952))</f>
        <v/>
      </c>
      <c r="I952" s="10" t="n"/>
      <c r="J952" s="10">
        <f>IF(H952="","",H952-N(I952))</f>
        <v/>
      </c>
      <c r="K952">
        <f>IF(H952="","",IF(J952&lt;=0,"Paid",IF(I952&gt;0,"Partial","Pending")))</f>
        <v/>
      </c>
    </row>
    <row r="953">
      <c r="B953" s="12" t="n"/>
      <c r="F953" s="10" t="n"/>
      <c r="G953" s="10" t="n"/>
      <c r="H953" s="10">
        <f>IF(OR(E953="",F953=""),"",E953*F953+N(G953))</f>
        <v/>
      </c>
      <c r="I953" s="10" t="n"/>
      <c r="J953" s="10">
        <f>IF(H953="","",H953-N(I953))</f>
        <v/>
      </c>
      <c r="K953">
        <f>IF(H953="","",IF(J953&lt;=0,"Paid",IF(I953&gt;0,"Partial","Pending")))</f>
        <v/>
      </c>
    </row>
    <row r="954">
      <c r="B954" s="12" t="n"/>
      <c r="F954" s="10" t="n"/>
      <c r="G954" s="10" t="n"/>
      <c r="H954" s="10">
        <f>IF(OR(E954="",F954=""),"",E954*F954+N(G954))</f>
        <v/>
      </c>
      <c r="I954" s="10" t="n"/>
      <c r="J954" s="10">
        <f>IF(H954="","",H954-N(I954))</f>
        <v/>
      </c>
      <c r="K954">
        <f>IF(H954="","",IF(J954&lt;=0,"Paid",IF(I954&gt;0,"Partial","Pending")))</f>
        <v/>
      </c>
    </row>
    <row r="955">
      <c r="B955" s="12" t="n"/>
      <c r="F955" s="10" t="n"/>
      <c r="G955" s="10" t="n"/>
      <c r="H955" s="10">
        <f>IF(OR(E955="",F955=""),"",E955*F955+N(G955))</f>
        <v/>
      </c>
      <c r="I955" s="10" t="n"/>
      <c r="J955" s="10">
        <f>IF(H955="","",H955-N(I955))</f>
        <v/>
      </c>
      <c r="K955">
        <f>IF(H955="","",IF(J955&lt;=0,"Paid",IF(I955&gt;0,"Partial","Pending")))</f>
        <v/>
      </c>
    </row>
    <row r="956">
      <c r="B956" s="12" t="n"/>
      <c r="F956" s="10" t="n"/>
      <c r="G956" s="10" t="n"/>
      <c r="H956" s="10">
        <f>IF(OR(E956="",F956=""),"",E956*F956+N(G956))</f>
        <v/>
      </c>
      <c r="I956" s="10" t="n"/>
      <c r="J956" s="10">
        <f>IF(H956="","",H956-N(I956))</f>
        <v/>
      </c>
      <c r="K956">
        <f>IF(H956="","",IF(J956&lt;=0,"Paid",IF(I956&gt;0,"Partial","Pending")))</f>
        <v/>
      </c>
    </row>
    <row r="957">
      <c r="B957" s="12" t="n"/>
      <c r="F957" s="10" t="n"/>
      <c r="G957" s="10" t="n"/>
      <c r="H957" s="10">
        <f>IF(OR(E957="",F957=""),"",E957*F957+N(G957))</f>
        <v/>
      </c>
      <c r="I957" s="10" t="n"/>
      <c r="J957" s="10">
        <f>IF(H957="","",H957-N(I957))</f>
        <v/>
      </c>
      <c r="K957">
        <f>IF(H957="","",IF(J957&lt;=0,"Paid",IF(I957&gt;0,"Partial","Pending")))</f>
        <v/>
      </c>
    </row>
    <row r="958">
      <c r="B958" s="12" t="n"/>
      <c r="F958" s="10" t="n"/>
      <c r="G958" s="10" t="n"/>
      <c r="H958" s="10">
        <f>IF(OR(E958="",F958=""),"",E958*F958+N(G958))</f>
        <v/>
      </c>
      <c r="I958" s="10" t="n"/>
      <c r="J958" s="10">
        <f>IF(H958="","",H958-N(I958))</f>
        <v/>
      </c>
      <c r="K958">
        <f>IF(H958="","",IF(J958&lt;=0,"Paid",IF(I958&gt;0,"Partial","Pending")))</f>
        <v/>
      </c>
    </row>
    <row r="959">
      <c r="B959" s="12" t="n"/>
      <c r="F959" s="10" t="n"/>
      <c r="G959" s="10" t="n"/>
      <c r="H959" s="10">
        <f>IF(OR(E959="",F959=""),"",E959*F959+N(G959))</f>
        <v/>
      </c>
      <c r="I959" s="10" t="n"/>
      <c r="J959" s="10">
        <f>IF(H959="","",H959-N(I959))</f>
        <v/>
      </c>
      <c r="K959">
        <f>IF(H959="","",IF(J959&lt;=0,"Paid",IF(I959&gt;0,"Partial","Pending")))</f>
        <v/>
      </c>
    </row>
    <row r="960">
      <c r="B960" s="12" t="n"/>
      <c r="F960" s="10" t="n"/>
      <c r="G960" s="10" t="n"/>
      <c r="H960" s="10">
        <f>IF(OR(E960="",F960=""),"",E960*F960+N(G960))</f>
        <v/>
      </c>
      <c r="I960" s="10" t="n"/>
      <c r="J960" s="10">
        <f>IF(H960="","",H960-N(I960))</f>
        <v/>
      </c>
      <c r="K960">
        <f>IF(H960="","",IF(J960&lt;=0,"Paid",IF(I960&gt;0,"Partial","Pending")))</f>
        <v/>
      </c>
    </row>
    <row r="961">
      <c r="B961" s="12" t="n"/>
      <c r="F961" s="10" t="n"/>
      <c r="G961" s="10" t="n"/>
      <c r="H961" s="10">
        <f>IF(OR(E961="",F961=""),"",E961*F961+N(G961))</f>
        <v/>
      </c>
      <c r="I961" s="10" t="n"/>
      <c r="J961" s="10">
        <f>IF(H961="","",H961-N(I961))</f>
        <v/>
      </c>
      <c r="K961">
        <f>IF(H961="","",IF(J961&lt;=0,"Paid",IF(I961&gt;0,"Partial","Pending")))</f>
        <v/>
      </c>
    </row>
    <row r="962">
      <c r="B962" s="12" t="n"/>
      <c r="F962" s="10" t="n"/>
      <c r="G962" s="10" t="n"/>
      <c r="H962" s="10">
        <f>IF(OR(E962="",F962=""),"",E962*F962+N(G962))</f>
        <v/>
      </c>
      <c r="I962" s="10" t="n"/>
      <c r="J962" s="10">
        <f>IF(H962="","",H962-N(I962))</f>
        <v/>
      </c>
      <c r="K962">
        <f>IF(H962="","",IF(J962&lt;=0,"Paid",IF(I962&gt;0,"Partial","Pending")))</f>
        <v/>
      </c>
    </row>
    <row r="963">
      <c r="B963" s="12" t="n"/>
      <c r="F963" s="10" t="n"/>
      <c r="G963" s="10" t="n"/>
      <c r="H963" s="10">
        <f>IF(OR(E963="",F963=""),"",E963*F963+N(G963))</f>
        <v/>
      </c>
      <c r="I963" s="10" t="n"/>
      <c r="J963" s="10">
        <f>IF(H963="","",H963-N(I963))</f>
        <v/>
      </c>
      <c r="K963">
        <f>IF(H963="","",IF(J963&lt;=0,"Paid",IF(I963&gt;0,"Partial","Pending")))</f>
        <v/>
      </c>
    </row>
    <row r="964">
      <c r="B964" s="12" t="n"/>
      <c r="F964" s="10" t="n"/>
      <c r="G964" s="10" t="n"/>
      <c r="H964" s="10">
        <f>IF(OR(E964="",F964=""),"",E964*F964+N(G964))</f>
        <v/>
      </c>
      <c r="I964" s="10" t="n"/>
      <c r="J964" s="10">
        <f>IF(H964="","",H964-N(I964))</f>
        <v/>
      </c>
      <c r="K964">
        <f>IF(H964="","",IF(J964&lt;=0,"Paid",IF(I964&gt;0,"Partial","Pending")))</f>
        <v/>
      </c>
    </row>
    <row r="965">
      <c r="B965" s="12" t="n"/>
      <c r="F965" s="10" t="n"/>
      <c r="G965" s="10" t="n"/>
      <c r="H965" s="10">
        <f>IF(OR(E965="",F965=""),"",E965*F965+N(G965))</f>
        <v/>
      </c>
      <c r="I965" s="10" t="n"/>
      <c r="J965" s="10">
        <f>IF(H965="","",H965-N(I965))</f>
        <v/>
      </c>
      <c r="K965">
        <f>IF(H965="","",IF(J965&lt;=0,"Paid",IF(I965&gt;0,"Partial","Pending")))</f>
        <v/>
      </c>
    </row>
    <row r="966">
      <c r="B966" s="12" t="n"/>
      <c r="F966" s="10" t="n"/>
      <c r="G966" s="10" t="n"/>
      <c r="H966" s="10">
        <f>IF(OR(E966="",F966=""),"",E966*F966+N(G966))</f>
        <v/>
      </c>
      <c r="I966" s="10" t="n"/>
      <c r="J966" s="10">
        <f>IF(H966="","",H966-N(I966))</f>
        <v/>
      </c>
      <c r="K966">
        <f>IF(H966="","",IF(J966&lt;=0,"Paid",IF(I966&gt;0,"Partial","Pending")))</f>
        <v/>
      </c>
    </row>
    <row r="967">
      <c r="B967" s="12" t="n"/>
      <c r="F967" s="10" t="n"/>
      <c r="G967" s="10" t="n"/>
      <c r="H967" s="10">
        <f>IF(OR(E967="",F967=""),"",E967*F967+N(G967))</f>
        <v/>
      </c>
      <c r="I967" s="10" t="n"/>
      <c r="J967" s="10">
        <f>IF(H967="","",H967-N(I967))</f>
        <v/>
      </c>
      <c r="K967">
        <f>IF(H967="","",IF(J967&lt;=0,"Paid",IF(I967&gt;0,"Partial","Pending")))</f>
        <v/>
      </c>
    </row>
    <row r="968">
      <c r="B968" s="12" t="n"/>
      <c r="F968" s="10" t="n"/>
      <c r="G968" s="10" t="n"/>
      <c r="H968" s="10">
        <f>IF(OR(E968="",F968=""),"",E968*F968+N(G968))</f>
        <v/>
      </c>
      <c r="I968" s="10" t="n"/>
      <c r="J968" s="10">
        <f>IF(H968="","",H968-N(I968))</f>
        <v/>
      </c>
      <c r="K968">
        <f>IF(H968="","",IF(J968&lt;=0,"Paid",IF(I968&gt;0,"Partial","Pending")))</f>
        <v/>
      </c>
    </row>
    <row r="969">
      <c r="B969" s="12" t="n"/>
      <c r="F969" s="10" t="n"/>
      <c r="G969" s="10" t="n"/>
      <c r="H969" s="10">
        <f>IF(OR(E969="",F969=""),"",E969*F969+N(G969))</f>
        <v/>
      </c>
      <c r="I969" s="10" t="n"/>
      <c r="J969" s="10">
        <f>IF(H969="","",H969-N(I969))</f>
        <v/>
      </c>
      <c r="K969">
        <f>IF(H969="","",IF(J969&lt;=0,"Paid",IF(I969&gt;0,"Partial","Pending")))</f>
        <v/>
      </c>
    </row>
    <row r="970">
      <c r="B970" s="12" t="n"/>
      <c r="F970" s="10" t="n"/>
      <c r="G970" s="10" t="n"/>
      <c r="H970" s="10">
        <f>IF(OR(E970="",F970=""),"",E970*F970+N(G970))</f>
        <v/>
      </c>
      <c r="I970" s="10" t="n"/>
      <c r="J970" s="10">
        <f>IF(H970="","",H970-N(I970))</f>
        <v/>
      </c>
      <c r="K970">
        <f>IF(H970="","",IF(J970&lt;=0,"Paid",IF(I970&gt;0,"Partial","Pending")))</f>
        <v/>
      </c>
    </row>
    <row r="971">
      <c r="B971" s="12" t="n"/>
      <c r="F971" s="10" t="n"/>
      <c r="G971" s="10" t="n"/>
      <c r="H971" s="10">
        <f>IF(OR(E971="",F971=""),"",E971*F971+N(G971))</f>
        <v/>
      </c>
      <c r="I971" s="10" t="n"/>
      <c r="J971" s="10">
        <f>IF(H971="","",H971-N(I971))</f>
        <v/>
      </c>
      <c r="K971">
        <f>IF(H971="","",IF(J971&lt;=0,"Paid",IF(I971&gt;0,"Partial","Pending")))</f>
        <v/>
      </c>
    </row>
    <row r="972">
      <c r="B972" s="12" t="n"/>
      <c r="F972" s="10" t="n"/>
      <c r="G972" s="10" t="n"/>
      <c r="H972" s="10">
        <f>IF(OR(E972="",F972=""),"",E972*F972+N(G972))</f>
        <v/>
      </c>
      <c r="I972" s="10" t="n"/>
      <c r="J972" s="10">
        <f>IF(H972="","",H972-N(I972))</f>
        <v/>
      </c>
      <c r="K972">
        <f>IF(H972="","",IF(J972&lt;=0,"Paid",IF(I972&gt;0,"Partial","Pending")))</f>
        <v/>
      </c>
    </row>
    <row r="973">
      <c r="B973" s="12" t="n"/>
      <c r="F973" s="10" t="n"/>
      <c r="G973" s="10" t="n"/>
      <c r="H973" s="10">
        <f>IF(OR(E973="",F973=""),"",E973*F973+N(G973))</f>
        <v/>
      </c>
      <c r="I973" s="10" t="n"/>
      <c r="J973" s="10">
        <f>IF(H973="","",H973-N(I973))</f>
        <v/>
      </c>
      <c r="K973">
        <f>IF(H973="","",IF(J973&lt;=0,"Paid",IF(I973&gt;0,"Partial","Pending")))</f>
        <v/>
      </c>
    </row>
    <row r="974">
      <c r="B974" s="12" t="n"/>
      <c r="F974" s="10" t="n"/>
      <c r="G974" s="10" t="n"/>
      <c r="H974" s="10">
        <f>IF(OR(E974="",F974=""),"",E974*F974+N(G974))</f>
        <v/>
      </c>
      <c r="I974" s="10" t="n"/>
      <c r="J974" s="10">
        <f>IF(H974="","",H974-N(I974))</f>
        <v/>
      </c>
      <c r="K974">
        <f>IF(H974="","",IF(J974&lt;=0,"Paid",IF(I974&gt;0,"Partial","Pending")))</f>
        <v/>
      </c>
    </row>
    <row r="975">
      <c r="B975" s="12" t="n"/>
      <c r="F975" s="10" t="n"/>
      <c r="G975" s="10" t="n"/>
      <c r="H975" s="10">
        <f>IF(OR(E975="",F975=""),"",E975*F975+N(G975))</f>
        <v/>
      </c>
      <c r="I975" s="10" t="n"/>
      <c r="J975" s="10">
        <f>IF(H975="","",H975-N(I975))</f>
        <v/>
      </c>
      <c r="K975">
        <f>IF(H975="","",IF(J975&lt;=0,"Paid",IF(I975&gt;0,"Partial","Pending")))</f>
        <v/>
      </c>
    </row>
    <row r="976">
      <c r="B976" s="12" t="n"/>
      <c r="F976" s="10" t="n"/>
      <c r="G976" s="10" t="n"/>
      <c r="H976" s="10">
        <f>IF(OR(E976="",F976=""),"",E976*F976+N(G976))</f>
        <v/>
      </c>
      <c r="I976" s="10" t="n"/>
      <c r="J976" s="10">
        <f>IF(H976="","",H976-N(I976))</f>
        <v/>
      </c>
      <c r="K976">
        <f>IF(H976="","",IF(J976&lt;=0,"Paid",IF(I976&gt;0,"Partial","Pending")))</f>
        <v/>
      </c>
    </row>
    <row r="977">
      <c r="B977" s="12" t="n"/>
      <c r="F977" s="10" t="n"/>
      <c r="G977" s="10" t="n"/>
      <c r="H977" s="10">
        <f>IF(OR(E977="",F977=""),"",E977*F977+N(G977))</f>
        <v/>
      </c>
      <c r="I977" s="10" t="n"/>
      <c r="J977" s="10">
        <f>IF(H977="","",H977-N(I977))</f>
        <v/>
      </c>
      <c r="K977">
        <f>IF(H977="","",IF(J977&lt;=0,"Paid",IF(I977&gt;0,"Partial","Pending")))</f>
        <v/>
      </c>
    </row>
    <row r="978">
      <c r="B978" s="12" t="n"/>
      <c r="F978" s="10" t="n"/>
      <c r="G978" s="10" t="n"/>
      <c r="H978" s="10">
        <f>IF(OR(E978="",F978=""),"",E978*F978+N(G978))</f>
        <v/>
      </c>
      <c r="I978" s="10" t="n"/>
      <c r="J978" s="10">
        <f>IF(H978="","",H978-N(I978))</f>
        <v/>
      </c>
      <c r="K978">
        <f>IF(H978="","",IF(J978&lt;=0,"Paid",IF(I978&gt;0,"Partial","Pending")))</f>
        <v/>
      </c>
    </row>
    <row r="979">
      <c r="B979" s="12" t="n"/>
      <c r="F979" s="10" t="n"/>
      <c r="G979" s="10" t="n"/>
      <c r="H979" s="10">
        <f>IF(OR(E979="",F979=""),"",E979*F979+N(G979))</f>
        <v/>
      </c>
      <c r="I979" s="10" t="n"/>
      <c r="J979" s="10">
        <f>IF(H979="","",H979-N(I979))</f>
        <v/>
      </c>
      <c r="K979">
        <f>IF(H979="","",IF(J979&lt;=0,"Paid",IF(I979&gt;0,"Partial","Pending")))</f>
        <v/>
      </c>
    </row>
    <row r="980">
      <c r="B980" s="12" t="n"/>
      <c r="F980" s="10" t="n"/>
      <c r="G980" s="10" t="n"/>
      <c r="H980" s="10">
        <f>IF(OR(E980="",F980=""),"",E980*F980+N(G980))</f>
        <v/>
      </c>
      <c r="I980" s="10" t="n"/>
      <c r="J980" s="10">
        <f>IF(H980="","",H980-N(I980))</f>
        <v/>
      </c>
      <c r="K980">
        <f>IF(H980="","",IF(J980&lt;=0,"Paid",IF(I980&gt;0,"Partial","Pending")))</f>
        <v/>
      </c>
    </row>
    <row r="981">
      <c r="B981" s="12" t="n"/>
      <c r="F981" s="10" t="n"/>
      <c r="G981" s="10" t="n"/>
      <c r="H981" s="10">
        <f>IF(OR(E981="",F981=""),"",E981*F981+N(G981))</f>
        <v/>
      </c>
      <c r="I981" s="10" t="n"/>
      <c r="J981" s="10">
        <f>IF(H981="","",H981-N(I981))</f>
        <v/>
      </c>
      <c r="K981">
        <f>IF(H981="","",IF(J981&lt;=0,"Paid",IF(I981&gt;0,"Partial","Pending")))</f>
        <v/>
      </c>
    </row>
    <row r="982">
      <c r="B982" s="12" t="n"/>
      <c r="F982" s="10" t="n"/>
      <c r="G982" s="10" t="n"/>
      <c r="H982" s="10">
        <f>IF(OR(E982="",F982=""),"",E982*F982+N(G982))</f>
        <v/>
      </c>
      <c r="I982" s="10" t="n"/>
      <c r="J982" s="10">
        <f>IF(H982="","",H982-N(I982))</f>
        <v/>
      </c>
      <c r="K982">
        <f>IF(H982="","",IF(J982&lt;=0,"Paid",IF(I982&gt;0,"Partial","Pending")))</f>
        <v/>
      </c>
    </row>
    <row r="983">
      <c r="B983" s="12" t="n"/>
      <c r="F983" s="10" t="n"/>
      <c r="G983" s="10" t="n"/>
      <c r="H983" s="10">
        <f>IF(OR(E983="",F983=""),"",E983*F983+N(G983))</f>
        <v/>
      </c>
      <c r="I983" s="10" t="n"/>
      <c r="J983" s="10">
        <f>IF(H983="","",H983-N(I983))</f>
        <v/>
      </c>
      <c r="K983">
        <f>IF(H983="","",IF(J983&lt;=0,"Paid",IF(I983&gt;0,"Partial","Pending")))</f>
        <v/>
      </c>
    </row>
    <row r="984">
      <c r="B984" s="12" t="n"/>
      <c r="F984" s="10" t="n"/>
      <c r="G984" s="10" t="n"/>
      <c r="H984" s="10">
        <f>IF(OR(E984="",F984=""),"",E984*F984+N(G984))</f>
        <v/>
      </c>
      <c r="I984" s="10" t="n"/>
      <c r="J984" s="10">
        <f>IF(H984="","",H984-N(I984))</f>
        <v/>
      </c>
      <c r="K984">
        <f>IF(H984="","",IF(J984&lt;=0,"Paid",IF(I984&gt;0,"Partial","Pending")))</f>
        <v/>
      </c>
    </row>
    <row r="985">
      <c r="B985" s="12" t="n"/>
      <c r="F985" s="10" t="n"/>
      <c r="G985" s="10" t="n"/>
      <c r="H985" s="10">
        <f>IF(OR(E985="",F985=""),"",E985*F985+N(G985))</f>
        <v/>
      </c>
      <c r="I985" s="10" t="n"/>
      <c r="J985" s="10">
        <f>IF(H985="","",H985-N(I985))</f>
        <v/>
      </c>
      <c r="K985">
        <f>IF(H985="","",IF(J985&lt;=0,"Paid",IF(I985&gt;0,"Partial","Pending")))</f>
        <v/>
      </c>
    </row>
    <row r="986">
      <c r="B986" s="12" t="n"/>
      <c r="F986" s="10" t="n"/>
      <c r="G986" s="10" t="n"/>
      <c r="H986" s="10">
        <f>IF(OR(E986="",F986=""),"",E986*F986+N(G986))</f>
        <v/>
      </c>
      <c r="I986" s="10" t="n"/>
      <c r="J986" s="10">
        <f>IF(H986="","",H986-N(I986))</f>
        <v/>
      </c>
      <c r="K986">
        <f>IF(H986="","",IF(J986&lt;=0,"Paid",IF(I986&gt;0,"Partial","Pending")))</f>
        <v/>
      </c>
    </row>
    <row r="987">
      <c r="B987" s="12" t="n"/>
      <c r="F987" s="10" t="n"/>
      <c r="G987" s="10" t="n"/>
      <c r="H987" s="10">
        <f>IF(OR(E987="",F987=""),"",E987*F987+N(G987))</f>
        <v/>
      </c>
      <c r="I987" s="10" t="n"/>
      <c r="J987" s="10">
        <f>IF(H987="","",H987-N(I987))</f>
        <v/>
      </c>
      <c r="K987">
        <f>IF(H987="","",IF(J987&lt;=0,"Paid",IF(I987&gt;0,"Partial","Pending")))</f>
        <v/>
      </c>
    </row>
    <row r="988">
      <c r="B988" s="12" t="n"/>
      <c r="F988" s="10" t="n"/>
      <c r="G988" s="10" t="n"/>
      <c r="H988" s="10">
        <f>IF(OR(E988="",F988=""),"",E988*F988+N(G988))</f>
        <v/>
      </c>
      <c r="I988" s="10" t="n"/>
      <c r="J988" s="10">
        <f>IF(H988="","",H988-N(I988))</f>
        <v/>
      </c>
      <c r="K988">
        <f>IF(H988="","",IF(J988&lt;=0,"Paid",IF(I988&gt;0,"Partial","Pending")))</f>
        <v/>
      </c>
    </row>
    <row r="989">
      <c r="B989" s="12" t="n"/>
      <c r="F989" s="10" t="n"/>
      <c r="G989" s="10" t="n"/>
      <c r="H989" s="10">
        <f>IF(OR(E989="",F989=""),"",E989*F989+N(G989))</f>
        <v/>
      </c>
      <c r="I989" s="10" t="n"/>
      <c r="J989" s="10">
        <f>IF(H989="","",H989-N(I989))</f>
        <v/>
      </c>
      <c r="K989">
        <f>IF(H989="","",IF(J989&lt;=0,"Paid",IF(I989&gt;0,"Partial","Pending")))</f>
        <v/>
      </c>
    </row>
    <row r="990">
      <c r="B990" s="12" t="n"/>
      <c r="F990" s="10" t="n"/>
      <c r="G990" s="10" t="n"/>
      <c r="H990" s="10">
        <f>IF(OR(E990="",F990=""),"",E990*F990+N(G990))</f>
        <v/>
      </c>
      <c r="I990" s="10" t="n"/>
      <c r="J990" s="10">
        <f>IF(H990="","",H990-N(I990))</f>
        <v/>
      </c>
      <c r="K990">
        <f>IF(H990="","",IF(J990&lt;=0,"Paid",IF(I990&gt;0,"Partial","Pending")))</f>
        <v/>
      </c>
    </row>
    <row r="991">
      <c r="B991" s="12" t="n"/>
      <c r="F991" s="10" t="n"/>
      <c r="G991" s="10" t="n"/>
      <c r="H991" s="10">
        <f>IF(OR(E991="",F991=""),"",E991*F991+N(G991))</f>
        <v/>
      </c>
      <c r="I991" s="10" t="n"/>
      <c r="J991" s="10">
        <f>IF(H991="","",H991-N(I991))</f>
        <v/>
      </c>
      <c r="K991">
        <f>IF(H991="","",IF(J991&lt;=0,"Paid",IF(I991&gt;0,"Partial","Pending")))</f>
        <v/>
      </c>
    </row>
    <row r="992">
      <c r="B992" s="12" t="n"/>
      <c r="F992" s="10" t="n"/>
      <c r="G992" s="10" t="n"/>
      <c r="H992" s="10">
        <f>IF(OR(E992="",F992=""),"",E992*F992+N(G992))</f>
        <v/>
      </c>
      <c r="I992" s="10" t="n"/>
      <c r="J992" s="10">
        <f>IF(H992="","",H992-N(I992))</f>
        <v/>
      </c>
      <c r="K992">
        <f>IF(H992="","",IF(J992&lt;=0,"Paid",IF(I992&gt;0,"Partial","Pending")))</f>
        <v/>
      </c>
    </row>
    <row r="993">
      <c r="B993" s="12" t="n"/>
      <c r="F993" s="10" t="n"/>
      <c r="G993" s="10" t="n"/>
      <c r="H993" s="10">
        <f>IF(OR(E993="",F993=""),"",E993*F993+N(G993))</f>
        <v/>
      </c>
      <c r="I993" s="10" t="n"/>
      <c r="J993" s="10">
        <f>IF(H993="","",H993-N(I993))</f>
        <v/>
      </c>
      <c r="K993">
        <f>IF(H993="","",IF(J993&lt;=0,"Paid",IF(I993&gt;0,"Partial","Pending")))</f>
        <v/>
      </c>
    </row>
    <row r="994">
      <c r="B994" s="12" t="n"/>
      <c r="F994" s="10" t="n"/>
      <c r="G994" s="10" t="n"/>
      <c r="H994" s="10">
        <f>IF(OR(E994="",F994=""),"",E994*F994+N(G994))</f>
        <v/>
      </c>
      <c r="I994" s="10" t="n"/>
      <c r="J994" s="10">
        <f>IF(H994="","",H994-N(I994))</f>
        <v/>
      </c>
      <c r="K994">
        <f>IF(H994="","",IF(J994&lt;=0,"Paid",IF(I994&gt;0,"Partial","Pending")))</f>
        <v/>
      </c>
    </row>
    <row r="995">
      <c r="B995" s="12" t="n"/>
      <c r="F995" s="10" t="n"/>
      <c r="G995" s="10" t="n"/>
      <c r="H995" s="10">
        <f>IF(OR(E995="",F995=""),"",E995*F995+N(G995))</f>
        <v/>
      </c>
      <c r="I995" s="10" t="n"/>
      <c r="J995" s="10">
        <f>IF(H995="","",H995-N(I995))</f>
        <v/>
      </c>
      <c r="K995">
        <f>IF(H995="","",IF(J995&lt;=0,"Paid",IF(I995&gt;0,"Partial","Pending")))</f>
        <v/>
      </c>
    </row>
    <row r="996">
      <c r="B996" s="12" t="n"/>
      <c r="F996" s="10" t="n"/>
      <c r="G996" s="10" t="n"/>
      <c r="H996" s="10">
        <f>IF(OR(E996="",F996=""),"",E996*F996+N(G996))</f>
        <v/>
      </c>
      <c r="I996" s="10" t="n"/>
      <c r="J996" s="10">
        <f>IF(H996="","",H996-N(I996))</f>
        <v/>
      </c>
      <c r="K996">
        <f>IF(H996="","",IF(J996&lt;=0,"Paid",IF(I996&gt;0,"Partial","Pending")))</f>
        <v/>
      </c>
    </row>
    <row r="997">
      <c r="B997" s="12" t="n"/>
      <c r="F997" s="10" t="n"/>
      <c r="G997" s="10" t="n"/>
      <c r="H997" s="10">
        <f>IF(OR(E997="",F997=""),"",E997*F997+N(G997))</f>
        <v/>
      </c>
      <c r="I997" s="10" t="n"/>
      <c r="J997" s="10">
        <f>IF(H997="","",H997-N(I997))</f>
        <v/>
      </c>
      <c r="K997">
        <f>IF(H997="","",IF(J997&lt;=0,"Paid",IF(I997&gt;0,"Partial","Pending")))</f>
        <v/>
      </c>
    </row>
    <row r="998">
      <c r="B998" s="12" t="n"/>
      <c r="F998" s="10" t="n"/>
      <c r="G998" s="10" t="n"/>
      <c r="H998" s="10">
        <f>IF(OR(E998="",F998=""),"",E998*F998+N(G998))</f>
        <v/>
      </c>
      <c r="I998" s="10" t="n"/>
      <c r="J998" s="10">
        <f>IF(H998="","",H998-N(I998))</f>
        <v/>
      </c>
      <c r="K998">
        <f>IF(H998="","",IF(J998&lt;=0,"Paid",IF(I998&gt;0,"Partial","Pending")))</f>
        <v/>
      </c>
    </row>
    <row r="999">
      <c r="B999" s="12" t="n"/>
      <c r="F999" s="10" t="n"/>
      <c r="G999" s="10" t="n"/>
      <c r="H999" s="10">
        <f>IF(OR(E999="",F999=""),"",E999*F999+N(G999))</f>
        <v/>
      </c>
      <c r="I999" s="10" t="n"/>
      <c r="J999" s="10">
        <f>IF(H999="","",H999-N(I999))</f>
        <v/>
      </c>
      <c r="K999">
        <f>IF(H999="","",IF(J999&lt;=0,"Paid",IF(I999&gt;0,"Partial","Pending")))</f>
        <v/>
      </c>
    </row>
    <row r="1000">
      <c r="B1000" s="12" t="n"/>
      <c r="F1000" s="10" t="n"/>
      <c r="G1000" s="10" t="n"/>
      <c r="H1000" s="10">
        <f>IF(OR(E1000="",F1000=""),"",E1000*F1000+N(G1000))</f>
        <v/>
      </c>
      <c r="I1000" s="10" t="n"/>
      <c r="J1000" s="10">
        <f>IF(H1000="","",H1000-N(I1000))</f>
        <v/>
      </c>
      <c r="K1000">
        <f>IF(H1000="","",IF(J1000&lt;=0,"Paid",IF(I1000&gt;0,"Partial","Pending")))</f>
        <v/>
      </c>
    </row>
  </sheetData>
  <dataValidations count="1">
    <dataValidation sqref="K2:K1000" showDropDown="0" showInputMessage="0" showErrorMessage="0" allowBlank="1" type="list">
      <formula1>"Paid,Pending,Partial"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1" t="inlineStr">
        <is>
          <t>ExpenseID</t>
        </is>
      </c>
      <c r="B1" s="11" t="inlineStr">
        <is>
          <t>Date</t>
        </is>
      </c>
      <c r="C1" s="11" t="inlineStr">
        <is>
          <t>Category</t>
        </is>
      </c>
      <c r="D1" s="11" t="inlineStr">
        <is>
          <t>Description</t>
        </is>
      </c>
      <c r="E1" s="11" t="inlineStr">
        <is>
          <t>Amount</t>
        </is>
      </c>
      <c r="F1" s="11" t="inlineStr">
        <is>
          <t>PaymentMode</t>
        </is>
      </c>
    </row>
    <row r="2">
      <c r="A2" t="inlineStr">
        <is>
          <t>EXP001</t>
        </is>
      </c>
      <c r="B2" s="12" t="inlineStr">
        <is>
          <t>15-08-2026</t>
        </is>
      </c>
      <c r="C2" t="inlineStr">
        <is>
          <t>Office</t>
        </is>
      </c>
      <c r="D2" t="inlineStr">
        <is>
          <t>Sample expense</t>
        </is>
      </c>
      <c r="E2" s="10" t="n">
        <v>0</v>
      </c>
      <c r="F2" t="inlineStr">
        <is>
          <t>Cash</t>
        </is>
      </c>
    </row>
    <row r="3">
      <c r="B3" s="12" t="n"/>
      <c r="E3" s="10" t="n"/>
    </row>
    <row r="4">
      <c r="B4" s="12" t="n"/>
      <c r="E4" s="10" t="n"/>
    </row>
    <row r="5">
      <c r="B5" s="12" t="n"/>
      <c r="E5" s="10" t="n"/>
    </row>
    <row r="6">
      <c r="B6" s="12" t="n"/>
      <c r="E6" s="10" t="n"/>
    </row>
    <row r="7">
      <c r="B7" s="12" t="n"/>
      <c r="E7" s="10" t="n"/>
    </row>
    <row r="8">
      <c r="B8" s="12" t="n"/>
      <c r="E8" s="10" t="n"/>
    </row>
    <row r="9">
      <c r="B9" s="12" t="n"/>
      <c r="E9" s="10" t="n"/>
    </row>
    <row r="10">
      <c r="B10" s="12" t="n"/>
      <c r="E10" s="10" t="n"/>
    </row>
    <row r="11">
      <c r="B11" s="12" t="n"/>
      <c r="E11" s="10" t="n"/>
    </row>
    <row r="12">
      <c r="B12" s="12" t="n"/>
      <c r="E12" s="10" t="n"/>
    </row>
    <row r="13">
      <c r="B13" s="12" t="n"/>
      <c r="E13" s="10" t="n"/>
    </row>
    <row r="14">
      <c r="B14" s="12" t="n"/>
      <c r="E14" s="10" t="n"/>
    </row>
    <row r="15">
      <c r="B15" s="12" t="n"/>
      <c r="E15" s="10" t="n"/>
    </row>
    <row r="16">
      <c r="B16" s="12" t="n"/>
      <c r="E16" s="10" t="n"/>
    </row>
    <row r="17">
      <c r="B17" s="12" t="n"/>
      <c r="E17" s="10" t="n"/>
    </row>
    <row r="18">
      <c r="B18" s="12" t="n"/>
      <c r="E18" s="10" t="n"/>
    </row>
    <row r="19">
      <c r="B19" s="12" t="n"/>
      <c r="E19" s="10" t="n"/>
    </row>
    <row r="20">
      <c r="B20" s="12" t="n"/>
      <c r="E20" s="10" t="n"/>
    </row>
    <row r="21">
      <c r="B21" s="12" t="n"/>
      <c r="E21" s="10" t="n"/>
    </row>
    <row r="22">
      <c r="B22" s="12" t="n"/>
      <c r="E22" s="10" t="n"/>
    </row>
    <row r="23">
      <c r="B23" s="12" t="n"/>
      <c r="E23" s="10" t="n"/>
    </row>
    <row r="24">
      <c r="B24" s="12" t="n"/>
      <c r="E24" s="10" t="n"/>
    </row>
    <row r="25">
      <c r="B25" s="12" t="n"/>
      <c r="E25" s="10" t="n"/>
    </row>
    <row r="26">
      <c r="B26" s="12" t="n"/>
      <c r="E26" s="10" t="n"/>
    </row>
    <row r="27">
      <c r="B27" s="12" t="n"/>
      <c r="E27" s="10" t="n"/>
    </row>
    <row r="28">
      <c r="B28" s="12" t="n"/>
      <c r="E28" s="10" t="n"/>
    </row>
    <row r="29">
      <c r="B29" s="12" t="n"/>
      <c r="E29" s="10" t="n"/>
    </row>
    <row r="30">
      <c r="B30" s="12" t="n"/>
      <c r="E30" s="10" t="n"/>
    </row>
    <row r="31">
      <c r="B31" s="12" t="n"/>
      <c r="E31" s="10" t="n"/>
    </row>
    <row r="32">
      <c r="B32" s="12" t="n"/>
      <c r="E32" s="10" t="n"/>
    </row>
    <row r="33">
      <c r="B33" s="12" t="n"/>
      <c r="E33" s="10" t="n"/>
    </row>
    <row r="34">
      <c r="B34" s="12" t="n"/>
      <c r="E34" s="10" t="n"/>
    </row>
    <row r="35">
      <c r="B35" s="12" t="n"/>
      <c r="E35" s="10" t="n"/>
    </row>
    <row r="36">
      <c r="B36" s="12" t="n"/>
      <c r="E36" s="10" t="n"/>
    </row>
    <row r="37">
      <c r="B37" s="12" t="n"/>
      <c r="E37" s="10" t="n"/>
    </row>
    <row r="38">
      <c r="B38" s="12" t="n"/>
      <c r="E38" s="10" t="n"/>
    </row>
    <row r="39">
      <c r="B39" s="12" t="n"/>
      <c r="E39" s="10" t="n"/>
    </row>
    <row r="40">
      <c r="B40" s="12" t="n"/>
      <c r="E40" s="10" t="n"/>
    </row>
    <row r="41">
      <c r="B41" s="12" t="n"/>
      <c r="E41" s="10" t="n"/>
    </row>
    <row r="42">
      <c r="B42" s="12" t="n"/>
      <c r="E42" s="10" t="n"/>
    </row>
    <row r="43">
      <c r="B43" s="12" t="n"/>
      <c r="E43" s="10" t="n"/>
    </row>
    <row r="44">
      <c r="B44" s="12" t="n"/>
      <c r="E44" s="10" t="n"/>
    </row>
    <row r="45">
      <c r="B45" s="12" t="n"/>
      <c r="E45" s="10" t="n"/>
    </row>
    <row r="46">
      <c r="B46" s="12" t="n"/>
      <c r="E46" s="10" t="n"/>
    </row>
    <row r="47">
      <c r="B47" s="12" t="n"/>
      <c r="E47" s="10" t="n"/>
    </row>
    <row r="48">
      <c r="B48" s="12" t="n"/>
      <c r="E48" s="10" t="n"/>
    </row>
    <row r="49">
      <c r="B49" s="12" t="n"/>
      <c r="E49" s="10" t="n"/>
    </row>
    <row r="50">
      <c r="B50" s="12" t="n"/>
      <c r="E50" s="10" t="n"/>
    </row>
    <row r="51">
      <c r="B51" s="12" t="n"/>
      <c r="E51" s="10" t="n"/>
    </row>
    <row r="52">
      <c r="B52" s="12" t="n"/>
      <c r="E52" s="10" t="n"/>
    </row>
    <row r="53">
      <c r="B53" s="12" t="n"/>
      <c r="E53" s="10" t="n"/>
    </row>
    <row r="54">
      <c r="B54" s="12" t="n"/>
      <c r="E54" s="10" t="n"/>
    </row>
    <row r="55">
      <c r="B55" s="12" t="n"/>
      <c r="E55" s="10" t="n"/>
    </row>
    <row r="56">
      <c r="B56" s="12" t="n"/>
      <c r="E56" s="10" t="n"/>
    </row>
    <row r="57">
      <c r="B57" s="12" t="n"/>
      <c r="E57" s="10" t="n"/>
    </row>
    <row r="58">
      <c r="B58" s="12" t="n"/>
      <c r="E58" s="10" t="n"/>
    </row>
    <row r="59">
      <c r="B59" s="12" t="n"/>
      <c r="E59" s="10" t="n"/>
    </row>
    <row r="60">
      <c r="B60" s="12" t="n"/>
      <c r="E60" s="10" t="n"/>
    </row>
    <row r="61">
      <c r="B61" s="12" t="n"/>
      <c r="E61" s="10" t="n"/>
    </row>
    <row r="62">
      <c r="B62" s="12" t="n"/>
      <c r="E62" s="10" t="n"/>
    </row>
    <row r="63">
      <c r="B63" s="12" t="n"/>
      <c r="E63" s="10" t="n"/>
    </row>
    <row r="64">
      <c r="B64" s="12" t="n"/>
      <c r="E64" s="10" t="n"/>
    </row>
    <row r="65">
      <c r="B65" s="12" t="n"/>
      <c r="E65" s="10" t="n"/>
    </row>
    <row r="66">
      <c r="B66" s="12" t="n"/>
      <c r="E66" s="10" t="n"/>
    </row>
    <row r="67">
      <c r="B67" s="12" t="n"/>
      <c r="E67" s="10" t="n"/>
    </row>
    <row r="68">
      <c r="B68" s="12" t="n"/>
      <c r="E68" s="10" t="n"/>
    </row>
    <row r="69">
      <c r="B69" s="12" t="n"/>
      <c r="E69" s="10" t="n"/>
    </row>
    <row r="70">
      <c r="B70" s="12" t="n"/>
      <c r="E70" s="10" t="n"/>
    </row>
    <row r="71">
      <c r="B71" s="12" t="n"/>
      <c r="E71" s="10" t="n"/>
    </row>
    <row r="72">
      <c r="B72" s="12" t="n"/>
      <c r="E72" s="10" t="n"/>
    </row>
    <row r="73">
      <c r="B73" s="12" t="n"/>
      <c r="E73" s="10" t="n"/>
    </row>
    <row r="74">
      <c r="B74" s="12" t="n"/>
      <c r="E74" s="10" t="n"/>
    </row>
    <row r="75">
      <c r="B75" s="12" t="n"/>
      <c r="E75" s="10" t="n"/>
    </row>
    <row r="76">
      <c r="B76" s="12" t="n"/>
      <c r="E76" s="10" t="n"/>
    </row>
    <row r="77">
      <c r="B77" s="12" t="n"/>
      <c r="E77" s="10" t="n"/>
    </row>
    <row r="78">
      <c r="B78" s="12" t="n"/>
      <c r="E78" s="10" t="n"/>
    </row>
    <row r="79">
      <c r="B79" s="12" t="n"/>
      <c r="E79" s="10" t="n"/>
    </row>
    <row r="80">
      <c r="B80" s="12" t="n"/>
      <c r="E80" s="10" t="n"/>
    </row>
    <row r="81">
      <c r="B81" s="12" t="n"/>
      <c r="E81" s="10" t="n"/>
    </row>
    <row r="82">
      <c r="B82" s="12" t="n"/>
      <c r="E82" s="10" t="n"/>
    </row>
    <row r="83">
      <c r="B83" s="12" t="n"/>
      <c r="E83" s="10" t="n"/>
    </row>
    <row r="84">
      <c r="B84" s="12" t="n"/>
      <c r="E84" s="10" t="n"/>
    </row>
    <row r="85">
      <c r="B85" s="12" t="n"/>
      <c r="E85" s="10" t="n"/>
    </row>
    <row r="86">
      <c r="B86" s="12" t="n"/>
      <c r="E86" s="10" t="n"/>
    </row>
    <row r="87">
      <c r="B87" s="12" t="n"/>
      <c r="E87" s="10" t="n"/>
    </row>
    <row r="88">
      <c r="B88" s="12" t="n"/>
      <c r="E88" s="10" t="n"/>
    </row>
    <row r="89">
      <c r="B89" s="12" t="n"/>
      <c r="E89" s="10" t="n"/>
    </row>
    <row r="90">
      <c r="B90" s="12" t="n"/>
      <c r="E90" s="10" t="n"/>
    </row>
    <row r="91">
      <c r="B91" s="12" t="n"/>
      <c r="E91" s="10" t="n"/>
    </row>
    <row r="92">
      <c r="B92" s="12" t="n"/>
      <c r="E92" s="10" t="n"/>
    </row>
    <row r="93">
      <c r="B93" s="12" t="n"/>
      <c r="E93" s="10" t="n"/>
    </row>
    <row r="94">
      <c r="B94" s="12" t="n"/>
      <c r="E94" s="10" t="n"/>
    </row>
    <row r="95">
      <c r="B95" s="12" t="n"/>
      <c r="E95" s="10" t="n"/>
    </row>
    <row r="96">
      <c r="B96" s="12" t="n"/>
      <c r="E96" s="10" t="n"/>
    </row>
    <row r="97">
      <c r="B97" s="12" t="n"/>
      <c r="E97" s="10" t="n"/>
    </row>
    <row r="98">
      <c r="B98" s="12" t="n"/>
      <c r="E98" s="10" t="n"/>
    </row>
    <row r="99">
      <c r="B99" s="12" t="n"/>
      <c r="E99" s="10" t="n"/>
    </row>
    <row r="100">
      <c r="B100" s="12" t="n"/>
      <c r="E100" s="10" t="n"/>
    </row>
    <row r="101">
      <c r="B101" s="12" t="n"/>
      <c r="E101" s="10" t="n"/>
    </row>
    <row r="102">
      <c r="B102" s="12" t="n"/>
      <c r="E102" s="10" t="n"/>
    </row>
    <row r="103">
      <c r="B103" s="12" t="n"/>
      <c r="E103" s="10" t="n"/>
    </row>
    <row r="104">
      <c r="B104" s="12" t="n"/>
      <c r="E104" s="10" t="n"/>
    </row>
    <row r="105">
      <c r="B105" s="12" t="n"/>
      <c r="E105" s="10" t="n"/>
    </row>
    <row r="106">
      <c r="B106" s="12" t="n"/>
      <c r="E106" s="10" t="n"/>
    </row>
    <row r="107">
      <c r="B107" s="12" t="n"/>
      <c r="E107" s="10" t="n"/>
    </row>
    <row r="108">
      <c r="B108" s="12" t="n"/>
      <c r="E108" s="10" t="n"/>
    </row>
    <row r="109">
      <c r="B109" s="12" t="n"/>
      <c r="E109" s="10" t="n"/>
    </row>
    <row r="110">
      <c r="B110" s="12" t="n"/>
      <c r="E110" s="10" t="n"/>
    </row>
    <row r="111">
      <c r="B111" s="12" t="n"/>
      <c r="E111" s="10" t="n"/>
    </row>
    <row r="112">
      <c r="B112" s="12" t="n"/>
      <c r="E112" s="10" t="n"/>
    </row>
    <row r="113">
      <c r="B113" s="12" t="n"/>
      <c r="E113" s="10" t="n"/>
    </row>
    <row r="114">
      <c r="B114" s="12" t="n"/>
      <c r="E114" s="10" t="n"/>
    </row>
    <row r="115">
      <c r="B115" s="12" t="n"/>
      <c r="E115" s="10" t="n"/>
    </row>
    <row r="116">
      <c r="B116" s="12" t="n"/>
      <c r="E116" s="10" t="n"/>
    </row>
    <row r="117">
      <c r="B117" s="12" t="n"/>
      <c r="E117" s="10" t="n"/>
    </row>
    <row r="118">
      <c r="B118" s="12" t="n"/>
      <c r="E118" s="10" t="n"/>
    </row>
    <row r="119">
      <c r="B119" s="12" t="n"/>
      <c r="E119" s="10" t="n"/>
    </row>
    <row r="120">
      <c r="B120" s="12" t="n"/>
      <c r="E120" s="10" t="n"/>
    </row>
    <row r="121">
      <c r="B121" s="12" t="n"/>
      <c r="E121" s="10" t="n"/>
    </row>
    <row r="122">
      <c r="B122" s="12" t="n"/>
      <c r="E122" s="10" t="n"/>
    </row>
    <row r="123">
      <c r="B123" s="12" t="n"/>
      <c r="E123" s="10" t="n"/>
    </row>
    <row r="124">
      <c r="B124" s="12" t="n"/>
      <c r="E124" s="10" t="n"/>
    </row>
    <row r="125">
      <c r="B125" s="12" t="n"/>
      <c r="E125" s="10" t="n"/>
    </row>
    <row r="126">
      <c r="B126" s="12" t="n"/>
      <c r="E126" s="10" t="n"/>
    </row>
    <row r="127">
      <c r="B127" s="12" t="n"/>
      <c r="E127" s="10" t="n"/>
    </row>
    <row r="128">
      <c r="B128" s="12" t="n"/>
      <c r="E128" s="10" t="n"/>
    </row>
    <row r="129">
      <c r="B129" s="12" t="n"/>
      <c r="E129" s="10" t="n"/>
    </row>
    <row r="130">
      <c r="B130" s="12" t="n"/>
      <c r="E130" s="10" t="n"/>
    </row>
    <row r="131">
      <c r="B131" s="12" t="n"/>
      <c r="E131" s="10" t="n"/>
    </row>
    <row r="132">
      <c r="B132" s="12" t="n"/>
      <c r="E132" s="10" t="n"/>
    </row>
    <row r="133">
      <c r="B133" s="12" t="n"/>
      <c r="E133" s="10" t="n"/>
    </row>
    <row r="134">
      <c r="B134" s="12" t="n"/>
      <c r="E134" s="10" t="n"/>
    </row>
    <row r="135">
      <c r="B135" s="12" t="n"/>
      <c r="E135" s="10" t="n"/>
    </row>
    <row r="136">
      <c r="B136" s="12" t="n"/>
      <c r="E136" s="10" t="n"/>
    </row>
    <row r="137">
      <c r="B137" s="12" t="n"/>
      <c r="E137" s="10" t="n"/>
    </row>
    <row r="138">
      <c r="B138" s="12" t="n"/>
      <c r="E138" s="10" t="n"/>
    </row>
    <row r="139">
      <c r="B139" s="12" t="n"/>
      <c r="E139" s="10" t="n"/>
    </row>
    <row r="140">
      <c r="B140" s="12" t="n"/>
      <c r="E140" s="10" t="n"/>
    </row>
    <row r="141">
      <c r="B141" s="12" t="n"/>
      <c r="E141" s="10" t="n"/>
    </row>
    <row r="142">
      <c r="B142" s="12" t="n"/>
      <c r="E142" s="10" t="n"/>
    </row>
    <row r="143">
      <c r="B143" s="12" t="n"/>
      <c r="E143" s="10" t="n"/>
    </row>
    <row r="144">
      <c r="B144" s="12" t="n"/>
      <c r="E144" s="10" t="n"/>
    </row>
    <row r="145">
      <c r="B145" s="12" t="n"/>
      <c r="E145" s="10" t="n"/>
    </row>
    <row r="146">
      <c r="B146" s="12" t="n"/>
      <c r="E146" s="10" t="n"/>
    </row>
    <row r="147">
      <c r="B147" s="12" t="n"/>
      <c r="E147" s="10" t="n"/>
    </row>
    <row r="148">
      <c r="B148" s="12" t="n"/>
      <c r="E148" s="10" t="n"/>
    </row>
    <row r="149">
      <c r="B149" s="12" t="n"/>
      <c r="E149" s="10" t="n"/>
    </row>
    <row r="150">
      <c r="B150" s="12" t="n"/>
      <c r="E150" s="10" t="n"/>
    </row>
    <row r="151">
      <c r="B151" s="12" t="n"/>
      <c r="E151" s="10" t="n"/>
    </row>
    <row r="152">
      <c r="B152" s="12" t="n"/>
      <c r="E152" s="10" t="n"/>
    </row>
    <row r="153">
      <c r="B153" s="12" t="n"/>
      <c r="E153" s="10" t="n"/>
    </row>
    <row r="154">
      <c r="B154" s="12" t="n"/>
      <c r="E154" s="10" t="n"/>
    </row>
    <row r="155">
      <c r="B155" s="12" t="n"/>
      <c r="E155" s="10" t="n"/>
    </row>
    <row r="156">
      <c r="B156" s="12" t="n"/>
      <c r="E156" s="10" t="n"/>
    </row>
    <row r="157">
      <c r="B157" s="12" t="n"/>
      <c r="E157" s="10" t="n"/>
    </row>
    <row r="158">
      <c r="B158" s="12" t="n"/>
      <c r="E158" s="10" t="n"/>
    </row>
    <row r="159">
      <c r="B159" s="12" t="n"/>
      <c r="E159" s="10" t="n"/>
    </row>
    <row r="160">
      <c r="B160" s="12" t="n"/>
      <c r="E160" s="10" t="n"/>
    </row>
    <row r="161">
      <c r="B161" s="12" t="n"/>
      <c r="E161" s="10" t="n"/>
    </row>
    <row r="162">
      <c r="B162" s="12" t="n"/>
      <c r="E162" s="10" t="n"/>
    </row>
    <row r="163">
      <c r="B163" s="12" t="n"/>
      <c r="E163" s="10" t="n"/>
    </row>
    <row r="164">
      <c r="B164" s="12" t="n"/>
      <c r="E164" s="10" t="n"/>
    </row>
    <row r="165">
      <c r="B165" s="12" t="n"/>
      <c r="E165" s="10" t="n"/>
    </row>
    <row r="166">
      <c r="B166" s="12" t="n"/>
      <c r="E166" s="10" t="n"/>
    </row>
    <row r="167">
      <c r="B167" s="12" t="n"/>
      <c r="E167" s="10" t="n"/>
    </row>
    <row r="168">
      <c r="B168" s="12" t="n"/>
      <c r="E168" s="10" t="n"/>
    </row>
    <row r="169">
      <c r="B169" s="12" t="n"/>
      <c r="E169" s="10" t="n"/>
    </row>
    <row r="170">
      <c r="B170" s="12" t="n"/>
      <c r="E170" s="10" t="n"/>
    </row>
    <row r="171">
      <c r="B171" s="12" t="n"/>
      <c r="E171" s="10" t="n"/>
    </row>
    <row r="172">
      <c r="B172" s="12" t="n"/>
      <c r="E172" s="10" t="n"/>
    </row>
    <row r="173">
      <c r="B173" s="12" t="n"/>
      <c r="E173" s="10" t="n"/>
    </row>
    <row r="174">
      <c r="B174" s="12" t="n"/>
      <c r="E174" s="10" t="n"/>
    </row>
    <row r="175">
      <c r="B175" s="12" t="n"/>
      <c r="E175" s="10" t="n"/>
    </row>
    <row r="176">
      <c r="B176" s="12" t="n"/>
      <c r="E176" s="10" t="n"/>
    </row>
    <row r="177">
      <c r="B177" s="12" t="n"/>
      <c r="E177" s="10" t="n"/>
    </row>
    <row r="178">
      <c r="B178" s="12" t="n"/>
      <c r="E178" s="10" t="n"/>
    </row>
    <row r="179">
      <c r="B179" s="12" t="n"/>
      <c r="E179" s="10" t="n"/>
    </row>
    <row r="180">
      <c r="B180" s="12" t="n"/>
      <c r="E180" s="10" t="n"/>
    </row>
    <row r="181">
      <c r="B181" s="12" t="n"/>
      <c r="E181" s="10" t="n"/>
    </row>
    <row r="182">
      <c r="B182" s="12" t="n"/>
      <c r="E182" s="10" t="n"/>
    </row>
    <row r="183">
      <c r="B183" s="12" t="n"/>
      <c r="E183" s="10" t="n"/>
    </row>
    <row r="184">
      <c r="B184" s="12" t="n"/>
      <c r="E184" s="10" t="n"/>
    </row>
    <row r="185">
      <c r="B185" s="12" t="n"/>
      <c r="E185" s="10" t="n"/>
    </row>
    <row r="186">
      <c r="B186" s="12" t="n"/>
      <c r="E186" s="10" t="n"/>
    </row>
    <row r="187">
      <c r="B187" s="12" t="n"/>
      <c r="E187" s="10" t="n"/>
    </row>
    <row r="188">
      <c r="B188" s="12" t="n"/>
      <c r="E188" s="10" t="n"/>
    </row>
    <row r="189">
      <c r="B189" s="12" t="n"/>
      <c r="E189" s="10" t="n"/>
    </row>
    <row r="190">
      <c r="B190" s="12" t="n"/>
      <c r="E190" s="10" t="n"/>
    </row>
    <row r="191">
      <c r="B191" s="12" t="n"/>
      <c r="E191" s="10" t="n"/>
    </row>
    <row r="192">
      <c r="B192" s="12" t="n"/>
      <c r="E192" s="10" t="n"/>
    </row>
    <row r="193">
      <c r="B193" s="12" t="n"/>
      <c r="E193" s="10" t="n"/>
    </row>
    <row r="194">
      <c r="B194" s="12" t="n"/>
      <c r="E194" s="10" t="n"/>
    </row>
    <row r="195">
      <c r="B195" s="12" t="n"/>
      <c r="E195" s="10" t="n"/>
    </row>
    <row r="196">
      <c r="B196" s="12" t="n"/>
      <c r="E196" s="10" t="n"/>
    </row>
    <row r="197">
      <c r="B197" s="12" t="n"/>
      <c r="E197" s="10" t="n"/>
    </row>
    <row r="198">
      <c r="B198" s="12" t="n"/>
      <c r="E198" s="10" t="n"/>
    </row>
    <row r="199">
      <c r="B199" s="12" t="n"/>
      <c r="E199" s="10" t="n"/>
    </row>
    <row r="200">
      <c r="B200" s="12" t="n"/>
      <c r="E200" s="10" t="n"/>
    </row>
    <row r="201">
      <c r="B201" s="12" t="n"/>
      <c r="E201" s="10" t="n"/>
    </row>
    <row r="202">
      <c r="B202" s="12" t="n"/>
      <c r="E202" s="10" t="n"/>
    </row>
    <row r="203">
      <c r="B203" s="12" t="n"/>
      <c r="E203" s="10" t="n"/>
    </row>
    <row r="204">
      <c r="B204" s="12" t="n"/>
      <c r="E204" s="10" t="n"/>
    </row>
    <row r="205">
      <c r="B205" s="12" t="n"/>
      <c r="E205" s="10" t="n"/>
    </row>
    <row r="206">
      <c r="B206" s="12" t="n"/>
      <c r="E206" s="10" t="n"/>
    </row>
    <row r="207">
      <c r="B207" s="12" t="n"/>
      <c r="E207" s="10" t="n"/>
    </row>
    <row r="208">
      <c r="B208" s="12" t="n"/>
      <c r="E208" s="10" t="n"/>
    </row>
    <row r="209">
      <c r="B209" s="12" t="n"/>
      <c r="E209" s="10" t="n"/>
    </row>
    <row r="210">
      <c r="B210" s="12" t="n"/>
      <c r="E210" s="10" t="n"/>
    </row>
    <row r="211">
      <c r="B211" s="12" t="n"/>
      <c r="E211" s="10" t="n"/>
    </row>
    <row r="212">
      <c r="B212" s="12" t="n"/>
      <c r="E212" s="10" t="n"/>
    </row>
    <row r="213">
      <c r="B213" s="12" t="n"/>
      <c r="E213" s="10" t="n"/>
    </row>
    <row r="214">
      <c r="B214" s="12" t="n"/>
      <c r="E214" s="10" t="n"/>
    </row>
    <row r="215">
      <c r="B215" s="12" t="n"/>
      <c r="E215" s="10" t="n"/>
    </row>
    <row r="216">
      <c r="B216" s="12" t="n"/>
      <c r="E216" s="10" t="n"/>
    </row>
    <row r="217">
      <c r="B217" s="12" t="n"/>
      <c r="E217" s="10" t="n"/>
    </row>
    <row r="218">
      <c r="B218" s="12" t="n"/>
      <c r="E218" s="10" t="n"/>
    </row>
    <row r="219">
      <c r="B219" s="12" t="n"/>
      <c r="E219" s="10" t="n"/>
    </row>
    <row r="220">
      <c r="B220" s="12" t="n"/>
      <c r="E220" s="10" t="n"/>
    </row>
    <row r="221">
      <c r="B221" s="12" t="n"/>
      <c r="E221" s="10" t="n"/>
    </row>
    <row r="222">
      <c r="B222" s="12" t="n"/>
      <c r="E222" s="10" t="n"/>
    </row>
    <row r="223">
      <c r="B223" s="12" t="n"/>
      <c r="E223" s="10" t="n"/>
    </row>
    <row r="224">
      <c r="B224" s="12" t="n"/>
      <c r="E224" s="10" t="n"/>
    </row>
    <row r="225">
      <c r="B225" s="12" t="n"/>
      <c r="E225" s="10" t="n"/>
    </row>
    <row r="226">
      <c r="B226" s="12" t="n"/>
      <c r="E226" s="10" t="n"/>
    </row>
    <row r="227">
      <c r="B227" s="12" t="n"/>
      <c r="E227" s="10" t="n"/>
    </row>
    <row r="228">
      <c r="B228" s="12" t="n"/>
      <c r="E228" s="10" t="n"/>
    </row>
    <row r="229">
      <c r="B229" s="12" t="n"/>
      <c r="E229" s="10" t="n"/>
    </row>
    <row r="230">
      <c r="B230" s="12" t="n"/>
      <c r="E230" s="10" t="n"/>
    </row>
    <row r="231">
      <c r="B231" s="12" t="n"/>
      <c r="E231" s="10" t="n"/>
    </row>
    <row r="232">
      <c r="B232" s="12" t="n"/>
      <c r="E232" s="10" t="n"/>
    </row>
    <row r="233">
      <c r="B233" s="12" t="n"/>
      <c r="E233" s="10" t="n"/>
    </row>
    <row r="234">
      <c r="B234" s="12" t="n"/>
      <c r="E234" s="10" t="n"/>
    </row>
    <row r="235">
      <c r="B235" s="12" t="n"/>
      <c r="E235" s="10" t="n"/>
    </row>
    <row r="236">
      <c r="B236" s="12" t="n"/>
      <c r="E236" s="10" t="n"/>
    </row>
    <row r="237">
      <c r="B237" s="12" t="n"/>
      <c r="E237" s="10" t="n"/>
    </row>
    <row r="238">
      <c r="B238" s="12" t="n"/>
      <c r="E238" s="10" t="n"/>
    </row>
    <row r="239">
      <c r="B239" s="12" t="n"/>
      <c r="E239" s="10" t="n"/>
    </row>
    <row r="240">
      <c r="B240" s="12" t="n"/>
      <c r="E240" s="10" t="n"/>
    </row>
    <row r="241">
      <c r="B241" s="12" t="n"/>
      <c r="E241" s="10" t="n"/>
    </row>
    <row r="242">
      <c r="B242" s="12" t="n"/>
      <c r="E242" s="10" t="n"/>
    </row>
    <row r="243">
      <c r="B243" s="12" t="n"/>
      <c r="E243" s="10" t="n"/>
    </row>
    <row r="244">
      <c r="B244" s="12" t="n"/>
      <c r="E244" s="10" t="n"/>
    </row>
    <row r="245">
      <c r="B245" s="12" t="n"/>
      <c r="E245" s="10" t="n"/>
    </row>
    <row r="246">
      <c r="B246" s="12" t="n"/>
      <c r="E246" s="10" t="n"/>
    </row>
    <row r="247">
      <c r="B247" s="12" t="n"/>
      <c r="E247" s="10" t="n"/>
    </row>
    <row r="248">
      <c r="B248" s="12" t="n"/>
      <c r="E248" s="10" t="n"/>
    </row>
    <row r="249">
      <c r="B249" s="12" t="n"/>
      <c r="E249" s="10" t="n"/>
    </row>
    <row r="250">
      <c r="B250" s="12" t="n"/>
      <c r="E250" s="10" t="n"/>
    </row>
    <row r="251">
      <c r="B251" s="12" t="n"/>
      <c r="E251" s="10" t="n"/>
    </row>
    <row r="252">
      <c r="B252" s="12" t="n"/>
      <c r="E252" s="10" t="n"/>
    </row>
    <row r="253">
      <c r="B253" s="12" t="n"/>
      <c r="E253" s="10" t="n"/>
    </row>
    <row r="254">
      <c r="B254" s="12" t="n"/>
      <c r="E254" s="10" t="n"/>
    </row>
    <row r="255">
      <c r="B255" s="12" t="n"/>
      <c r="E255" s="10" t="n"/>
    </row>
    <row r="256">
      <c r="B256" s="12" t="n"/>
      <c r="E256" s="10" t="n"/>
    </row>
    <row r="257">
      <c r="B257" s="12" t="n"/>
      <c r="E257" s="10" t="n"/>
    </row>
    <row r="258">
      <c r="B258" s="12" t="n"/>
      <c r="E258" s="10" t="n"/>
    </row>
    <row r="259">
      <c r="B259" s="12" t="n"/>
      <c r="E259" s="10" t="n"/>
    </row>
    <row r="260">
      <c r="B260" s="12" t="n"/>
      <c r="E260" s="10" t="n"/>
    </row>
    <row r="261">
      <c r="B261" s="12" t="n"/>
      <c r="E261" s="10" t="n"/>
    </row>
    <row r="262">
      <c r="B262" s="12" t="n"/>
      <c r="E262" s="10" t="n"/>
    </row>
    <row r="263">
      <c r="B263" s="12" t="n"/>
      <c r="E263" s="10" t="n"/>
    </row>
    <row r="264">
      <c r="B264" s="12" t="n"/>
      <c r="E264" s="10" t="n"/>
    </row>
    <row r="265">
      <c r="B265" s="12" t="n"/>
      <c r="E265" s="10" t="n"/>
    </row>
    <row r="266">
      <c r="B266" s="12" t="n"/>
      <c r="E266" s="10" t="n"/>
    </row>
    <row r="267">
      <c r="B267" s="12" t="n"/>
      <c r="E267" s="10" t="n"/>
    </row>
    <row r="268">
      <c r="B268" s="12" t="n"/>
      <c r="E268" s="10" t="n"/>
    </row>
    <row r="269">
      <c r="B269" s="12" t="n"/>
      <c r="E269" s="10" t="n"/>
    </row>
    <row r="270">
      <c r="B270" s="12" t="n"/>
      <c r="E270" s="10" t="n"/>
    </row>
    <row r="271">
      <c r="B271" s="12" t="n"/>
      <c r="E271" s="10" t="n"/>
    </row>
    <row r="272">
      <c r="B272" s="12" t="n"/>
      <c r="E272" s="10" t="n"/>
    </row>
    <row r="273">
      <c r="B273" s="12" t="n"/>
      <c r="E273" s="10" t="n"/>
    </row>
    <row r="274">
      <c r="B274" s="12" t="n"/>
      <c r="E274" s="10" t="n"/>
    </row>
    <row r="275">
      <c r="B275" s="12" t="n"/>
      <c r="E275" s="10" t="n"/>
    </row>
    <row r="276">
      <c r="B276" s="12" t="n"/>
      <c r="E276" s="10" t="n"/>
    </row>
    <row r="277">
      <c r="B277" s="12" t="n"/>
      <c r="E277" s="10" t="n"/>
    </row>
    <row r="278">
      <c r="B278" s="12" t="n"/>
      <c r="E278" s="10" t="n"/>
    </row>
    <row r="279">
      <c r="B279" s="12" t="n"/>
      <c r="E279" s="10" t="n"/>
    </row>
    <row r="280">
      <c r="B280" s="12" t="n"/>
      <c r="E280" s="10" t="n"/>
    </row>
    <row r="281">
      <c r="B281" s="12" t="n"/>
      <c r="E281" s="10" t="n"/>
    </row>
    <row r="282">
      <c r="B282" s="12" t="n"/>
      <c r="E282" s="10" t="n"/>
    </row>
    <row r="283">
      <c r="B283" s="12" t="n"/>
      <c r="E283" s="10" t="n"/>
    </row>
    <row r="284">
      <c r="B284" s="12" t="n"/>
      <c r="E284" s="10" t="n"/>
    </row>
    <row r="285">
      <c r="B285" s="12" t="n"/>
      <c r="E285" s="10" t="n"/>
    </row>
    <row r="286">
      <c r="B286" s="12" t="n"/>
      <c r="E286" s="10" t="n"/>
    </row>
    <row r="287">
      <c r="B287" s="12" t="n"/>
      <c r="E287" s="10" t="n"/>
    </row>
    <row r="288">
      <c r="B288" s="12" t="n"/>
      <c r="E288" s="10" t="n"/>
    </row>
    <row r="289">
      <c r="B289" s="12" t="n"/>
      <c r="E289" s="10" t="n"/>
    </row>
    <row r="290">
      <c r="B290" s="12" t="n"/>
      <c r="E290" s="10" t="n"/>
    </row>
    <row r="291">
      <c r="B291" s="12" t="n"/>
      <c r="E291" s="10" t="n"/>
    </row>
    <row r="292">
      <c r="B292" s="12" t="n"/>
      <c r="E292" s="10" t="n"/>
    </row>
    <row r="293">
      <c r="B293" s="12" t="n"/>
      <c r="E293" s="10" t="n"/>
    </row>
    <row r="294">
      <c r="B294" s="12" t="n"/>
      <c r="E294" s="10" t="n"/>
    </row>
    <row r="295">
      <c r="B295" s="12" t="n"/>
      <c r="E295" s="10" t="n"/>
    </row>
    <row r="296">
      <c r="B296" s="12" t="n"/>
      <c r="E296" s="10" t="n"/>
    </row>
    <row r="297">
      <c r="B297" s="12" t="n"/>
      <c r="E297" s="10" t="n"/>
    </row>
    <row r="298">
      <c r="B298" s="12" t="n"/>
      <c r="E298" s="10" t="n"/>
    </row>
    <row r="299">
      <c r="B299" s="12" t="n"/>
      <c r="E299" s="10" t="n"/>
    </row>
    <row r="300">
      <c r="B300" s="12" t="n"/>
      <c r="E300" s="10" t="n"/>
    </row>
    <row r="301">
      <c r="B301" s="12" t="n"/>
      <c r="E301" s="10" t="n"/>
    </row>
    <row r="302">
      <c r="B302" s="12" t="n"/>
      <c r="E302" s="10" t="n"/>
    </row>
    <row r="303">
      <c r="B303" s="12" t="n"/>
      <c r="E303" s="10" t="n"/>
    </row>
    <row r="304">
      <c r="B304" s="12" t="n"/>
      <c r="E304" s="10" t="n"/>
    </row>
    <row r="305">
      <c r="B305" s="12" t="n"/>
      <c r="E305" s="10" t="n"/>
    </row>
    <row r="306">
      <c r="B306" s="12" t="n"/>
      <c r="E306" s="10" t="n"/>
    </row>
    <row r="307">
      <c r="B307" s="12" t="n"/>
      <c r="E307" s="10" t="n"/>
    </row>
    <row r="308">
      <c r="B308" s="12" t="n"/>
      <c r="E308" s="10" t="n"/>
    </row>
    <row r="309">
      <c r="B309" s="12" t="n"/>
      <c r="E309" s="10" t="n"/>
    </row>
    <row r="310">
      <c r="B310" s="12" t="n"/>
      <c r="E310" s="10" t="n"/>
    </row>
    <row r="311">
      <c r="B311" s="12" t="n"/>
      <c r="E311" s="10" t="n"/>
    </row>
    <row r="312">
      <c r="B312" s="12" t="n"/>
      <c r="E312" s="10" t="n"/>
    </row>
    <row r="313">
      <c r="B313" s="12" t="n"/>
      <c r="E313" s="10" t="n"/>
    </row>
    <row r="314">
      <c r="B314" s="12" t="n"/>
      <c r="E314" s="10" t="n"/>
    </row>
    <row r="315">
      <c r="B315" s="12" t="n"/>
      <c r="E315" s="10" t="n"/>
    </row>
    <row r="316">
      <c r="B316" s="12" t="n"/>
      <c r="E316" s="10" t="n"/>
    </row>
    <row r="317">
      <c r="B317" s="12" t="n"/>
      <c r="E317" s="10" t="n"/>
    </row>
    <row r="318">
      <c r="B318" s="12" t="n"/>
      <c r="E318" s="10" t="n"/>
    </row>
    <row r="319">
      <c r="B319" s="12" t="n"/>
      <c r="E319" s="10" t="n"/>
    </row>
    <row r="320">
      <c r="B320" s="12" t="n"/>
      <c r="E320" s="10" t="n"/>
    </row>
    <row r="321">
      <c r="B321" s="12" t="n"/>
      <c r="E321" s="10" t="n"/>
    </row>
    <row r="322">
      <c r="B322" s="12" t="n"/>
      <c r="E322" s="10" t="n"/>
    </row>
    <row r="323">
      <c r="B323" s="12" t="n"/>
      <c r="E323" s="10" t="n"/>
    </row>
    <row r="324">
      <c r="B324" s="12" t="n"/>
      <c r="E324" s="10" t="n"/>
    </row>
    <row r="325">
      <c r="B325" s="12" t="n"/>
      <c r="E325" s="10" t="n"/>
    </row>
    <row r="326">
      <c r="B326" s="12" t="n"/>
      <c r="E326" s="10" t="n"/>
    </row>
    <row r="327">
      <c r="B327" s="12" t="n"/>
      <c r="E327" s="10" t="n"/>
    </row>
    <row r="328">
      <c r="B328" s="12" t="n"/>
      <c r="E328" s="10" t="n"/>
    </row>
    <row r="329">
      <c r="B329" s="12" t="n"/>
      <c r="E329" s="10" t="n"/>
    </row>
    <row r="330">
      <c r="B330" s="12" t="n"/>
      <c r="E330" s="10" t="n"/>
    </row>
    <row r="331">
      <c r="B331" s="12" t="n"/>
      <c r="E331" s="10" t="n"/>
    </row>
    <row r="332">
      <c r="B332" s="12" t="n"/>
      <c r="E332" s="10" t="n"/>
    </row>
    <row r="333">
      <c r="B333" s="12" t="n"/>
      <c r="E333" s="10" t="n"/>
    </row>
    <row r="334">
      <c r="B334" s="12" t="n"/>
      <c r="E334" s="10" t="n"/>
    </row>
    <row r="335">
      <c r="B335" s="12" t="n"/>
      <c r="E335" s="10" t="n"/>
    </row>
    <row r="336">
      <c r="B336" s="12" t="n"/>
      <c r="E336" s="10" t="n"/>
    </row>
    <row r="337">
      <c r="B337" s="12" t="n"/>
      <c r="E337" s="10" t="n"/>
    </row>
    <row r="338">
      <c r="B338" s="12" t="n"/>
      <c r="E338" s="10" t="n"/>
    </row>
    <row r="339">
      <c r="B339" s="12" t="n"/>
      <c r="E339" s="10" t="n"/>
    </row>
    <row r="340">
      <c r="B340" s="12" t="n"/>
      <c r="E340" s="10" t="n"/>
    </row>
    <row r="341">
      <c r="B341" s="12" t="n"/>
      <c r="E341" s="10" t="n"/>
    </row>
    <row r="342">
      <c r="B342" s="12" t="n"/>
      <c r="E342" s="10" t="n"/>
    </row>
    <row r="343">
      <c r="B343" s="12" t="n"/>
      <c r="E343" s="10" t="n"/>
    </row>
    <row r="344">
      <c r="B344" s="12" t="n"/>
      <c r="E344" s="10" t="n"/>
    </row>
    <row r="345">
      <c r="B345" s="12" t="n"/>
      <c r="E345" s="10" t="n"/>
    </row>
    <row r="346">
      <c r="B346" s="12" t="n"/>
      <c r="E346" s="10" t="n"/>
    </row>
    <row r="347">
      <c r="B347" s="12" t="n"/>
      <c r="E347" s="10" t="n"/>
    </row>
    <row r="348">
      <c r="B348" s="12" t="n"/>
      <c r="E348" s="10" t="n"/>
    </row>
    <row r="349">
      <c r="B349" s="12" t="n"/>
      <c r="E349" s="10" t="n"/>
    </row>
    <row r="350">
      <c r="B350" s="12" t="n"/>
      <c r="E350" s="10" t="n"/>
    </row>
    <row r="351">
      <c r="B351" s="12" t="n"/>
      <c r="E351" s="10" t="n"/>
    </row>
    <row r="352">
      <c r="B352" s="12" t="n"/>
      <c r="E352" s="10" t="n"/>
    </row>
    <row r="353">
      <c r="B353" s="12" t="n"/>
      <c r="E353" s="10" t="n"/>
    </row>
    <row r="354">
      <c r="B354" s="12" t="n"/>
      <c r="E354" s="10" t="n"/>
    </row>
    <row r="355">
      <c r="B355" s="12" t="n"/>
      <c r="E355" s="10" t="n"/>
    </row>
    <row r="356">
      <c r="B356" s="12" t="n"/>
      <c r="E356" s="10" t="n"/>
    </row>
    <row r="357">
      <c r="B357" s="12" t="n"/>
      <c r="E357" s="10" t="n"/>
    </row>
    <row r="358">
      <c r="B358" s="12" t="n"/>
      <c r="E358" s="10" t="n"/>
    </row>
    <row r="359">
      <c r="B359" s="12" t="n"/>
      <c r="E359" s="10" t="n"/>
    </row>
    <row r="360">
      <c r="B360" s="12" t="n"/>
      <c r="E360" s="10" t="n"/>
    </row>
    <row r="361">
      <c r="B361" s="12" t="n"/>
      <c r="E361" s="10" t="n"/>
    </row>
    <row r="362">
      <c r="B362" s="12" t="n"/>
      <c r="E362" s="10" t="n"/>
    </row>
    <row r="363">
      <c r="B363" s="12" t="n"/>
      <c r="E363" s="10" t="n"/>
    </row>
    <row r="364">
      <c r="B364" s="12" t="n"/>
      <c r="E364" s="10" t="n"/>
    </row>
    <row r="365">
      <c r="B365" s="12" t="n"/>
      <c r="E365" s="10" t="n"/>
    </row>
    <row r="366">
      <c r="B366" s="12" t="n"/>
      <c r="E366" s="10" t="n"/>
    </row>
    <row r="367">
      <c r="B367" s="12" t="n"/>
      <c r="E367" s="10" t="n"/>
    </row>
    <row r="368">
      <c r="B368" s="12" t="n"/>
      <c r="E368" s="10" t="n"/>
    </row>
    <row r="369">
      <c r="B369" s="12" t="n"/>
      <c r="E369" s="10" t="n"/>
    </row>
    <row r="370">
      <c r="B370" s="12" t="n"/>
      <c r="E370" s="10" t="n"/>
    </row>
    <row r="371">
      <c r="B371" s="12" t="n"/>
      <c r="E371" s="10" t="n"/>
    </row>
    <row r="372">
      <c r="B372" s="12" t="n"/>
      <c r="E372" s="10" t="n"/>
    </row>
    <row r="373">
      <c r="B373" s="12" t="n"/>
      <c r="E373" s="10" t="n"/>
    </row>
    <row r="374">
      <c r="B374" s="12" t="n"/>
      <c r="E374" s="10" t="n"/>
    </row>
    <row r="375">
      <c r="B375" s="12" t="n"/>
      <c r="E375" s="10" t="n"/>
    </row>
    <row r="376">
      <c r="B376" s="12" t="n"/>
      <c r="E376" s="10" t="n"/>
    </row>
    <row r="377">
      <c r="B377" s="12" t="n"/>
      <c r="E377" s="10" t="n"/>
    </row>
    <row r="378">
      <c r="B378" s="12" t="n"/>
      <c r="E378" s="10" t="n"/>
    </row>
    <row r="379">
      <c r="B379" s="12" t="n"/>
      <c r="E379" s="10" t="n"/>
    </row>
    <row r="380">
      <c r="B380" s="12" t="n"/>
      <c r="E380" s="10" t="n"/>
    </row>
    <row r="381">
      <c r="B381" s="12" t="n"/>
      <c r="E381" s="10" t="n"/>
    </row>
    <row r="382">
      <c r="B382" s="12" t="n"/>
      <c r="E382" s="10" t="n"/>
    </row>
    <row r="383">
      <c r="B383" s="12" t="n"/>
      <c r="E383" s="10" t="n"/>
    </row>
    <row r="384">
      <c r="B384" s="12" t="n"/>
      <c r="E384" s="10" t="n"/>
    </row>
    <row r="385">
      <c r="B385" s="12" t="n"/>
      <c r="E385" s="10" t="n"/>
    </row>
    <row r="386">
      <c r="B386" s="12" t="n"/>
      <c r="E386" s="10" t="n"/>
    </row>
    <row r="387">
      <c r="B387" s="12" t="n"/>
      <c r="E387" s="10" t="n"/>
    </row>
    <row r="388">
      <c r="B388" s="12" t="n"/>
      <c r="E388" s="10" t="n"/>
    </row>
    <row r="389">
      <c r="B389" s="12" t="n"/>
      <c r="E389" s="10" t="n"/>
    </row>
    <row r="390">
      <c r="B390" s="12" t="n"/>
      <c r="E390" s="10" t="n"/>
    </row>
    <row r="391">
      <c r="B391" s="12" t="n"/>
      <c r="E391" s="10" t="n"/>
    </row>
    <row r="392">
      <c r="B392" s="12" t="n"/>
      <c r="E392" s="10" t="n"/>
    </row>
    <row r="393">
      <c r="B393" s="12" t="n"/>
      <c r="E393" s="10" t="n"/>
    </row>
    <row r="394">
      <c r="B394" s="12" t="n"/>
      <c r="E394" s="10" t="n"/>
    </row>
    <row r="395">
      <c r="B395" s="12" t="n"/>
      <c r="E395" s="10" t="n"/>
    </row>
    <row r="396">
      <c r="B396" s="12" t="n"/>
      <c r="E396" s="10" t="n"/>
    </row>
    <row r="397">
      <c r="B397" s="12" t="n"/>
      <c r="E397" s="10" t="n"/>
    </row>
    <row r="398">
      <c r="B398" s="12" t="n"/>
      <c r="E398" s="10" t="n"/>
    </row>
    <row r="399">
      <c r="B399" s="12" t="n"/>
      <c r="E399" s="10" t="n"/>
    </row>
    <row r="400">
      <c r="B400" s="12" t="n"/>
      <c r="E400" s="10" t="n"/>
    </row>
    <row r="401">
      <c r="B401" s="12" t="n"/>
      <c r="E401" s="10" t="n"/>
    </row>
    <row r="402">
      <c r="B402" s="12" t="n"/>
      <c r="E402" s="10" t="n"/>
    </row>
    <row r="403">
      <c r="B403" s="12" t="n"/>
      <c r="E403" s="10" t="n"/>
    </row>
    <row r="404">
      <c r="B404" s="12" t="n"/>
      <c r="E404" s="10" t="n"/>
    </row>
    <row r="405">
      <c r="B405" s="12" t="n"/>
      <c r="E405" s="10" t="n"/>
    </row>
    <row r="406">
      <c r="B406" s="12" t="n"/>
      <c r="E406" s="10" t="n"/>
    </row>
    <row r="407">
      <c r="B407" s="12" t="n"/>
      <c r="E407" s="10" t="n"/>
    </row>
    <row r="408">
      <c r="B408" s="12" t="n"/>
      <c r="E408" s="10" t="n"/>
    </row>
    <row r="409">
      <c r="B409" s="12" t="n"/>
      <c r="E409" s="10" t="n"/>
    </row>
    <row r="410">
      <c r="B410" s="12" t="n"/>
      <c r="E410" s="10" t="n"/>
    </row>
    <row r="411">
      <c r="B411" s="12" t="n"/>
      <c r="E411" s="10" t="n"/>
    </row>
    <row r="412">
      <c r="B412" s="12" t="n"/>
      <c r="E412" s="10" t="n"/>
    </row>
    <row r="413">
      <c r="B413" s="12" t="n"/>
      <c r="E413" s="10" t="n"/>
    </row>
    <row r="414">
      <c r="B414" s="12" t="n"/>
      <c r="E414" s="10" t="n"/>
    </row>
    <row r="415">
      <c r="B415" s="12" t="n"/>
      <c r="E415" s="10" t="n"/>
    </row>
    <row r="416">
      <c r="B416" s="12" t="n"/>
      <c r="E416" s="10" t="n"/>
    </row>
    <row r="417">
      <c r="B417" s="12" t="n"/>
      <c r="E417" s="10" t="n"/>
    </row>
    <row r="418">
      <c r="B418" s="12" t="n"/>
      <c r="E418" s="10" t="n"/>
    </row>
    <row r="419">
      <c r="B419" s="12" t="n"/>
      <c r="E419" s="10" t="n"/>
    </row>
    <row r="420">
      <c r="B420" s="12" t="n"/>
      <c r="E420" s="10" t="n"/>
    </row>
    <row r="421">
      <c r="B421" s="12" t="n"/>
      <c r="E421" s="10" t="n"/>
    </row>
    <row r="422">
      <c r="B422" s="12" t="n"/>
      <c r="E422" s="10" t="n"/>
    </row>
    <row r="423">
      <c r="B423" s="12" t="n"/>
      <c r="E423" s="10" t="n"/>
    </row>
    <row r="424">
      <c r="B424" s="12" t="n"/>
      <c r="E424" s="10" t="n"/>
    </row>
    <row r="425">
      <c r="B425" s="12" t="n"/>
      <c r="E425" s="10" t="n"/>
    </row>
    <row r="426">
      <c r="B426" s="12" t="n"/>
      <c r="E426" s="10" t="n"/>
    </row>
    <row r="427">
      <c r="B427" s="12" t="n"/>
      <c r="E427" s="10" t="n"/>
    </row>
    <row r="428">
      <c r="B428" s="12" t="n"/>
      <c r="E428" s="10" t="n"/>
    </row>
    <row r="429">
      <c r="B429" s="12" t="n"/>
      <c r="E429" s="10" t="n"/>
    </row>
    <row r="430">
      <c r="B430" s="12" t="n"/>
      <c r="E430" s="10" t="n"/>
    </row>
    <row r="431">
      <c r="B431" s="12" t="n"/>
      <c r="E431" s="10" t="n"/>
    </row>
    <row r="432">
      <c r="B432" s="12" t="n"/>
      <c r="E432" s="10" t="n"/>
    </row>
    <row r="433">
      <c r="B433" s="12" t="n"/>
      <c r="E433" s="10" t="n"/>
    </row>
    <row r="434">
      <c r="B434" s="12" t="n"/>
      <c r="E434" s="10" t="n"/>
    </row>
    <row r="435">
      <c r="B435" s="12" t="n"/>
      <c r="E435" s="10" t="n"/>
    </row>
    <row r="436">
      <c r="B436" s="12" t="n"/>
      <c r="E436" s="10" t="n"/>
    </row>
    <row r="437">
      <c r="B437" s="12" t="n"/>
      <c r="E437" s="10" t="n"/>
    </row>
    <row r="438">
      <c r="B438" s="12" t="n"/>
      <c r="E438" s="10" t="n"/>
    </row>
    <row r="439">
      <c r="B439" s="12" t="n"/>
      <c r="E439" s="10" t="n"/>
    </row>
    <row r="440">
      <c r="B440" s="12" t="n"/>
      <c r="E440" s="10" t="n"/>
    </row>
    <row r="441">
      <c r="B441" s="12" t="n"/>
      <c r="E441" s="10" t="n"/>
    </row>
    <row r="442">
      <c r="B442" s="12" t="n"/>
      <c r="E442" s="10" t="n"/>
    </row>
    <row r="443">
      <c r="B443" s="12" t="n"/>
      <c r="E443" s="10" t="n"/>
    </row>
    <row r="444">
      <c r="B444" s="12" t="n"/>
      <c r="E444" s="10" t="n"/>
    </row>
    <row r="445">
      <c r="B445" s="12" t="n"/>
      <c r="E445" s="10" t="n"/>
    </row>
    <row r="446">
      <c r="B446" s="12" t="n"/>
      <c r="E446" s="10" t="n"/>
    </row>
    <row r="447">
      <c r="B447" s="12" t="n"/>
      <c r="E447" s="10" t="n"/>
    </row>
    <row r="448">
      <c r="B448" s="12" t="n"/>
      <c r="E448" s="10" t="n"/>
    </row>
    <row r="449">
      <c r="B449" s="12" t="n"/>
      <c r="E449" s="10" t="n"/>
    </row>
    <row r="450">
      <c r="B450" s="12" t="n"/>
      <c r="E450" s="10" t="n"/>
    </row>
    <row r="451">
      <c r="B451" s="12" t="n"/>
      <c r="E451" s="10" t="n"/>
    </row>
    <row r="452">
      <c r="B452" s="12" t="n"/>
      <c r="E452" s="10" t="n"/>
    </row>
    <row r="453">
      <c r="B453" s="12" t="n"/>
      <c r="E453" s="10" t="n"/>
    </row>
    <row r="454">
      <c r="B454" s="12" t="n"/>
      <c r="E454" s="10" t="n"/>
    </row>
    <row r="455">
      <c r="B455" s="12" t="n"/>
      <c r="E455" s="10" t="n"/>
    </row>
    <row r="456">
      <c r="B456" s="12" t="n"/>
      <c r="E456" s="10" t="n"/>
    </row>
    <row r="457">
      <c r="B457" s="12" t="n"/>
      <c r="E457" s="10" t="n"/>
    </row>
    <row r="458">
      <c r="B458" s="12" t="n"/>
      <c r="E458" s="10" t="n"/>
    </row>
    <row r="459">
      <c r="B459" s="12" t="n"/>
      <c r="E459" s="10" t="n"/>
    </row>
    <row r="460">
      <c r="B460" s="12" t="n"/>
      <c r="E460" s="10" t="n"/>
    </row>
    <row r="461">
      <c r="B461" s="12" t="n"/>
      <c r="E461" s="10" t="n"/>
    </row>
    <row r="462">
      <c r="B462" s="12" t="n"/>
      <c r="E462" s="10" t="n"/>
    </row>
    <row r="463">
      <c r="B463" s="12" t="n"/>
      <c r="E463" s="10" t="n"/>
    </row>
    <row r="464">
      <c r="B464" s="12" t="n"/>
      <c r="E464" s="10" t="n"/>
    </row>
    <row r="465">
      <c r="B465" s="12" t="n"/>
      <c r="E465" s="10" t="n"/>
    </row>
    <row r="466">
      <c r="B466" s="12" t="n"/>
      <c r="E466" s="10" t="n"/>
    </row>
    <row r="467">
      <c r="B467" s="12" t="n"/>
      <c r="E467" s="10" t="n"/>
    </row>
    <row r="468">
      <c r="B468" s="12" t="n"/>
      <c r="E468" s="10" t="n"/>
    </row>
    <row r="469">
      <c r="B469" s="12" t="n"/>
      <c r="E469" s="10" t="n"/>
    </row>
    <row r="470">
      <c r="B470" s="12" t="n"/>
      <c r="E470" s="10" t="n"/>
    </row>
    <row r="471">
      <c r="B471" s="12" t="n"/>
      <c r="E471" s="10" t="n"/>
    </row>
    <row r="472">
      <c r="B472" s="12" t="n"/>
      <c r="E472" s="10" t="n"/>
    </row>
    <row r="473">
      <c r="B473" s="12" t="n"/>
      <c r="E473" s="10" t="n"/>
    </row>
    <row r="474">
      <c r="B474" s="12" t="n"/>
      <c r="E474" s="10" t="n"/>
    </row>
    <row r="475">
      <c r="B475" s="12" t="n"/>
      <c r="E475" s="10" t="n"/>
    </row>
    <row r="476">
      <c r="B476" s="12" t="n"/>
      <c r="E476" s="10" t="n"/>
    </row>
    <row r="477">
      <c r="B477" s="12" t="n"/>
      <c r="E477" s="10" t="n"/>
    </row>
    <row r="478">
      <c r="B478" s="12" t="n"/>
      <c r="E478" s="10" t="n"/>
    </row>
    <row r="479">
      <c r="B479" s="12" t="n"/>
      <c r="E479" s="10" t="n"/>
    </row>
    <row r="480">
      <c r="B480" s="12" t="n"/>
      <c r="E480" s="10" t="n"/>
    </row>
    <row r="481">
      <c r="B481" s="12" t="n"/>
      <c r="E481" s="10" t="n"/>
    </row>
    <row r="482">
      <c r="B482" s="12" t="n"/>
      <c r="E482" s="10" t="n"/>
    </row>
    <row r="483">
      <c r="B483" s="12" t="n"/>
      <c r="E483" s="10" t="n"/>
    </row>
    <row r="484">
      <c r="B484" s="12" t="n"/>
      <c r="E484" s="10" t="n"/>
    </row>
    <row r="485">
      <c r="B485" s="12" t="n"/>
      <c r="E485" s="10" t="n"/>
    </row>
    <row r="486">
      <c r="B486" s="12" t="n"/>
      <c r="E486" s="10" t="n"/>
    </row>
    <row r="487">
      <c r="B487" s="12" t="n"/>
      <c r="E487" s="10" t="n"/>
    </row>
    <row r="488">
      <c r="B488" s="12" t="n"/>
      <c r="E488" s="10" t="n"/>
    </row>
    <row r="489">
      <c r="B489" s="12" t="n"/>
      <c r="E489" s="10" t="n"/>
    </row>
    <row r="490">
      <c r="B490" s="12" t="n"/>
      <c r="E490" s="10" t="n"/>
    </row>
    <row r="491">
      <c r="B491" s="12" t="n"/>
      <c r="E491" s="10" t="n"/>
    </row>
    <row r="492">
      <c r="B492" s="12" t="n"/>
      <c r="E492" s="10" t="n"/>
    </row>
    <row r="493">
      <c r="B493" s="12" t="n"/>
      <c r="E493" s="10" t="n"/>
    </row>
    <row r="494">
      <c r="B494" s="12" t="n"/>
      <c r="E494" s="10" t="n"/>
    </row>
    <row r="495">
      <c r="B495" s="12" t="n"/>
      <c r="E495" s="10" t="n"/>
    </row>
    <row r="496">
      <c r="B496" s="12" t="n"/>
      <c r="E496" s="10" t="n"/>
    </row>
    <row r="497">
      <c r="B497" s="12" t="n"/>
      <c r="E497" s="10" t="n"/>
    </row>
    <row r="498">
      <c r="B498" s="12" t="n"/>
      <c r="E498" s="10" t="n"/>
    </row>
    <row r="499">
      <c r="B499" s="12" t="n"/>
      <c r="E499" s="10" t="n"/>
    </row>
    <row r="500">
      <c r="B500" s="12" t="n"/>
      <c r="E500" s="10" t="n"/>
    </row>
    <row r="501">
      <c r="B501" s="12" t="n"/>
      <c r="E501" s="10" t="n"/>
    </row>
    <row r="502">
      <c r="B502" s="12" t="n"/>
      <c r="E502" s="10" t="n"/>
    </row>
    <row r="503">
      <c r="B503" s="12" t="n"/>
      <c r="E503" s="10" t="n"/>
    </row>
    <row r="504">
      <c r="B504" s="12" t="n"/>
      <c r="E504" s="10" t="n"/>
    </row>
    <row r="505">
      <c r="B505" s="12" t="n"/>
      <c r="E505" s="10" t="n"/>
    </row>
    <row r="506">
      <c r="B506" s="12" t="n"/>
      <c r="E506" s="10" t="n"/>
    </row>
    <row r="507">
      <c r="B507" s="12" t="n"/>
      <c r="E507" s="10" t="n"/>
    </row>
    <row r="508">
      <c r="B508" s="12" t="n"/>
      <c r="E508" s="10" t="n"/>
    </row>
    <row r="509">
      <c r="B509" s="12" t="n"/>
      <c r="E509" s="10" t="n"/>
    </row>
    <row r="510">
      <c r="B510" s="12" t="n"/>
      <c r="E510" s="10" t="n"/>
    </row>
    <row r="511">
      <c r="B511" s="12" t="n"/>
      <c r="E511" s="10" t="n"/>
    </row>
    <row r="512">
      <c r="B512" s="12" t="n"/>
      <c r="E512" s="10" t="n"/>
    </row>
    <row r="513">
      <c r="B513" s="12" t="n"/>
      <c r="E513" s="10" t="n"/>
    </row>
    <row r="514">
      <c r="B514" s="12" t="n"/>
      <c r="E514" s="10" t="n"/>
    </row>
    <row r="515">
      <c r="B515" s="12" t="n"/>
      <c r="E515" s="10" t="n"/>
    </row>
    <row r="516">
      <c r="B516" s="12" t="n"/>
      <c r="E516" s="10" t="n"/>
    </row>
    <row r="517">
      <c r="B517" s="12" t="n"/>
      <c r="E517" s="10" t="n"/>
    </row>
    <row r="518">
      <c r="B518" s="12" t="n"/>
      <c r="E518" s="10" t="n"/>
    </row>
    <row r="519">
      <c r="B519" s="12" t="n"/>
      <c r="E519" s="10" t="n"/>
    </row>
    <row r="520">
      <c r="B520" s="12" t="n"/>
      <c r="E520" s="10" t="n"/>
    </row>
    <row r="521">
      <c r="B521" s="12" t="n"/>
      <c r="E521" s="10" t="n"/>
    </row>
    <row r="522">
      <c r="B522" s="12" t="n"/>
      <c r="E522" s="10" t="n"/>
    </row>
    <row r="523">
      <c r="B523" s="12" t="n"/>
      <c r="E523" s="10" t="n"/>
    </row>
    <row r="524">
      <c r="B524" s="12" t="n"/>
      <c r="E524" s="10" t="n"/>
    </row>
    <row r="525">
      <c r="B525" s="12" t="n"/>
      <c r="E525" s="10" t="n"/>
    </row>
    <row r="526">
      <c r="B526" s="12" t="n"/>
      <c r="E526" s="10" t="n"/>
    </row>
    <row r="527">
      <c r="B527" s="12" t="n"/>
      <c r="E527" s="10" t="n"/>
    </row>
    <row r="528">
      <c r="B528" s="12" t="n"/>
      <c r="E528" s="10" t="n"/>
    </row>
    <row r="529">
      <c r="B529" s="12" t="n"/>
      <c r="E529" s="10" t="n"/>
    </row>
    <row r="530">
      <c r="B530" s="12" t="n"/>
      <c r="E530" s="10" t="n"/>
    </row>
    <row r="531">
      <c r="B531" s="12" t="n"/>
      <c r="E531" s="10" t="n"/>
    </row>
    <row r="532">
      <c r="B532" s="12" t="n"/>
      <c r="E532" s="10" t="n"/>
    </row>
    <row r="533">
      <c r="B533" s="12" t="n"/>
      <c r="E533" s="10" t="n"/>
    </row>
    <row r="534">
      <c r="B534" s="12" t="n"/>
      <c r="E534" s="10" t="n"/>
    </row>
    <row r="535">
      <c r="B535" s="12" t="n"/>
      <c r="E535" s="10" t="n"/>
    </row>
    <row r="536">
      <c r="B536" s="12" t="n"/>
      <c r="E536" s="10" t="n"/>
    </row>
    <row r="537">
      <c r="B537" s="12" t="n"/>
      <c r="E537" s="10" t="n"/>
    </row>
    <row r="538">
      <c r="B538" s="12" t="n"/>
      <c r="E538" s="10" t="n"/>
    </row>
    <row r="539">
      <c r="B539" s="12" t="n"/>
      <c r="E539" s="10" t="n"/>
    </row>
    <row r="540">
      <c r="B540" s="12" t="n"/>
      <c r="E540" s="10" t="n"/>
    </row>
    <row r="541">
      <c r="B541" s="12" t="n"/>
      <c r="E541" s="10" t="n"/>
    </row>
    <row r="542">
      <c r="B542" s="12" t="n"/>
      <c r="E542" s="10" t="n"/>
    </row>
    <row r="543">
      <c r="B543" s="12" t="n"/>
      <c r="E543" s="10" t="n"/>
    </row>
    <row r="544">
      <c r="B544" s="12" t="n"/>
      <c r="E544" s="10" t="n"/>
    </row>
    <row r="545">
      <c r="B545" s="12" t="n"/>
      <c r="E545" s="10" t="n"/>
    </row>
    <row r="546">
      <c r="B546" s="12" t="n"/>
      <c r="E546" s="10" t="n"/>
    </row>
    <row r="547">
      <c r="B547" s="12" t="n"/>
      <c r="E547" s="10" t="n"/>
    </row>
    <row r="548">
      <c r="B548" s="12" t="n"/>
      <c r="E548" s="10" t="n"/>
    </row>
    <row r="549">
      <c r="B549" s="12" t="n"/>
      <c r="E549" s="10" t="n"/>
    </row>
    <row r="550">
      <c r="B550" s="12" t="n"/>
      <c r="E550" s="10" t="n"/>
    </row>
    <row r="551">
      <c r="B551" s="12" t="n"/>
      <c r="E551" s="10" t="n"/>
    </row>
    <row r="552">
      <c r="B552" s="12" t="n"/>
      <c r="E552" s="10" t="n"/>
    </row>
    <row r="553">
      <c r="B553" s="12" t="n"/>
      <c r="E553" s="10" t="n"/>
    </row>
    <row r="554">
      <c r="B554" s="12" t="n"/>
      <c r="E554" s="10" t="n"/>
    </row>
    <row r="555">
      <c r="B555" s="12" t="n"/>
      <c r="E555" s="10" t="n"/>
    </row>
    <row r="556">
      <c r="B556" s="12" t="n"/>
      <c r="E556" s="10" t="n"/>
    </row>
    <row r="557">
      <c r="B557" s="12" t="n"/>
      <c r="E557" s="10" t="n"/>
    </row>
    <row r="558">
      <c r="B558" s="12" t="n"/>
      <c r="E558" s="10" t="n"/>
    </row>
    <row r="559">
      <c r="B559" s="12" t="n"/>
      <c r="E559" s="10" t="n"/>
    </row>
    <row r="560">
      <c r="B560" s="12" t="n"/>
      <c r="E560" s="10" t="n"/>
    </row>
    <row r="561">
      <c r="B561" s="12" t="n"/>
      <c r="E561" s="10" t="n"/>
    </row>
    <row r="562">
      <c r="B562" s="12" t="n"/>
      <c r="E562" s="10" t="n"/>
    </row>
    <row r="563">
      <c r="B563" s="12" t="n"/>
      <c r="E563" s="10" t="n"/>
    </row>
    <row r="564">
      <c r="B564" s="12" t="n"/>
      <c r="E564" s="10" t="n"/>
    </row>
    <row r="565">
      <c r="B565" s="12" t="n"/>
      <c r="E565" s="10" t="n"/>
    </row>
    <row r="566">
      <c r="B566" s="12" t="n"/>
      <c r="E566" s="10" t="n"/>
    </row>
    <row r="567">
      <c r="B567" s="12" t="n"/>
      <c r="E567" s="10" t="n"/>
    </row>
    <row r="568">
      <c r="B568" s="12" t="n"/>
      <c r="E568" s="10" t="n"/>
    </row>
    <row r="569">
      <c r="B569" s="12" t="n"/>
      <c r="E569" s="10" t="n"/>
    </row>
    <row r="570">
      <c r="B570" s="12" t="n"/>
      <c r="E570" s="10" t="n"/>
    </row>
    <row r="571">
      <c r="B571" s="12" t="n"/>
      <c r="E571" s="10" t="n"/>
    </row>
    <row r="572">
      <c r="B572" s="12" t="n"/>
      <c r="E572" s="10" t="n"/>
    </row>
    <row r="573">
      <c r="B573" s="12" t="n"/>
      <c r="E573" s="10" t="n"/>
    </row>
    <row r="574">
      <c r="B574" s="12" t="n"/>
      <c r="E574" s="10" t="n"/>
    </row>
    <row r="575">
      <c r="B575" s="12" t="n"/>
      <c r="E575" s="10" t="n"/>
    </row>
    <row r="576">
      <c r="B576" s="12" t="n"/>
      <c r="E576" s="10" t="n"/>
    </row>
    <row r="577">
      <c r="B577" s="12" t="n"/>
      <c r="E577" s="10" t="n"/>
    </row>
    <row r="578">
      <c r="B578" s="12" t="n"/>
      <c r="E578" s="10" t="n"/>
    </row>
    <row r="579">
      <c r="B579" s="12" t="n"/>
      <c r="E579" s="10" t="n"/>
    </row>
    <row r="580">
      <c r="B580" s="12" t="n"/>
      <c r="E580" s="10" t="n"/>
    </row>
    <row r="581">
      <c r="B581" s="12" t="n"/>
      <c r="E581" s="10" t="n"/>
    </row>
    <row r="582">
      <c r="B582" s="12" t="n"/>
      <c r="E582" s="10" t="n"/>
    </row>
    <row r="583">
      <c r="B583" s="12" t="n"/>
      <c r="E583" s="10" t="n"/>
    </row>
    <row r="584">
      <c r="B584" s="12" t="n"/>
      <c r="E584" s="10" t="n"/>
    </row>
    <row r="585">
      <c r="B585" s="12" t="n"/>
      <c r="E585" s="10" t="n"/>
    </row>
    <row r="586">
      <c r="B586" s="12" t="n"/>
      <c r="E586" s="10" t="n"/>
    </row>
    <row r="587">
      <c r="B587" s="12" t="n"/>
      <c r="E587" s="10" t="n"/>
    </row>
    <row r="588">
      <c r="B588" s="12" t="n"/>
      <c r="E588" s="10" t="n"/>
    </row>
    <row r="589">
      <c r="B589" s="12" t="n"/>
      <c r="E589" s="10" t="n"/>
    </row>
    <row r="590">
      <c r="B590" s="12" t="n"/>
      <c r="E590" s="10" t="n"/>
    </row>
    <row r="591">
      <c r="B591" s="12" t="n"/>
      <c r="E591" s="10" t="n"/>
    </row>
    <row r="592">
      <c r="B592" s="12" t="n"/>
      <c r="E592" s="10" t="n"/>
    </row>
    <row r="593">
      <c r="B593" s="12" t="n"/>
      <c r="E593" s="10" t="n"/>
    </row>
    <row r="594">
      <c r="B594" s="12" t="n"/>
      <c r="E594" s="10" t="n"/>
    </row>
    <row r="595">
      <c r="B595" s="12" t="n"/>
      <c r="E595" s="10" t="n"/>
    </row>
    <row r="596">
      <c r="B596" s="12" t="n"/>
      <c r="E596" s="10" t="n"/>
    </row>
    <row r="597">
      <c r="B597" s="12" t="n"/>
      <c r="E597" s="10" t="n"/>
    </row>
    <row r="598">
      <c r="B598" s="12" t="n"/>
      <c r="E598" s="10" t="n"/>
    </row>
    <row r="599">
      <c r="B599" s="12" t="n"/>
      <c r="E599" s="10" t="n"/>
    </row>
    <row r="600">
      <c r="B600" s="12" t="n"/>
      <c r="E600" s="10" t="n"/>
    </row>
    <row r="601">
      <c r="B601" s="12" t="n"/>
      <c r="E601" s="10" t="n"/>
    </row>
    <row r="602">
      <c r="B602" s="12" t="n"/>
      <c r="E602" s="10" t="n"/>
    </row>
    <row r="603">
      <c r="B603" s="12" t="n"/>
      <c r="E603" s="10" t="n"/>
    </row>
    <row r="604">
      <c r="B604" s="12" t="n"/>
      <c r="E604" s="10" t="n"/>
    </row>
    <row r="605">
      <c r="B605" s="12" t="n"/>
      <c r="E605" s="10" t="n"/>
    </row>
    <row r="606">
      <c r="B606" s="12" t="n"/>
      <c r="E606" s="10" t="n"/>
    </row>
    <row r="607">
      <c r="B607" s="12" t="n"/>
      <c r="E607" s="10" t="n"/>
    </row>
    <row r="608">
      <c r="B608" s="12" t="n"/>
      <c r="E608" s="10" t="n"/>
    </row>
    <row r="609">
      <c r="B609" s="12" t="n"/>
      <c r="E609" s="10" t="n"/>
    </row>
    <row r="610">
      <c r="B610" s="12" t="n"/>
      <c r="E610" s="10" t="n"/>
    </row>
    <row r="611">
      <c r="B611" s="12" t="n"/>
      <c r="E611" s="10" t="n"/>
    </row>
    <row r="612">
      <c r="B612" s="12" t="n"/>
      <c r="E612" s="10" t="n"/>
    </row>
    <row r="613">
      <c r="B613" s="12" t="n"/>
      <c r="E613" s="10" t="n"/>
    </row>
    <row r="614">
      <c r="B614" s="12" t="n"/>
      <c r="E614" s="10" t="n"/>
    </row>
    <row r="615">
      <c r="B615" s="12" t="n"/>
      <c r="E615" s="10" t="n"/>
    </row>
    <row r="616">
      <c r="B616" s="12" t="n"/>
      <c r="E616" s="10" t="n"/>
    </row>
    <row r="617">
      <c r="B617" s="12" t="n"/>
      <c r="E617" s="10" t="n"/>
    </row>
    <row r="618">
      <c r="B618" s="12" t="n"/>
      <c r="E618" s="10" t="n"/>
    </row>
    <row r="619">
      <c r="B619" s="12" t="n"/>
      <c r="E619" s="10" t="n"/>
    </row>
    <row r="620">
      <c r="B620" s="12" t="n"/>
      <c r="E620" s="10" t="n"/>
    </row>
    <row r="621">
      <c r="B621" s="12" t="n"/>
      <c r="E621" s="10" t="n"/>
    </row>
    <row r="622">
      <c r="B622" s="12" t="n"/>
      <c r="E622" s="10" t="n"/>
    </row>
    <row r="623">
      <c r="B623" s="12" t="n"/>
      <c r="E623" s="10" t="n"/>
    </row>
    <row r="624">
      <c r="B624" s="12" t="n"/>
      <c r="E624" s="10" t="n"/>
    </row>
    <row r="625">
      <c r="B625" s="12" t="n"/>
      <c r="E625" s="10" t="n"/>
    </row>
    <row r="626">
      <c r="B626" s="12" t="n"/>
      <c r="E626" s="10" t="n"/>
    </row>
    <row r="627">
      <c r="B627" s="12" t="n"/>
      <c r="E627" s="10" t="n"/>
    </row>
    <row r="628">
      <c r="B628" s="12" t="n"/>
      <c r="E628" s="10" t="n"/>
    </row>
    <row r="629">
      <c r="B629" s="12" t="n"/>
      <c r="E629" s="10" t="n"/>
    </row>
    <row r="630">
      <c r="B630" s="12" t="n"/>
      <c r="E630" s="10" t="n"/>
    </row>
    <row r="631">
      <c r="B631" s="12" t="n"/>
      <c r="E631" s="10" t="n"/>
    </row>
    <row r="632">
      <c r="B632" s="12" t="n"/>
      <c r="E632" s="10" t="n"/>
    </row>
    <row r="633">
      <c r="B633" s="12" t="n"/>
      <c r="E633" s="10" t="n"/>
    </row>
    <row r="634">
      <c r="B634" s="12" t="n"/>
      <c r="E634" s="10" t="n"/>
    </row>
    <row r="635">
      <c r="B635" s="12" t="n"/>
      <c r="E635" s="10" t="n"/>
    </row>
    <row r="636">
      <c r="B636" s="12" t="n"/>
      <c r="E636" s="10" t="n"/>
    </row>
    <row r="637">
      <c r="B637" s="12" t="n"/>
      <c r="E637" s="10" t="n"/>
    </row>
    <row r="638">
      <c r="B638" s="12" t="n"/>
      <c r="E638" s="10" t="n"/>
    </row>
    <row r="639">
      <c r="B639" s="12" t="n"/>
      <c r="E639" s="10" t="n"/>
    </row>
    <row r="640">
      <c r="B640" s="12" t="n"/>
      <c r="E640" s="10" t="n"/>
    </row>
    <row r="641">
      <c r="B641" s="12" t="n"/>
      <c r="E641" s="10" t="n"/>
    </row>
    <row r="642">
      <c r="B642" s="12" t="n"/>
      <c r="E642" s="10" t="n"/>
    </row>
    <row r="643">
      <c r="B643" s="12" t="n"/>
      <c r="E643" s="10" t="n"/>
    </row>
    <row r="644">
      <c r="B644" s="12" t="n"/>
      <c r="E644" s="10" t="n"/>
    </row>
    <row r="645">
      <c r="B645" s="12" t="n"/>
      <c r="E645" s="10" t="n"/>
    </row>
    <row r="646">
      <c r="B646" s="12" t="n"/>
      <c r="E646" s="10" t="n"/>
    </row>
    <row r="647">
      <c r="B647" s="12" t="n"/>
      <c r="E647" s="10" t="n"/>
    </row>
    <row r="648">
      <c r="B648" s="12" t="n"/>
      <c r="E648" s="10" t="n"/>
    </row>
    <row r="649">
      <c r="B649" s="12" t="n"/>
      <c r="E649" s="10" t="n"/>
    </row>
    <row r="650">
      <c r="B650" s="12" t="n"/>
      <c r="E650" s="10" t="n"/>
    </row>
    <row r="651">
      <c r="B651" s="12" t="n"/>
      <c r="E651" s="10" t="n"/>
    </row>
    <row r="652">
      <c r="B652" s="12" t="n"/>
      <c r="E652" s="10" t="n"/>
    </row>
    <row r="653">
      <c r="B653" s="12" t="n"/>
      <c r="E653" s="10" t="n"/>
    </row>
    <row r="654">
      <c r="B654" s="12" t="n"/>
      <c r="E654" s="10" t="n"/>
    </row>
    <row r="655">
      <c r="B655" s="12" t="n"/>
      <c r="E655" s="10" t="n"/>
    </row>
    <row r="656">
      <c r="B656" s="12" t="n"/>
      <c r="E656" s="10" t="n"/>
    </row>
    <row r="657">
      <c r="B657" s="12" t="n"/>
      <c r="E657" s="10" t="n"/>
    </row>
    <row r="658">
      <c r="B658" s="12" t="n"/>
      <c r="E658" s="10" t="n"/>
    </row>
    <row r="659">
      <c r="B659" s="12" t="n"/>
      <c r="E659" s="10" t="n"/>
    </row>
    <row r="660">
      <c r="B660" s="12" t="n"/>
      <c r="E660" s="10" t="n"/>
    </row>
    <row r="661">
      <c r="B661" s="12" t="n"/>
      <c r="E661" s="10" t="n"/>
    </row>
    <row r="662">
      <c r="B662" s="12" t="n"/>
      <c r="E662" s="10" t="n"/>
    </row>
    <row r="663">
      <c r="B663" s="12" t="n"/>
      <c r="E663" s="10" t="n"/>
    </row>
    <row r="664">
      <c r="B664" s="12" t="n"/>
      <c r="E664" s="10" t="n"/>
    </row>
    <row r="665">
      <c r="B665" s="12" t="n"/>
      <c r="E665" s="10" t="n"/>
    </row>
    <row r="666">
      <c r="B666" s="12" t="n"/>
      <c r="E666" s="10" t="n"/>
    </row>
    <row r="667">
      <c r="B667" s="12" t="n"/>
      <c r="E667" s="10" t="n"/>
    </row>
    <row r="668">
      <c r="B668" s="12" t="n"/>
      <c r="E668" s="10" t="n"/>
    </row>
    <row r="669">
      <c r="B669" s="12" t="n"/>
      <c r="E669" s="10" t="n"/>
    </row>
    <row r="670">
      <c r="B670" s="12" t="n"/>
      <c r="E670" s="10" t="n"/>
    </row>
    <row r="671">
      <c r="B671" s="12" t="n"/>
      <c r="E671" s="10" t="n"/>
    </row>
    <row r="672">
      <c r="B672" s="12" t="n"/>
      <c r="E672" s="10" t="n"/>
    </row>
    <row r="673">
      <c r="B673" s="12" t="n"/>
      <c r="E673" s="10" t="n"/>
    </row>
    <row r="674">
      <c r="B674" s="12" t="n"/>
      <c r="E674" s="10" t="n"/>
    </row>
    <row r="675">
      <c r="B675" s="12" t="n"/>
      <c r="E675" s="10" t="n"/>
    </row>
    <row r="676">
      <c r="B676" s="12" t="n"/>
      <c r="E676" s="10" t="n"/>
    </row>
    <row r="677">
      <c r="B677" s="12" t="n"/>
      <c r="E677" s="10" t="n"/>
    </row>
    <row r="678">
      <c r="B678" s="12" t="n"/>
      <c r="E678" s="10" t="n"/>
    </row>
    <row r="679">
      <c r="B679" s="12" t="n"/>
      <c r="E679" s="10" t="n"/>
    </row>
    <row r="680">
      <c r="B680" s="12" t="n"/>
      <c r="E680" s="10" t="n"/>
    </row>
    <row r="681">
      <c r="B681" s="12" t="n"/>
      <c r="E681" s="10" t="n"/>
    </row>
    <row r="682">
      <c r="B682" s="12" t="n"/>
      <c r="E682" s="10" t="n"/>
    </row>
    <row r="683">
      <c r="B683" s="12" t="n"/>
      <c r="E683" s="10" t="n"/>
    </row>
    <row r="684">
      <c r="B684" s="12" t="n"/>
      <c r="E684" s="10" t="n"/>
    </row>
    <row r="685">
      <c r="B685" s="12" t="n"/>
      <c r="E685" s="10" t="n"/>
    </row>
    <row r="686">
      <c r="B686" s="12" t="n"/>
      <c r="E686" s="10" t="n"/>
    </row>
    <row r="687">
      <c r="B687" s="12" t="n"/>
      <c r="E687" s="10" t="n"/>
    </row>
    <row r="688">
      <c r="B688" s="12" t="n"/>
      <c r="E688" s="10" t="n"/>
    </row>
    <row r="689">
      <c r="B689" s="12" t="n"/>
      <c r="E689" s="10" t="n"/>
    </row>
    <row r="690">
      <c r="B690" s="12" t="n"/>
      <c r="E690" s="10" t="n"/>
    </row>
    <row r="691">
      <c r="B691" s="12" t="n"/>
      <c r="E691" s="10" t="n"/>
    </row>
    <row r="692">
      <c r="B692" s="12" t="n"/>
      <c r="E692" s="10" t="n"/>
    </row>
    <row r="693">
      <c r="B693" s="12" t="n"/>
      <c r="E693" s="10" t="n"/>
    </row>
    <row r="694">
      <c r="B694" s="12" t="n"/>
      <c r="E694" s="10" t="n"/>
    </row>
    <row r="695">
      <c r="B695" s="12" t="n"/>
      <c r="E695" s="10" t="n"/>
    </row>
    <row r="696">
      <c r="B696" s="12" t="n"/>
      <c r="E696" s="10" t="n"/>
    </row>
    <row r="697">
      <c r="B697" s="12" t="n"/>
      <c r="E697" s="10" t="n"/>
    </row>
    <row r="698">
      <c r="B698" s="12" t="n"/>
      <c r="E698" s="10" t="n"/>
    </row>
    <row r="699">
      <c r="B699" s="12" t="n"/>
      <c r="E699" s="10" t="n"/>
    </row>
    <row r="700">
      <c r="B700" s="12" t="n"/>
      <c r="E700" s="10" t="n"/>
    </row>
    <row r="701">
      <c r="B701" s="12" t="n"/>
      <c r="E701" s="10" t="n"/>
    </row>
    <row r="702">
      <c r="B702" s="12" t="n"/>
      <c r="E702" s="10" t="n"/>
    </row>
    <row r="703">
      <c r="B703" s="12" t="n"/>
      <c r="E703" s="10" t="n"/>
    </row>
    <row r="704">
      <c r="B704" s="12" t="n"/>
      <c r="E704" s="10" t="n"/>
    </row>
    <row r="705">
      <c r="B705" s="12" t="n"/>
      <c r="E705" s="10" t="n"/>
    </row>
    <row r="706">
      <c r="B706" s="12" t="n"/>
      <c r="E706" s="10" t="n"/>
    </row>
    <row r="707">
      <c r="B707" s="12" t="n"/>
      <c r="E707" s="10" t="n"/>
    </row>
    <row r="708">
      <c r="B708" s="12" t="n"/>
      <c r="E708" s="10" t="n"/>
    </row>
    <row r="709">
      <c r="B709" s="12" t="n"/>
      <c r="E709" s="10" t="n"/>
    </row>
    <row r="710">
      <c r="B710" s="12" t="n"/>
      <c r="E710" s="10" t="n"/>
    </row>
    <row r="711">
      <c r="B711" s="12" t="n"/>
      <c r="E711" s="10" t="n"/>
    </row>
    <row r="712">
      <c r="B712" s="12" t="n"/>
      <c r="E712" s="10" t="n"/>
    </row>
    <row r="713">
      <c r="B713" s="12" t="n"/>
      <c r="E713" s="10" t="n"/>
    </row>
    <row r="714">
      <c r="B714" s="12" t="n"/>
      <c r="E714" s="10" t="n"/>
    </row>
    <row r="715">
      <c r="B715" s="12" t="n"/>
      <c r="E715" s="10" t="n"/>
    </row>
    <row r="716">
      <c r="B716" s="12" t="n"/>
      <c r="E716" s="10" t="n"/>
    </row>
    <row r="717">
      <c r="B717" s="12" t="n"/>
      <c r="E717" s="10" t="n"/>
    </row>
    <row r="718">
      <c r="B718" s="12" t="n"/>
      <c r="E718" s="10" t="n"/>
    </row>
    <row r="719">
      <c r="B719" s="12" t="n"/>
      <c r="E719" s="10" t="n"/>
    </row>
    <row r="720">
      <c r="B720" s="12" t="n"/>
      <c r="E720" s="10" t="n"/>
    </row>
    <row r="721">
      <c r="B721" s="12" t="n"/>
      <c r="E721" s="10" t="n"/>
    </row>
    <row r="722">
      <c r="B722" s="12" t="n"/>
      <c r="E722" s="10" t="n"/>
    </row>
    <row r="723">
      <c r="B723" s="12" t="n"/>
      <c r="E723" s="10" t="n"/>
    </row>
    <row r="724">
      <c r="B724" s="12" t="n"/>
      <c r="E724" s="10" t="n"/>
    </row>
    <row r="725">
      <c r="B725" s="12" t="n"/>
      <c r="E725" s="10" t="n"/>
    </row>
    <row r="726">
      <c r="B726" s="12" t="n"/>
      <c r="E726" s="10" t="n"/>
    </row>
    <row r="727">
      <c r="B727" s="12" t="n"/>
      <c r="E727" s="10" t="n"/>
    </row>
    <row r="728">
      <c r="B728" s="12" t="n"/>
      <c r="E728" s="10" t="n"/>
    </row>
    <row r="729">
      <c r="B729" s="12" t="n"/>
      <c r="E729" s="10" t="n"/>
    </row>
    <row r="730">
      <c r="B730" s="12" t="n"/>
      <c r="E730" s="10" t="n"/>
    </row>
    <row r="731">
      <c r="B731" s="12" t="n"/>
      <c r="E731" s="10" t="n"/>
    </row>
    <row r="732">
      <c r="B732" s="12" t="n"/>
      <c r="E732" s="10" t="n"/>
    </row>
    <row r="733">
      <c r="B733" s="12" t="n"/>
      <c r="E733" s="10" t="n"/>
    </row>
    <row r="734">
      <c r="B734" s="12" t="n"/>
      <c r="E734" s="10" t="n"/>
    </row>
    <row r="735">
      <c r="B735" s="12" t="n"/>
      <c r="E735" s="10" t="n"/>
    </row>
    <row r="736">
      <c r="B736" s="12" t="n"/>
      <c r="E736" s="10" t="n"/>
    </row>
    <row r="737">
      <c r="B737" s="12" t="n"/>
      <c r="E737" s="10" t="n"/>
    </row>
    <row r="738">
      <c r="B738" s="12" t="n"/>
      <c r="E738" s="10" t="n"/>
    </row>
    <row r="739">
      <c r="B739" s="12" t="n"/>
      <c r="E739" s="10" t="n"/>
    </row>
    <row r="740">
      <c r="B740" s="12" t="n"/>
      <c r="E740" s="10" t="n"/>
    </row>
    <row r="741">
      <c r="B741" s="12" t="n"/>
      <c r="E741" s="10" t="n"/>
    </row>
    <row r="742">
      <c r="B742" s="12" t="n"/>
      <c r="E742" s="10" t="n"/>
    </row>
    <row r="743">
      <c r="B743" s="12" t="n"/>
      <c r="E743" s="10" t="n"/>
    </row>
    <row r="744">
      <c r="B744" s="12" t="n"/>
      <c r="E744" s="10" t="n"/>
    </row>
    <row r="745">
      <c r="B745" s="12" t="n"/>
      <c r="E745" s="10" t="n"/>
    </row>
    <row r="746">
      <c r="B746" s="12" t="n"/>
      <c r="E746" s="10" t="n"/>
    </row>
    <row r="747">
      <c r="B747" s="12" t="n"/>
      <c r="E747" s="10" t="n"/>
    </row>
    <row r="748">
      <c r="B748" s="12" t="n"/>
      <c r="E748" s="10" t="n"/>
    </row>
    <row r="749">
      <c r="B749" s="12" t="n"/>
      <c r="E749" s="10" t="n"/>
    </row>
    <row r="750">
      <c r="B750" s="12" t="n"/>
      <c r="E750" s="10" t="n"/>
    </row>
    <row r="751">
      <c r="B751" s="12" t="n"/>
      <c r="E751" s="10" t="n"/>
    </row>
    <row r="752">
      <c r="B752" s="12" t="n"/>
      <c r="E752" s="10" t="n"/>
    </row>
    <row r="753">
      <c r="B753" s="12" t="n"/>
      <c r="E753" s="10" t="n"/>
    </row>
    <row r="754">
      <c r="B754" s="12" t="n"/>
      <c r="E754" s="10" t="n"/>
    </row>
    <row r="755">
      <c r="B755" s="12" t="n"/>
      <c r="E755" s="10" t="n"/>
    </row>
    <row r="756">
      <c r="B756" s="12" t="n"/>
      <c r="E756" s="10" t="n"/>
    </row>
    <row r="757">
      <c r="B757" s="12" t="n"/>
      <c r="E757" s="10" t="n"/>
    </row>
    <row r="758">
      <c r="B758" s="12" t="n"/>
      <c r="E758" s="10" t="n"/>
    </row>
    <row r="759">
      <c r="B759" s="12" t="n"/>
      <c r="E759" s="10" t="n"/>
    </row>
    <row r="760">
      <c r="B760" s="12" t="n"/>
      <c r="E760" s="10" t="n"/>
    </row>
    <row r="761">
      <c r="B761" s="12" t="n"/>
      <c r="E761" s="10" t="n"/>
    </row>
    <row r="762">
      <c r="B762" s="12" t="n"/>
      <c r="E762" s="10" t="n"/>
    </row>
    <row r="763">
      <c r="B763" s="12" t="n"/>
      <c r="E763" s="10" t="n"/>
    </row>
    <row r="764">
      <c r="B764" s="12" t="n"/>
      <c r="E764" s="10" t="n"/>
    </row>
    <row r="765">
      <c r="B765" s="12" t="n"/>
      <c r="E765" s="10" t="n"/>
    </row>
    <row r="766">
      <c r="B766" s="12" t="n"/>
      <c r="E766" s="10" t="n"/>
    </row>
    <row r="767">
      <c r="B767" s="12" t="n"/>
      <c r="E767" s="10" t="n"/>
    </row>
    <row r="768">
      <c r="B768" s="12" t="n"/>
      <c r="E768" s="10" t="n"/>
    </row>
    <row r="769">
      <c r="B769" s="12" t="n"/>
      <c r="E769" s="10" t="n"/>
    </row>
    <row r="770">
      <c r="B770" s="12" t="n"/>
      <c r="E770" s="10" t="n"/>
    </row>
    <row r="771">
      <c r="B771" s="12" t="n"/>
      <c r="E771" s="10" t="n"/>
    </row>
    <row r="772">
      <c r="B772" s="12" t="n"/>
      <c r="E772" s="10" t="n"/>
    </row>
    <row r="773">
      <c r="B773" s="12" t="n"/>
      <c r="E773" s="10" t="n"/>
    </row>
    <row r="774">
      <c r="B774" s="12" t="n"/>
      <c r="E774" s="10" t="n"/>
    </row>
    <row r="775">
      <c r="B775" s="12" t="n"/>
      <c r="E775" s="10" t="n"/>
    </row>
    <row r="776">
      <c r="B776" s="12" t="n"/>
      <c r="E776" s="10" t="n"/>
    </row>
    <row r="777">
      <c r="B777" s="12" t="n"/>
      <c r="E777" s="10" t="n"/>
    </row>
    <row r="778">
      <c r="B778" s="12" t="n"/>
      <c r="E778" s="10" t="n"/>
    </row>
    <row r="779">
      <c r="B779" s="12" t="n"/>
      <c r="E779" s="10" t="n"/>
    </row>
    <row r="780">
      <c r="B780" s="12" t="n"/>
      <c r="E780" s="10" t="n"/>
    </row>
    <row r="781">
      <c r="B781" s="12" t="n"/>
      <c r="E781" s="10" t="n"/>
    </row>
    <row r="782">
      <c r="B782" s="12" t="n"/>
      <c r="E782" s="10" t="n"/>
    </row>
    <row r="783">
      <c r="B783" s="12" t="n"/>
      <c r="E783" s="10" t="n"/>
    </row>
    <row r="784">
      <c r="B784" s="12" t="n"/>
      <c r="E784" s="10" t="n"/>
    </row>
    <row r="785">
      <c r="B785" s="12" t="n"/>
      <c r="E785" s="10" t="n"/>
    </row>
    <row r="786">
      <c r="B786" s="12" t="n"/>
      <c r="E786" s="10" t="n"/>
    </row>
    <row r="787">
      <c r="B787" s="12" t="n"/>
      <c r="E787" s="10" t="n"/>
    </row>
    <row r="788">
      <c r="B788" s="12" t="n"/>
      <c r="E788" s="10" t="n"/>
    </row>
    <row r="789">
      <c r="B789" s="12" t="n"/>
      <c r="E789" s="10" t="n"/>
    </row>
    <row r="790">
      <c r="B790" s="12" t="n"/>
      <c r="E790" s="10" t="n"/>
    </row>
    <row r="791">
      <c r="B791" s="12" t="n"/>
      <c r="E791" s="10" t="n"/>
    </row>
    <row r="792">
      <c r="B792" s="12" t="n"/>
      <c r="E792" s="10" t="n"/>
    </row>
    <row r="793">
      <c r="B793" s="12" t="n"/>
      <c r="E793" s="10" t="n"/>
    </row>
    <row r="794">
      <c r="B794" s="12" t="n"/>
      <c r="E794" s="10" t="n"/>
    </row>
    <row r="795">
      <c r="B795" s="12" t="n"/>
      <c r="E795" s="10" t="n"/>
    </row>
    <row r="796">
      <c r="B796" s="12" t="n"/>
      <c r="E796" s="10" t="n"/>
    </row>
    <row r="797">
      <c r="B797" s="12" t="n"/>
      <c r="E797" s="10" t="n"/>
    </row>
    <row r="798">
      <c r="B798" s="12" t="n"/>
      <c r="E798" s="10" t="n"/>
    </row>
    <row r="799">
      <c r="B799" s="12" t="n"/>
      <c r="E799" s="10" t="n"/>
    </row>
    <row r="800">
      <c r="B800" s="12" t="n"/>
      <c r="E800" s="10" t="n"/>
    </row>
    <row r="801">
      <c r="B801" s="12" t="n"/>
      <c r="E801" s="10" t="n"/>
    </row>
    <row r="802">
      <c r="B802" s="12" t="n"/>
      <c r="E802" s="10" t="n"/>
    </row>
    <row r="803">
      <c r="B803" s="12" t="n"/>
      <c r="E803" s="10" t="n"/>
    </row>
    <row r="804">
      <c r="B804" s="12" t="n"/>
      <c r="E804" s="10" t="n"/>
    </row>
    <row r="805">
      <c r="B805" s="12" t="n"/>
      <c r="E805" s="10" t="n"/>
    </row>
    <row r="806">
      <c r="B806" s="12" t="n"/>
      <c r="E806" s="10" t="n"/>
    </row>
    <row r="807">
      <c r="B807" s="12" t="n"/>
      <c r="E807" s="10" t="n"/>
    </row>
    <row r="808">
      <c r="B808" s="12" t="n"/>
      <c r="E808" s="10" t="n"/>
    </row>
    <row r="809">
      <c r="B809" s="12" t="n"/>
      <c r="E809" s="10" t="n"/>
    </row>
    <row r="810">
      <c r="B810" s="12" t="n"/>
      <c r="E810" s="10" t="n"/>
    </row>
    <row r="811">
      <c r="B811" s="12" t="n"/>
      <c r="E811" s="10" t="n"/>
    </row>
    <row r="812">
      <c r="B812" s="12" t="n"/>
      <c r="E812" s="10" t="n"/>
    </row>
    <row r="813">
      <c r="B813" s="12" t="n"/>
      <c r="E813" s="10" t="n"/>
    </row>
    <row r="814">
      <c r="B814" s="12" t="n"/>
      <c r="E814" s="10" t="n"/>
    </row>
    <row r="815">
      <c r="B815" s="12" t="n"/>
      <c r="E815" s="10" t="n"/>
    </row>
    <row r="816">
      <c r="B816" s="12" t="n"/>
      <c r="E816" s="10" t="n"/>
    </row>
    <row r="817">
      <c r="B817" s="12" t="n"/>
      <c r="E817" s="10" t="n"/>
    </row>
    <row r="818">
      <c r="B818" s="12" t="n"/>
      <c r="E818" s="10" t="n"/>
    </row>
    <row r="819">
      <c r="B819" s="12" t="n"/>
      <c r="E819" s="10" t="n"/>
    </row>
    <row r="820">
      <c r="B820" s="12" t="n"/>
      <c r="E820" s="10" t="n"/>
    </row>
    <row r="821">
      <c r="B821" s="12" t="n"/>
      <c r="E821" s="10" t="n"/>
    </row>
    <row r="822">
      <c r="B822" s="12" t="n"/>
      <c r="E822" s="10" t="n"/>
    </row>
    <row r="823">
      <c r="B823" s="12" t="n"/>
      <c r="E823" s="10" t="n"/>
    </row>
    <row r="824">
      <c r="B824" s="12" t="n"/>
      <c r="E824" s="10" t="n"/>
    </row>
    <row r="825">
      <c r="B825" s="12" t="n"/>
      <c r="E825" s="10" t="n"/>
    </row>
    <row r="826">
      <c r="B826" s="12" t="n"/>
      <c r="E826" s="10" t="n"/>
    </row>
    <row r="827">
      <c r="B827" s="12" t="n"/>
      <c r="E827" s="10" t="n"/>
    </row>
    <row r="828">
      <c r="B828" s="12" t="n"/>
      <c r="E828" s="10" t="n"/>
    </row>
    <row r="829">
      <c r="B829" s="12" t="n"/>
      <c r="E829" s="10" t="n"/>
    </row>
    <row r="830">
      <c r="B830" s="12" t="n"/>
      <c r="E830" s="10" t="n"/>
    </row>
    <row r="831">
      <c r="B831" s="12" t="n"/>
      <c r="E831" s="10" t="n"/>
    </row>
    <row r="832">
      <c r="B832" s="12" t="n"/>
      <c r="E832" s="10" t="n"/>
    </row>
    <row r="833">
      <c r="B833" s="12" t="n"/>
      <c r="E833" s="10" t="n"/>
    </row>
    <row r="834">
      <c r="B834" s="12" t="n"/>
      <c r="E834" s="10" t="n"/>
    </row>
    <row r="835">
      <c r="B835" s="12" t="n"/>
      <c r="E835" s="10" t="n"/>
    </row>
    <row r="836">
      <c r="B836" s="12" t="n"/>
      <c r="E836" s="10" t="n"/>
    </row>
    <row r="837">
      <c r="B837" s="12" t="n"/>
      <c r="E837" s="10" t="n"/>
    </row>
    <row r="838">
      <c r="B838" s="12" t="n"/>
      <c r="E838" s="10" t="n"/>
    </row>
    <row r="839">
      <c r="B839" s="12" t="n"/>
      <c r="E839" s="10" t="n"/>
    </row>
    <row r="840">
      <c r="B840" s="12" t="n"/>
      <c r="E840" s="10" t="n"/>
    </row>
    <row r="841">
      <c r="B841" s="12" t="n"/>
      <c r="E841" s="10" t="n"/>
    </row>
    <row r="842">
      <c r="B842" s="12" t="n"/>
      <c r="E842" s="10" t="n"/>
    </row>
    <row r="843">
      <c r="B843" s="12" t="n"/>
      <c r="E843" s="10" t="n"/>
    </row>
    <row r="844">
      <c r="B844" s="12" t="n"/>
      <c r="E844" s="10" t="n"/>
    </row>
    <row r="845">
      <c r="B845" s="12" t="n"/>
      <c r="E845" s="10" t="n"/>
    </row>
    <row r="846">
      <c r="B846" s="12" t="n"/>
      <c r="E846" s="10" t="n"/>
    </row>
    <row r="847">
      <c r="B847" s="12" t="n"/>
      <c r="E847" s="10" t="n"/>
    </row>
    <row r="848">
      <c r="B848" s="12" t="n"/>
      <c r="E848" s="10" t="n"/>
    </row>
    <row r="849">
      <c r="B849" s="12" t="n"/>
      <c r="E849" s="10" t="n"/>
    </row>
    <row r="850">
      <c r="B850" s="12" t="n"/>
      <c r="E850" s="10" t="n"/>
    </row>
    <row r="851">
      <c r="B851" s="12" t="n"/>
      <c r="E851" s="10" t="n"/>
    </row>
    <row r="852">
      <c r="B852" s="12" t="n"/>
      <c r="E852" s="10" t="n"/>
    </row>
    <row r="853">
      <c r="B853" s="12" t="n"/>
      <c r="E853" s="10" t="n"/>
    </row>
    <row r="854">
      <c r="B854" s="12" t="n"/>
      <c r="E854" s="10" t="n"/>
    </row>
    <row r="855">
      <c r="B855" s="12" t="n"/>
      <c r="E855" s="10" t="n"/>
    </row>
    <row r="856">
      <c r="B856" s="12" t="n"/>
      <c r="E856" s="10" t="n"/>
    </row>
    <row r="857">
      <c r="B857" s="12" t="n"/>
      <c r="E857" s="10" t="n"/>
    </row>
    <row r="858">
      <c r="B858" s="12" t="n"/>
      <c r="E858" s="10" t="n"/>
    </row>
    <row r="859">
      <c r="B859" s="12" t="n"/>
      <c r="E859" s="10" t="n"/>
    </row>
    <row r="860">
      <c r="B860" s="12" t="n"/>
      <c r="E860" s="10" t="n"/>
    </row>
    <row r="861">
      <c r="B861" s="12" t="n"/>
      <c r="E861" s="10" t="n"/>
    </row>
    <row r="862">
      <c r="B862" s="12" t="n"/>
      <c r="E862" s="10" t="n"/>
    </row>
    <row r="863">
      <c r="B863" s="12" t="n"/>
      <c r="E863" s="10" t="n"/>
    </row>
    <row r="864">
      <c r="B864" s="12" t="n"/>
      <c r="E864" s="10" t="n"/>
    </row>
    <row r="865">
      <c r="B865" s="12" t="n"/>
      <c r="E865" s="10" t="n"/>
    </row>
    <row r="866">
      <c r="B866" s="12" t="n"/>
      <c r="E866" s="10" t="n"/>
    </row>
    <row r="867">
      <c r="B867" s="12" t="n"/>
      <c r="E867" s="10" t="n"/>
    </row>
    <row r="868">
      <c r="B868" s="12" t="n"/>
      <c r="E868" s="10" t="n"/>
    </row>
    <row r="869">
      <c r="B869" s="12" t="n"/>
      <c r="E869" s="10" t="n"/>
    </row>
    <row r="870">
      <c r="B870" s="12" t="n"/>
      <c r="E870" s="10" t="n"/>
    </row>
    <row r="871">
      <c r="B871" s="12" t="n"/>
      <c r="E871" s="10" t="n"/>
    </row>
    <row r="872">
      <c r="B872" s="12" t="n"/>
      <c r="E872" s="10" t="n"/>
    </row>
    <row r="873">
      <c r="B873" s="12" t="n"/>
      <c r="E873" s="10" t="n"/>
    </row>
    <row r="874">
      <c r="B874" s="12" t="n"/>
      <c r="E874" s="10" t="n"/>
    </row>
    <row r="875">
      <c r="B875" s="12" t="n"/>
      <c r="E875" s="10" t="n"/>
    </row>
    <row r="876">
      <c r="B876" s="12" t="n"/>
      <c r="E876" s="10" t="n"/>
    </row>
    <row r="877">
      <c r="B877" s="12" t="n"/>
      <c r="E877" s="10" t="n"/>
    </row>
    <row r="878">
      <c r="B878" s="12" t="n"/>
      <c r="E878" s="10" t="n"/>
    </row>
    <row r="879">
      <c r="B879" s="12" t="n"/>
      <c r="E879" s="10" t="n"/>
    </row>
    <row r="880">
      <c r="B880" s="12" t="n"/>
      <c r="E880" s="10" t="n"/>
    </row>
    <row r="881">
      <c r="B881" s="12" t="n"/>
      <c r="E881" s="10" t="n"/>
    </row>
    <row r="882">
      <c r="B882" s="12" t="n"/>
      <c r="E882" s="10" t="n"/>
    </row>
    <row r="883">
      <c r="B883" s="12" t="n"/>
      <c r="E883" s="10" t="n"/>
    </row>
    <row r="884">
      <c r="B884" s="12" t="n"/>
      <c r="E884" s="10" t="n"/>
    </row>
    <row r="885">
      <c r="B885" s="12" t="n"/>
      <c r="E885" s="10" t="n"/>
    </row>
    <row r="886">
      <c r="B886" s="12" t="n"/>
      <c r="E886" s="10" t="n"/>
    </row>
    <row r="887">
      <c r="B887" s="12" t="n"/>
      <c r="E887" s="10" t="n"/>
    </row>
    <row r="888">
      <c r="B888" s="12" t="n"/>
      <c r="E888" s="10" t="n"/>
    </row>
    <row r="889">
      <c r="B889" s="12" t="n"/>
      <c r="E889" s="10" t="n"/>
    </row>
    <row r="890">
      <c r="B890" s="12" t="n"/>
      <c r="E890" s="10" t="n"/>
    </row>
    <row r="891">
      <c r="B891" s="12" t="n"/>
      <c r="E891" s="10" t="n"/>
    </row>
    <row r="892">
      <c r="B892" s="12" t="n"/>
      <c r="E892" s="10" t="n"/>
    </row>
    <row r="893">
      <c r="B893" s="12" t="n"/>
      <c r="E893" s="10" t="n"/>
    </row>
    <row r="894">
      <c r="B894" s="12" t="n"/>
      <c r="E894" s="10" t="n"/>
    </row>
    <row r="895">
      <c r="B895" s="12" t="n"/>
      <c r="E895" s="10" t="n"/>
    </row>
    <row r="896">
      <c r="B896" s="12" t="n"/>
      <c r="E896" s="10" t="n"/>
    </row>
    <row r="897">
      <c r="B897" s="12" t="n"/>
      <c r="E897" s="10" t="n"/>
    </row>
    <row r="898">
      <c r="B898" s="12" t="n"/>
      <c r="E898" s="10" t="n"/>
    </row>
    <row r="899">
      <c r="B899" s="12" t="n"/>
      <c r="E899" s="10" t="n"/>
    </row>
    <row r="900">
      <c r="B900" s="12" t="n"/>
      <c r="E900" s="10" t="n"/>
    </row>
    <row r="901">
      <c r="B901" s="12" t="n"/>
      <c r="E901" s="10" t="n"/>
    </row>
    <row r="902">
      <c r="B902" s="12" t="n"/>
      <c r="E902" s="10" t="n"/>
    </row>
    <row r="903">
      <c r="B903" s="12" t="n"/>
      <c r="E903" s="10" t="n"/>
    </row>
    <row r="904">
      <c r="B904" s="12" t="n"/>
      <c r="E904" s="10" t="n"/>
    </row>
    <row r="905">
      <c r="B905" s="12" t="n"/>
      <c r="E905" s="10" t="n"/>
    </row>
    <row r="906">
      <c r="B906" s="12" t="n"/>
      <c r="E906" s="10" t="n"/>
    </row>
    <row r="907">
      <c r="B907" s="12" t="n"/>
      <c r="E907" s="10" t="n"/>
    </row>
    <row r="908">
      <c r="B908" s="12" t="n"/>
      <c r="E908" s="10" t="n"/>
    </row>
    <row r="909">
      <c r="B909" s="12" t="n"/>
      <c r="E909" s="10" t="n"/>
    </row>
    <row r="910">
      <c r="B910" s="12" t="n"/>
      <c r="E910" s="10" t="n"/>
    </row>
    <row r="911">
      <c r="B911" s="12" t="n"/>
      <c r="E911" s="10" t="n"/>
    </row>
    <row r="912">
      <c r="B912" s="12" t="n"/>
      <c r="E912" s="10" t="n"/>
    </row>
    <row r="913">
      <c r="B913" s="12" t="n"/>
      <c r="E913" s="10" t="n"/>
    </row>
    <row r="914">
      <c r="B914" s="12" t="n"/>
      <c r="E914" s="10" t="n"/>
    </row>
    <row r="915">
      <c r="B915" s="12" t="n"/>
      <c r="E915" s="10" t="n"/>
    </row>
    <row r="916">
      <c r="B916" s="12" t="n"/>
      <c r="E916" s="10" t="n"/>
    </row>
    <row r="917">
      <c r="B917" s="12" t="n"/>
      <c r="E917" s="10" t="n"/>
    </row>
    <row r="918">
      <c r="B918" s="12" t="n"/>
      <c r="E918" s="10" t="n"/>
    </row>
    <row r="919">
      <c r="B919" s="12" t="n"/>
      <c r="E919" s="10" t="n"/>
    </row>
    <row r="920">
      <c r="B920" s="12" t="n"/>
      <c r="E920" s="10" t="n"/>
    </row>
    <row r="921">
      <c r="B921" s="12" t="n"/>
      <c r="E921" s="10" t="n"/>
    </row>
    <row r="922">
      <c r="B922" s="12" t="n"/>
      <c r="E922" s="10" t="n"/>
    </row>
    <row r="923">
      <c r="B923" s="12" t="n"/>
      <c r="E923" s="10" t="n"/>
    </row>
    <row r="924">
      <c r="B924" s="12" t="n"/>
      <c r="E924" s="10" t="n"/>
    </row>
    <row r="925">
      <c r="B925" s="12" t="n"/>
      <c r="E925" s="10" t="n"/>
    </row>
    <row r="926">
      <c r="B926" s="12" t="n"/>
      <c r="E926" s="10" t="n"/>
    </row>
    <row r="927">
      <c r="B927" s="12" t="n"/>
      <c r="E927" s="10" t="n"/>
    </row>
    <row r="928">
      <c r="B928" s="12" t="n"/>
      <c r="E928" s="10" t="n"/>
    </row>
    <row r="929">
      <c r="B929" s="12" t="n"/>
      <c r="E929" s="10" t="n"/>
    </row>
    <row r="930">
      <c r="B930" s="12" t="n"/>
      <c r="E930" s="10" t="n"/>
    </row>
    <row r="931">
      <c r="B931" s="12" t="n"/>
      <c r="E931" s="10" t="n"/>
    </row>
    <row r="932">
      <c r="B932" s="12" t="n"/>
      <c r="E932" s="10" t="n"/>
    </row>
    <row r="933">
      <c r="B933" s="12" t="n"/>
      <c r="E933" s="10" t="n"/>
    </row>
    <row r="934">
      <c r="B934" s="12" t="n"/>
      <c r="E934" s="10" t="n"/>
    </row>
    <row r="935">
      <c r="B935" s="12" t="n"/>
      <c r="E935" s="10" t="n"/>
    </row>
    <row r="936">
      <c r="B936" s="12" t="n"/>
      <c r="E936" s="10" t="n"/>
    </row>
    <row r="937">
      <c r="B937" s="12" t="n"/>
      <c r="E937" s="10" t="n"/>
    </row>
    <row r="938">
      <c r="B938" s="12" t="n"/>
      <c r="E938" s="10" t="n"/>
    </row>
    <row r="939">
      <c r="B939" s="12" t="n"/>
      <c r="E939" s="10" t="n"/>
    </row>
    <row r="940">
      <c r="B940" s="12" t="n"/>
      <c r="E940" s="10" t="n"/>
    </row>
    <row r="941">
      <c r="B941" s="12" t="n"/>
      <c r="E941" s="10" t="n"/>
    </row>
    <row r="942">
      <c r="B942" s="12" t="n"/>
      <c r="E942" s="10" t="n"/>
    </row>
    <row r="943">
      <c r="B943" s="12" t="n"/>
      <c r="E943" s="10" t="n"/>
    </row>
    <row r="944">
      <c r="B944" s="12" t="n"/>
      <c r="E944" s="10" t="n"/>
    </row>
    <row r="945">
      <c r="B945" s="12" t="n"/>
      <c r="E945" s="10" t="n"/>
    </row>
    <row r="946">
      <c r="B946" s="12" t="n"/>
      <c r="E946" s="10" t="n"/>
    </row>
    <row r="947">
      <c r="B947" s="12" t="n"/>
      <c r="E947" s="10" t="n"/>
    </row>
    <row r="948">
      <c r="B948" s="12" t="n"/>
      <c r="E948" s="10" t="n"/>
    </row>
    <row r="949">
      <c r="B949" s="12" t="n"/>
      <c r="E949" s="10" t="n"/>
    </row>
    <row r="950">
      <c r="B950" s="12" t="n"/>
      <c r="E950" s="10" t="n"/>
    </row>
    <row r="951">
      <c r="B951" s="12" t="n"/>
      <c r="E951" s="10" t="n"/>
    </row>
    <row r="952">
      <c r="B952" s="12" t="n"/>
      <c r="E952" s="10" t="n"/>
    </row>
    <row r="953">
      <c r="B953" s="12" t="n"/>
      <c r="E953" s="10" t="n"/>
    </row>
    <row r="954">
      <c r="B954" s="12" t="n"/>
      <c r="E954" s="10" t="n"/>
    </row>
    <row r="955">
      <c r="B955" s="12" t="n"/>
      <c r="E955" s="10" t="n"/>
    </row>
    <row r="956">
      <c r="B956" s="12" t="n"/>
      <c r="E956" s="10" t="n"/>
    </row>
    <row r="957">
      <c r="B957" s="12" t="n"/>
      <c r="E957" s="10" t="n"/>
    </row>
    <row r="958">
      <c r="B958" s="12" t="n"/>
      <c r="E958" s="10" t="n"/>
    </row>
    <row r="959">
      <c r="B959" s="12" t="n"/>
      <c r="E959" s="10" t="n"/>
    </row>
    <row r="960">
      <c r="B960" s="12" t="n"/>
      <c r="E960" s="10" t="n"/>
    </row>
    <row r="961">
      <c r="B961" s="12" t="n"/>
      <c r="E961" s="10" t="n"/>
    </row>
    <row r="962">
      <c r="B962" s="12" t="n"/>
      <c r="E962" s="10" t="n"/>
    </row>
    <row r="963">
      <c r="B963" s="12" t="n"/>
      <c r="E963" s="10" t="n"/>
    </row>
    <row r="964">
      <c r="B964" s="12" t="n"/>
      <c r="E964" s="10" t="n"/>
    </row>
    <row r="965">
      <c r="B965" s="12" t="n"/>
      <c r="E965" s="10" t="n"/>
    </row>
    <row r="966">
      <c r="B966" s="12" t="n"/>
      <c r="E966" s="10" t="n"/>
    </row>
    <row r="967">
      <c r="B967" s="12" t="n"/>
      <c r="E967" s="10" t="n"/>
    </row>
    <row r="968">
      <c r="B968" s="12" t="n"/>
      <c r="E968" s="10" t="n"/>
    </row>
    <row r="969">
      <c r="B969" s="12" t="n"/>
      <c r="E969" s="10" t="n"/>
    </row>
    <row r="970">
      <c r="B970" s="12" t="n"/>
      <c r="E970" s="10" t="n"/>
    </row>
    <row r="971">
      <c r="B971" s="12" t="n"/>
      <c r="E971" s="10" t="n"/>
    </row>
    <row r="972">
      <c r="B972" s="12" t="n"/>
      <c r="E972" s="10" t="n"/>
    </row>
    <row r="973">
      <c r="B973" s="12" t="n"/>
      <c r="E973" s="10" t="n"/>
    </row>
    <row r="974">
      <c r="B974" s="12" t="n"/>
      <c r="E974" s="10" t="n"/>
    </row>
    <row r="975">
      <c r="B975" s="12" t="n"/>
      <c r="E975" s="10" t="n"/>
    </row>
    <row r="976">
      <c r="B976" s="12" t="n"/>
      <c r="E976" s="10" t="n"/>
    </row>
    <row r="977">
      <c r="B977" s="12" t="n"/>
      <c r="E977" s="10" t="n"/>
    </row>
    <row r="978">
      <c r="B978" s="12" t="n"/>
      <c r="E978" s="10" t="n"/>
    </row>
    <row r="979">
      <c r="B979" s="12" t="n"/>
      <c r="E979" s="10" t="n"/>
    </row>
    <row r="980">
      <c r="B980" s="12" t="n"/>
      <c r="E980" s="10" t="n"/>
    </row>
    <row r="981">
      <c r="B981" s="12" t="n"/>
      <c r="E981" s="10" t="n"/>
    </row>
    <row r="982">
      <c r="B982" s="12" t="n"/>
      <c r="E982" s="10" t="n"/>
    </row>
    <row r="983">
      <c r="B983" s="12" t="n"/>
      <c r="E983" s="10" t="n"/>
    </row>
    <row r="984">
      <c r="B984" s="12" t="n"/>
      <c r="E984" s="10" t="n"/>
    </row>
    <row r="985">
      <c r="B985" s="12" t="n"/>
      <c r="E985" s="10" t="n"/>
    </row>
    <row r="986">
      <c r="B986" s="12" t="n"/>
      <c r="E986" s="10" t="n"/>
    </row>
    <row r="987">
      <c r="B987" s="12" t="n"/>
      <c r="E987" s="10" t="n"/>
    </row>
    <row r="988">
      <c r="B988" s="12" t="n"/>
      <c r="E988" s="10" t="n"/>
    </row>
    <row r="989">
      <c r="B989" s="12" t="n"/>
      <c r="E989" s="10" t="n"/>
    </row>
    <row r="990">
      <c r="B990" s="12" t="n"/>
      <c r="E990" s="10" t="n"/>
    </row>
    <row r="991">
      <c r="B991" s="12" t="n"/>
      <c r="E991" s="10" t="n"/>
    </row>
    <row r="992">
      <c r="B992" s="12" t="n"/>
      <c r="E992" s="10" t="n"/>
    </row>
    <row r="993">
      <c r="B993" s="12" t="n"/>
      <c r="E993" s="10" t="n"/>
    </row>
    <row r="994">
      <c r="B994" s="12" t="n"/>
      <c r="E994" s="10" t="n"/>
    </row>
    <row r="995">
      <c r="B995" s="12" t="n"/>
      <c r="E995" s="10" t="n"/>
    </row>
    <row r="996">
      <c r="B996" s="12" t="n"/>
      <c r="E996" s="10" t="n"/>
    </row>
    <row r="997">
      <c r="B997" s="12" t="n"/>
      <c r="E997" s="10" t="n"/>
    </row>
    <row r="998">
      <c r="B998" s="12" t="n"/>
      <c r="E998" s="10" t="n"/>
    </row>
    <row r="999">
      <c r="B999" s="12" t="n"/>
      <c r="E999" s="10" t="n"/>
    </row>
    <row r="1000">
      <c r="B1000" s="12" t="n"/>
      <c r="E1000" s="10" t="n"/>
    </row>
  </sheetData>
  <dataValidations count="1">
    <dataValidation sqref="F2:F1000" showDropDown="0" showInputMessage="0" showErrorMessage="0" allowBlank="1" type="list">
      <formula1>"Cash,Bank,UPI,Card,Other"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1" t="inlineStr">
        <is>
          <t>PaymentID</t>
        </is>
      </c>
      <c r="B1" s="11" t="inlineStr">
        <is>
          <t>Date</t>
        </is>
      </c>
      <c r="C1" s="11" t="inlineStr">
        <is>
          <t>PartyType</t>
        </is>
      </c>
      <c r="D1" s="11" t="inlineStr">
        <is>
          <t>PartyID</t>
        </is>
      </c>
      <c r="E1" s="11" t="inlineStr">
        <is>
          <t>Reference</t>
        </is>
      </c>
      <c r="F1" s="11" t="inlineStr">
        <is>
          <t>Amount</t>
        </is>
      </c>
      <c r="G1" s="11" t="inlineStr">
        <is>
          <t>PaymentMode</t>
        </is>
      </c>
    </row>
    <row r="2">
      <c r="A2" t="inlineStr">
        <is>
          <t>PAY001</t>
        </is>
      </c>
      <c r="B2" s="12" t="inlineStr">
        <is>
          <t>15-08-2026</t>
        </is>
      </c>
      <c r="C2" t="inlineStr">
        <is>
          <t>Customer</t>
        </is>
      </c>
      <c r="D2" t="inlineStr">
        <is>
          <t>C001</t>
        </is>
      </c>
      <c r="E2" t="inlineStr">
        <is>
          <t>Opening</t>
        </is>
      </c>
      <c r="F2" s="10" t="n">
        <v>0</v>
      </c>
      <c r="G2" t="inlineStr">
        <is>
          <t>Cash</t>
        </is>
      </c>
    </row>
    <row r="3">
      <c r="B3" s="12" t="n"/>
      <c r="F3" s="10" t="n"/>
    </row>
    <row r="4">
      <c r="B4" s="12" t="n"/>
      <c r="F4" s="10" t="n"/>
    </row>
    <row r="5">
      <c r="B5" s="12" t="n"/>
      <c r="F5" s="10" t="n"/>
    </row>
    <row r="6">
      <c r="B6" s="12" t="n"/>
      <c r="F6" s="10" t="n"/>
    </row>
    <row r="7">
      <c r="B7" s="12" t="n"/>
      <c r="F7" s="10" t="n"/>
    </row>
    <row r="8">
      <c r="B8" s="12" t="n"/>
      <c r="F8" s="10" t="n"/>
    </row>
    <row r="9">
      <c r="B9" s="12" t="n"/>
      <c r="F9" s="10" t="n"/>
    </row>
    <row r="10">
      <c r="B10" s="12" t="n"/>
      <c r="F10" s="10" t="n"/>
    </row>
    <row r="11">
      <c r="B11" s="12" t="n"/>
      <c r="F11" s="10" t="n"/>
    </row>
    <row r="12">
      <c r="B12" s="12" t="n"/>
      <c r="F12" s="10" t="n"/>
    </row>
    <row r="13">
      <c r="B13" s="12" t="n"/>
      <c r="F13" s="10" t="n"/>
    </row>
    <row r="14">
      <c r="B14" s="12" t="n"/>
      <c r="F14" s="10" t="n"/>
    </row>
    <row r="15">
      <c r="B15" s="12" t="n"/>
      <c r="F15" s="10" t="n"/>
    </row>
    <row r="16">
      <c r="B16" s="12" t="n"/>
      <c r="F16" s="10" t="n"/>
    </row>
    <row r="17">
      <c r="B17" s="12" t="n"/>
      <c r="F17" s="10" t="n"/>
    </row>
    <row r="18">
      <c r="B18" s="12" t="n"/>
      <c r="F18" s="10" t="n"/>
    </row>
    <row r="19">
      <c r="B19" s="12" t="n"/>
      <c r="F19" s="10" t="n"/>
    </row>
    <row r="20">
      <c r="B20" s="12" t="n"/>
      <c r="F20" s="10" t="n"/>
    </row>
    <row r="21">
      <c r="B21" s="12" t="n"/>
      <c r="F21" s="10" t="n"/>
    </row>
    <row r="22">
      <c r="B22" s="12" t="n"/>
      <c r="F22" s="10" t="n"/>
    </row>
    <row r="23">
      <c r="B23" s="12" t="n"/>
      <c r="F23" s="10" t="n"/>
    </row>
    <row r="24">
      <c r="B24" s="12" t="n"/>
      <c r="F24" s="10" t="n"/>
    </row>
    <row r="25">
      <c r="B25" s="12" t="n"/>
      <c r="F25" s="10" t="n"/>
    </row>
    <row r="26">
      <c r="B26" s="12" t="n"/>
      <c r="F26" s="10" t="n"/>
    </row>
    <row r="27">
      <c r="B27" s="12" t="n"/>
      <c r="F27" s="10" t="n"/>
    </row>
    <row r="28">
      <c r="B28" s="12" t="n"/>
      <c r="F28" s="10" t="n"/>
    </row>
    <row r="29">
      <c r="B29" s="12" t="n"/>
      <c r="F29" s="10" t="n"/>
    </row>
    <row r="30">
      <c r="B30" s="12" t="n"/>
      <c r="F30" s="10" t="n"/>
    </row>
    <row r="31">
      <c r="B31" s="12" t="n"/>
      <c r="F31" s="10" t="n"/>
    </row>
    <row r="32">
      <c r="B32" s="12" t="n"/>
      <c r="F32" s="10" t="n"/>
    </row>
    <row r="33">
      <c r="B33" s="12" t="n"/>
      <c r="F33" s="10" t="n"/>
    </row>
    <row r="34">
      <c r="B34" s="12" t="n"/>
      <c r="F34" s="10" t="n"/>
    </row>
    <row r="35">
      <c r="B35" s="12" t="n"/>
      <c r="F35" s="10" t="n"/>
    </row>
    <row r="36">
      <c r="B36" s="12" t="n"/>
      <c r="F36" s="10" t="n"/>
    </row>
    <row r="37">
      <c r="B37" s="12" t="n"/>
      <c r="F37" s="10" t="n"/>
    </row>
    <row r="38">
      <c r="B38" s="12" t="n"/>
      <c r="F38" s="10" t="n"/>
    </row>
    <row r="39">
      <c r="B39" s="12" t="n"/>
      <c r="F39" s="10" t="n"/>
    </row>
    <row r="40">
      <c r="B40" s="12" t="n"/>
      <c r="F40" s="10" t="n"/>
    </row>
    <row r="41">
      <c r="B41" s="12" t="n"/>
      <c r="F41" s="10" t="n"/>
    </row>
    <row r="42">
      <c r="B42" s="12" t="n"/>
      <c r="F42" s="10" t="n"/>
    </row>
    <row r="43">
      <c r="B43" s="12" t="n"/>
      <c r="F43" s="10" t="n"/>
    </row>
    <row r="44">
      <c r="B44" s="12" t="n"/>
      <c r="F44" s="10" t="n"/>
    </row>
    <row r="45">
      <c r="B45" s="12" t="n"/>
      <c r="F45" s="10" t="n"/>
    </row>
    <row r="46">
      <c r="B46" s="12" t="n"/>
      <c r="F46" s="10" t="n"/>
    </row>
    <row r="47">
      <c r="B47" s="12" t="n"/>
      <c r="F47" s="10" t="n"/>
    </row>
    <row r="48">
      <c r="B48" s="12" t="n"/>
      <c r="F48" s="10" t="n"/>
    </row>
    <row r="49">
      <c r="B49" s="12" t="n"/>
      <c r="F49" s="10" t="n"/>
    </row>
    <row r="50">
      <c r="B50" s="12" t="n"/>
      <c r="F50" s="10" t="n"/>
    </row>
    <row r="51">
      <c r="B51" s="12" t="n"/>
      <c r="F51" s="10" t="n"/>
    </row>
    <row r="52">
      <c r="B52" s="12" t="n"/>
      <c r="F52" s="10" t="n"/>
    </row>
    <row r="53">
      <c r="B53" s="12" t="n"/>
      <c r="F53" s="10" t="n"/>
    </row>
    <row r="54">
      <c r="B54" s="12" t="n"/>
      <c r="F54" s="10" t="n"/>
    </row>
    <row r="55">
      <c r="B55" s="12" t="n"/>
      <c r="F55" s="10" t="n"/>
    </row>
    <row r="56">
      <c r="B56" s="12" t="n"/>
      <c r="F56" s="10" t="n"/>
    </row>
    <row r="57">
      <c r="B57" s="12" t="n"/>
      <c r="F57" s="10" t="n"/>
    </row>
    <row r="58">
      <c r="B58" s="12" t="n"/>
      <c r="F58" s="10" t="n"/>
    </row>
    <row r="59">
      <c r="B59" s="12" t="n"/>
      <c r="F59" s="10" t="n"/>
    </row>
    <row r="60">
      <c r="B60" s="12" t="n"/>
      <c r="F60" s="10" t="n"/>
    </row>
    <row r="61">
      <c r="B61" s="12" t="n"/>
      <c r="F61" s="10" t="n"/>
    </row>
    <row r="62">
      <c r="B62" s="12" t="n"/>
      <c r="F62" s="10" t="n"/>
    </row>
    <row r="63">
      <c r="B63" s="12" t="n"/>
      <c r="F63" s="10" t="n"/>
    </row>
    <row r="64">
      <c r="B64" s="12" t="n"/>
      <c r="F64" s="10" t="n"/>
    </row>
    <row r="65">
      <c r="B65" s="12" t="n"/>
      <c r="F65" s="10" t="n"/>
    </row>
    <row r="66">
      <c r="B66" s="12" t="n"/>
      <c r="F66" s="10" t="n"/>
    </row>
    <row r="67">
      <c r="B67" s="12" t="n"/>
      <c r="F67" s="10" t="n"/>
    </row>
    <row r="68">
      <c r="B68" s="12" t="n"/>
      <c r="F68" s="10" t="n"/>
    </row>
    <row r="69">
      <c r="B69" s="12" t="n"/>
      <c r="F69" s="10" t="n"/>
    </row>
    <row r="70">
      <c r="B70" s="12" t="n"/>
      <c r="F70" s="10" t="n"/>
    </row>
    <row r="71">
      <c r="B71" s="12" t="n"/>
      <c r="F71" s="10" t="n"/>
    </row>
    <row r="72">
      <c r="B72" s="12" t="n"/>
      <c r="F72" s="10" t="n"/>
    </row>
    <row r="73">
      <c r="B73" s="12" t="n"/>
      <c r="F73" s="10" t="n"/>
    </row>
    <row r="74">
      <c r="B74" s="12" t="n"/>
      <c r="F74" s="10" t="n"/>
    </row>
    <row r="75">
      <c r="B75" s="12" t="n"/>
      <c r="F75" s="10" t="n"/>
    </row>
    <row r="76">
      <c r="B76" s="12" t="n"/>
      <c r="F76" s="10" t="n"/>
    </row>
    <row r="77">
      <c r="B77" s="12" t="n"/>
      <c r="F77" s="10" t="n"/>
    </row>
    <row r="78">
      <c r="B78" s="12" t="n"/>
      <c r="F78" s="10" t="n"/>
    </row>
    <row r="79">
      <c r="B79" s="12" t="n"/>
      <c r="F79" s="10" t="n"/>
    </row>
    <row r="80">
      <c r="B80" s="12" t="n"/>
      <c r="F80" s="10" t="n"/>
    </row>
    <row r="81">
      <c r="B81" s="12" t="n"/>
      <c r="F81" s="10" t="n"/>
    </row>
    <row r="82">
      <c r="B82" s="12" t="n"/>
      <c r="F82" s="10" t="n"/>
    </row>
    <row r="83">
      <c r="B83" s="12" t="n"/>
      <c r="F83" s="10" t="n"/>
    </row>
    <row r="84">
      <c r="B84" s="12" t="n"/>
      <c r="F84" s="10" t="n"/>
    </row>
    <row r="85">
      <c r="B85" s="12" t="n"/>
      <c r="F85" s="10" t="n"/>
    </row>
    <row r="86">
      <c r="B86" s="12" t="n"/>
      <c r="F86" s="10" t="n"/>
    </row>
    <row r="87">
      <c r="B87" s="12" t="n"/>
      <c r="F87" s="10" t="n"/>
    </row>
    <row r="88">
      <c r="B88" s="12" t="n"/>
      <c r="F88" s="10" t="n"/>
    </row>
    <row r="89">
      <c r="B89" s="12" t="n"/>
      <c r="F89" s="10" t="n"/>
    </row>
    <row r="90">
      <c r="B90" s="12" t="n"/>
      <c r="F90" s="10" t="n"/>
    </row>
    <row r="91">
      <c r="B91" s="12" t="n"/>
      <c r="F91" s="10" t="n"/>
    </row>
    <row r="92">
      <c r="B92" s="12" t="n"/>
      <c r="F92" s="10" t="n"/>
    </row>
    <row r="93">
      <c r="B93" s="12" t="n"/>
      <c r="F93" s="10" t="n"/>
    </row>
    <row r="94">
      <c r="B94" s="12" t="n"/>
      <c r="F94" s="10" t="n"/>
    </row>
    <row r="95">
      <c r="B95" s="12" t="n"/>
      <c r="F95" s="10" t="n"/>
    </row>
    <row r="96">
      <c r="B96" s="12" t="n"/>
      <c r="F96" s="10" t="n"/>
    </row>
    <row r="97">
      <c r="B97" s="12" t="n"/>
      <c r="F97" s="10" t="n"/>
    </row>
    <row r="98">
      <c r="B98" s="12" t="n"/>
      <c r="F98" s="10" t="n"/>
    </row>
    <row r="99">
      <c r="B99" s="12" t="n"/>
      <c r="F99" s="10" t="n"/>
    </row>
    <row r="100">
      <c r="B100" s="12" t="n"/>
      <c r="F100" s="10" t="n"/>
    </row>
    <row r="101">
      <c r="B101" s="12" t="n"/>
      <c r="F101" s="10" t="n"/>
    </row>
    <row r="102">
      <c r="B102" s="12" t="n"/>
      <c r="F102" s="10" t="n"/>
    </row>
    <row r="103">
      <c r="B103" s="12" t="n"/>
      <c r="F103" s="10" t="n"/>
    </row>
    <row r="104">
      <c r="B104" s="12" t="n"/>
      <c r="F104" s="10" t="n"/>
    </row>
    <row r="105">
      <c r="B105" s="12" t="n"/>
      <c r="F105" s="10" t="n"/>
    </row>
    <row r="106">
      <c r="B106" s="12" t="n"/>
      <c r="F106" s="10" t="n"/>
    </row>
    <row r="107">
      <c r="B107" s="12" t="n"/>
      <c r="F107" s="10" t="n"/>
    </row>
    <row r="108">
      <c r="B108" s="12" t="n"/>
      <c r="F108" s="10" t="n"/>
    </row>
    <row r="109">
      <c r="B109" s="12" t="n"/>
      <c r="F109" s="10" t="n"/>
    </row>
    <row r="110">
      <c r="B110" s="12" t="n"/>
      <c r="F110" s="10" t="n"/>
    </row>
    <row r="111">
      <c r="B111" s="12" t="n"/>
      <c r="F111" s="10" t="n"/>
    </row>
    <row r="112">
      <c r="B112" s="12" t="n"/>
      <c r="F112" s="10" t="n"/>
    </row>
    <row r="113">
      <c r="B113" s="12" t="n"/>
      <c r="F113" s="10" t="n"/>
    </row>
    <row r="114">
      <c r="B114" s="12" t="n"/>
      <c r="F114" s="10" t="n"/>
    </row>
    <row r="115">
      <c r="B115" s="12" t="n"/>
      <c r="F115" s="10" t="n"/>
    </row>
    <row r="116">
      <c r="B116" s="12" t="n"/>
      <c r="F116" s="10" t="n"/>
    </row>
    <row r="117">
      <c r="B117" s="12" t="n"/>
      <c r="F117" s="10" t="n"/>
    </row>
    <row r="118">
      <c r="B118" s="12" t="n"/>
      <c r="F118" s="10" t="n"/>
    </row>
    <row r="119">
      <c r="B119" s="12" t="n"/>
      <c r="F119" s="10" t="n"/>
    </row>
    <row r="120">
      <c r="B120" s="12" t="n"/>
      <c r="F120" s="10" t="n"/>
    </row>
    <row r="121">
      <c r="B121" s="12" t="n"/>
      <c r="F121" s="10" t="n"/>
    </row>
    <row r="122">
      <c r="B122" s="12" t="n"/>
      <c r="F122" s="10" t="n"/>
    </row>
    <row r="123">
      <c r="B123" s="12" t="n"/>
      <c r="F123" s="10" t="n"/>
    </row>
    <row r="124">
      <c r="B124" s="12" t="n"/>
      <c r="F124" s="10" t="n"/>
    </row>
    <row r="125">
      <c r="B125" s="12" t="n"/>
      <c r="F125" s="10" t="n"/>
    </row>
    <row r="126">
      <c r="B126" s="12" t="n"/>
      <c r="F126" s="10" t="n"/>
    </row>
    <row r="127">
      <c r="B127" s="12" t="n"/>
      <c r="F127" s="10" t="n"/>
    </row>
    <row r="128">
      <c r="B128" s="12" t="n"/>
      <c r="F128" s="10" t="n"/>
    </row>
    <row r="129">
      <c r="B129" s="12" t="n"/>
      <c r="F129" s="10" t="n"/>
    </row>
    <row r="130">
      <c r="B130" s="12" t="n"/>
      <c r="F130" s="10" t="n"/>
    </row>
    <row r="131">
      <c r="B131" s="12" t="n"/>
      <c r="F131" s="10" t="n"/>
    </row>
    <row r="132">
      <c r="B132" s="12" t="n"/>
      <c r="F132" s="10" t="n"/>
    </row>
    <row r="133">
      <c r="B133" s="12" t="n"/>
      <c r="F133" s="10" t="n"/>
    </row>
    <row r="134">
      <c r="B134" s="12" t="n"/>
      <c r="F134" s="10" t="n"/>
    </row>
    <row r="135">
      <c r="B135" s="12" t="n"/>
      <c r="F135" s="10" t="n"/>
    </row>
    <row r="136">
      <c r="B136" s="12" t="n"/>
      <c r="F136" s="10" t="n"/>
    </row>
    <row r="137">
      <c r="B137" s="12" t="n"/>
      <c r="F137" s="10" t="n"/>
    </row>
    <row r="138">
      <c r="B138" s="12" t="n"/>
      <c r="F138" s="10" t="n"/>
    </row>
    <row r="139">
      <c r="B139" s="12" t="n"/>
      <c r="F139" s="10" t="n"/>
    </row>
    <row r="140">
      <c r="B140" s="12" t="n"/>
      <c r="F140" s="10" t="n"/>
    </row>
    <row r="141">
      <c r="B141" s="12" t="n"/>
      <c r="F141" s="10" t="n"/>
    </row>
    <row r="142">
      <c r="B142" s="12" t="n"/>
      <c r="F142" s="10" t="n"/>
    </row>
    <row r="143">
      <c r="B143" s="12" t="n"/>
      <c r="F143" s="10" t="n"/>
    </row>
    <row r="144">
      <c r="B144" s="12" t="n"/>
      <c r="F144" s="10" t="n"/>
    </row>
    <row r="145">
      <c r="B145" s="12" t="n"/>
      <c r="F145" s="10" t="n"/>
    </row>
    <row r="146">
      <c r="B146" s="12" t="n"/>
      <c r="F146" s="10" t="n"/>
    </row>
    <row r="147">
      <c r="B147" s="12" t="n"/>
      <c r="F147" s="10" t="n"/>
    </row>
    <row r="148">
      <c r="B148" s="12" t="n"/>
      <c r="F148" s="10" t="n"/>
    </row>
    <row r="149">
      <c r="B149" s="12" t="n"/>
      <c r="F149" s="10" t="n"/>
    </row>
    <row r="150">
      <c r="B150" s="12" t="n"/>
      <c r="F150" s="10" t="n"/>
    </row>
    <row r="151">
      <c r="B151" s="12" t="n"/>
      <c r="F151" s="10" t="n"/>
    </row>
    <row r="152">
      <c r="B152" s="12" t="n"/>
      <c r="F152" s="10" t="n"/>
    </row>
    <row r="153">
      <c r="B153" s="12" t="n"/>
      <c r="F153" s="10" t="n"/>
    </row>
    <row r="154">
      <c r="B154" s="12" t="n"/>
      <c r="F154" s="10" t="n"/>
    </row>
    <row r="155">
      <c r="B155" s="12" t="n"/>
      <c r="F155" s="10" t="n"/>
    </row>
    <row r="156">
      <c r="B156" s="12" t="n"/>
      <c r="F156" s="10" t="n"/>
    </row>
    <row r="157">
      <c r="B157" s="12" t="n"/>
      <c r="F157" s="10" t="n"/>
    </row>
    <row r="158">
      <c r="B158" s="12" t="n"/>
      <c r="F158" s="10" t="n"/>
    </row>
    <row r="159">
      <c r="B159" s="12" t="n"/>
      <c r="F159" s="10" t="n"/>
    </row>
    <row r="160">
      <c r="B160" s="12" t="n"/>
      <c r="F160" s="10" t="n"/>
    </row>
    <row r="161">
      <c r="B161" s="12" t="n"/>
      <c r="F161" s="10" t="n"/>
    </row>
    <row r="162">
      <c r="B162" s="12" t="n"/>
      <c r="F162" s="10" t="n"/>
    </row>
    <row r="163">
      <c r="B163" s="12" t="n"/>
      <c r="F163" s="10" t="n"/>
    </row>
    <row r="164">
      <c r="B164" s="12" t="n"/>
      <c r="F164" s="10" t="n"/>
    </row>
    <row r="165">
      <c r="B165" s="12" t="n"/>
      <c r="F165" s="10" t="n"/>
    </row>
    <row r="166">
      <c r="B166" s="12" t="n"/>
      <c r="F166" s="10" t="n"/>
    </row>
    <row r="167">
      <c r="B167" s="12" t="n"/>
      <c r="F167" s="10" t="n"/>
    </row>
    <row r="168">
      <c r="B168" s="12" t="n"/>
      <c r="F168" s="10" t="n"/>
    </row>
    <row r="169">
      <c r="B169" s="12" t="n"/>
      <c r="F169" s="10" t="n"/>
    </row>
    <row r="170">
      <c r="B170" s="12" t="n"/>
      <c r="F170" s="10" t="n"/>
    </row>
    <row r="171">
      <c r="B171" s="12" t="n"/>
      <c r="F171" s="10" t="n"/>
    </row>
    <row r="172">
      <c r="B172" s="12" t="n"/>
      <c r="F172" s="10" t="n"/>
    </row>
    <row r="173">
      <c r="B173" s="12" t="n"/>
      <c r="F173" s="10" t="n"/>
    </row>
    <row r="174">
      <c r="B174" s="12" t="n"/>
      <c r="F174" s="10" t="n"/>
    </row>
    <row r="175">
      <c r="B175" s="12" t="n"/>
      <c r="F175" s="10" t="n"/>
    </row>
    <row r="176">
      <c r="B176" s="12" t="n"/>
      <c r="F176" s="10" t="n"/>
    </row>
    <row r="177">
      <c r="B177" s="12" t="n"/>
      <c r="F177" s="10" t="n"/>
    </row>
    <row r="178">
      <c r="B178" s="12" t="n"/>
      <c r="F178" s="10" t="n"/>
    </row>
    <row r="179">
      <c r="B179" s="12" t="n"/>
      <c r="F179" s="10" t="n"/>
    </row>
    <row r="180">
      <c r="B180" s="12" t="n"/>
      <c r="F180" s="10" t="n"/>
    </row>
    <row r="181">
      <c r="B181" s="12" t="n"/>
      <c r="F181" s="10" t="n"/>
    </row>
    <row r="182">
      <c r="B182" s="12" t="n"/>
      <c r="F182" s="10" t="n"/>
    </row>
    <row r="183">
      <c r="B183" s="12" t="n"/>
      <c r="F183" s="10" t="n"/>
    </row>
    <row r="184">
      <c r="B184" s="12" t="n"/>
      <c r="F184" s="10" t="n"/>
    </row>
    <row r="185">
      <c r="B185" s="12" t="n"/>
      <c r="F185" s="10" t="n"/>
    </row>
    <row r="186">
      <c r="B186" s="12" t="n"/>
      <c r="F186" s="10" t="n"/>
    </row>
    <row r="187">
      <c r="B187" s="12" t="n"/>
      <c r="F187" s="10" t="n"/>
    </row>
    <row r="188">
      <c r="B188" s="12" t="n"/>
      <c r="F188" s="10" t="n"/>
    </row>
    <row r="189">
      <c r="B189" s="12" t="n"/>
      <c r="F189" s="10" t="n"/>
    </row>
    <row r="190">
      <c r="B190" s="12" t="n"/>
      <c r="F190" s="10" t="n"/>
    </row>
    <row r="191">
      <c r="B191" s="12" t="n"/>
      <c r="F191" s="10" t="n"/>
    </row>
    <row r="192">
      <c r="B192" s="12" t="n"/>
      <c r="F192" s="10" t="n"/>
    </row>
    <row r="193">
      <c r="B193" s="12" t="n"/>
      <c r="F193" s="10" t="n"/>
    </row>
    <row r="194">
      <c r="B194" s="12" t="n"/>
      <c r="F194" s="10" t="n"/>
    </row>
    <row r="195">
      <c r="B195" s="12" t="n"/>
      <c r="F195" s="10" t="n"/>
    </row>
    <row r="196">
      <c r="B196" s="12" t="n"/>
      <c r="F196" s="10" t="n"/>
    </row>
    <row r="197">
      <c r="B197" s="12" t="n"/>
      <c r="F197" s="10" t="n"/>
    </row>
    <row r="198">
      <c r="B198" s="12" t="n"/>
      <c r="F198" s="10" t="n"/>
    </row>
    <row r="199">
      <c r="B199" s="12" t="n"/>
      <c r="F199" s="10" t="n"/>
    </row>
    <row r="200">
      <c r="B200" s="12" t="n"/>
      <c r="F200" s="10" t="n"/>
    </row>
    <row r="201">
      <c r="B201" s="12" t="n"/>
      <c r="F201" s="10" t="n"/>
    </row>
    <row r="202">
      <c r="B202" s="12" t="n"/>
      <c r="F202" s="10" t="n"/>
    </row>
    <row r="203">
      <c r="B203" s="12" t="n"/>
      <c r="F203" s="10" t="n"/>
    </row>
    <row r="204">
      <c r="B204" s="12" t="n"/>
      <c r="F204" s="10" t="n"/>
    </row>
    <row r="205">
      <c r="B205" s="12" t="n"/>
      <c r="F205" s="10" t="n"/>
    </row>
    <row r="206">
      <c r="B206" s="12" t="n"/>
      <c r="F206" s="10" t="n"/>
    </row>
    <row r="207">
      <c r="B207" s="12" t="n"/>
      <c r="F207" s="10" t="n"/>
    </row>
    <row r="208">
      <c r="B208" s="12" t="n"/>
      <c r="F208" s="10" t="n"/>
    </row>
    <row r="209">
      <c r="B209" s="12" t="n"/>
      <c r="F209" s="10" t="n"/>
    </row>
    <row r="210">
      <c r="B210" s="12" t="n"/>
      <c r="F210" s="10" t="n"/>
    </row>
    <row r="211">
      <c r="B211" s="12" t="n"/>
      <c r="F211" s="10" t="n"/>
    </row>
    <row r="212">
      <c r="B212" s="12" t="n"/>
      <c r="F212" s="10" t="n"/>
    </row>
    <row r="213">
      <c r="B213" s="12" t="n"/>
      <c r="F213" s="10" t="n"/>
    </row>
    <row r="214">
      <c r="B214" s="12" t="n"/>
      <c r="F214" s="10" t="n"/>
    </row>
    <row r="215">
      <c r="B215" s="12" t="n"/>
      <c r="F215" s="10" t="n"/>
    </row>
    <row r="216">
      <c r="B216" s="12" t="n"/>
      <c r="F216" s="10" t="n"/>
    </row>
    <row r="217">
      <c r="B217" s="12" t="n"/>
      <c r="F217" s="10" t="n"/>
    </row>
    <row r="218">
      <c r="B218" s="12" t="n"/>
      <c r="F218" s="10" t="n"/>
    </row>
    <row r="219">
      <c r="B219" s="12" t="n"/>
      <c r="F219" s="10" t="n"/>
    </row>
    <row r="220">
      <c r="B220" s="12" t="n"/>
      <c r="F220" s="10" t="n"/>
    </row>
    <row r="221">
      <c r="B221" s="12" t="n"/>
      <c r="F221" s="10" t="n"/>
    </row>
    <row r="222">
      <c r="B222" s="12" t="n"/>
      <c r="F222" s="10" t="n"/>
    </row>
    <row r="223">
      <c r="B223" s="12" t="n"/>
      <c r="F223" s="10" t="n"/>
    </row>
    <row r="224">
      <c r="B224" s="12" t="n"/>
      <c r="F224" s="10" t="n"/>
    </row>
    <row r="225">
      <c r="B225" s="12" t="n"/>
      <c r="F225" s="10" t="n"/>
    </row>
    <row r="226">
      <c r="B226" s="12" t="n"/>
      <c r="F226" s="10" t="n"/>
    </row>
    <row r="227">
      <c r="B227" s="12" t="n"/>
      <c r="F227" s="10" t="n"/>
    </row>
    <row r="228">
      <c r="B228" s="12" t="n"/>
      <c r="F228" s="10" t="n"/>
    </row>
    <row r="229">
      <c r="B229" s="12" t="n"/>
      <c r="F229" s="10" t="n"/>
    </row>
    <row r="230">
      <c r="B230" s="12" t="n"/>
      <c r="F230" s="10" t="n"/>
    </row>
    <row r="231">
      <c r="B231" s="12" t="n"/>
      <c r="F231" s="10" t="n"/>
    </row>
    <row r="232">
      <c r="B232" s="12" t="n"/>
      <c r="F232" s="10" t="n"/>
    </row>
    <row r="233">
      <c r="B233" s="12" t="n"/>
      <c r="F233" s="10" t="n"/>
    </row>
    <row r="234">
      <c r="B234" s="12" t="n"/>
      <c r="F234" s="10" t="n"/>
    </row>
    <row r="235">
      <c r="B235" s="12" t="n"/>
      <c r="F235" s="10" t="n"/>
    </row>
    <row r="236">
      <c r="B236" s="12" t="n"/>
      <c r="F236" s="10" t="n"/>
    </row>
    <row r="237">
      <c r="B237" s="12" t="n"/>
      <c r="F237" s="10" t="n"/>
    </row>
    <row r="238">
      <c r="B238" s="12" t="n"/>
      <c r="F238" s="10" t="n"/>
    </row>
    <row r="239">
      <c r="B239" s="12" t="n"/>
      <c r="F239" s="10" t="n"/>
    </row>
    <row r="240">
      <c r="B240" s="12" t="n"/>
      <c r="F240" s="10" t="n"/>
    </row>
    <row r="241">
      <c r="B241" s="12" t="n"/>
      <c r="F241" s="10" t="n"/>
    </row>
    <row r="242">
      <c r="B242" s="12" t="n"/>
      <c r="F242" s="10" t="n"/>
    </row>
    <row r="243">
      <c r="B243" s="12" t="n"/>
      <c r="F243" s="10" t="n"/>
    </row>
    <row r="244">
      <c r="B244" s="12" t="n"/>
      <c r="F244" s="10" t="n"/>
    </row>
    <row r="245">
      <c r="B245" s="12" t="n"/>
      <c r="F245" s="10" t="n"/>
    </row>
    <row r="246">
      <c r="B246" s="12" t="n"/>
      <c r="F246" s="10" t="n"/>
    </row>
    <row r="247">
      <c r="B247" s="12" t="n"/>
      <c r="F247" s="10" t="n"/>
    </row>
    <row r="248">
      <c r="B248" s="12" t="n"/>
      <c r="F248" s="10" t="n"/>
    </row>
    <row r="249">
      <c r="B249" s="12" t="n"/>
      <c r="F249" s="10" t="n"/>
    </row>
    <row r="250">
      <c r="B250" s="12" t="n"/>
      <c r="F250" s="10" t="n"/>
    </row>
    <row r="251">
      <c r="B251" s="12" t="n"/>
      <c r="F251" s="10" t="n"/>
    </row>
    <row r="252">
      <c r="B252" s="12" t="n"/>
      <c r="F252" s="10" t="n"/>
    </row>
    <row r="253">
      <c r="B253" s="12" t="n"/>
      <c r="F253" s="10" t="n"/>
    </row>
    <row r="254">
      <c r="B254" s="12" t="n"/>
      <c r="F254" s="10" t="n"/>
    </row>
    <row r="255">
      <c r="B255" s="12" t="n"/>
      <c r="F255" s="10" t="n"/>
    </row>
    <row r="256">
      <c r="B256" s="12" t="n"/>
      <c r="F256" s="10" t="n"/>
    </row>
    <row r="257">
      <c r="B257" s="12" t="n"/>
      <c r="F257" s="10" t="n"/>
    </row>
    <row r="258">
      <c r="B258" s="12" t="n"/>
      <c r="F258" s="10" t="n"/>
    </row>
    <row r="259">
      <c r="B259" s="12" t="n"/>
      <c r="F259" s="10" t="n"/>
    </row>
    <row r="260">
      <c r="B260" s="12" t="n"/>
      <c r="F260" s="10" t="n"/>
    </row>
    <row r="261">
      <c r="B261" s="12" t="n"/>
      <c r="F261" s="10" t="n"/>
    </row>
    <row r="262">
      <c r="B262" s="12" t="n"/>
      <c r="F262" s="10" t="n"/>
    </row>
    <row r="263">
      <c r="B263" s="12" t="n"/>
      <c r="F263" s="10" t="n"/>
    </row>
    <row r="264">
      <c r="B264" s="12" t="n"/>
      <c r="F264" s="10" t="n"/>
    </row>
    <row r="265">
      <c r="B265" s="12" t="n"/>
      <c r="F265" s="10" t="n"/>
    </row>
    <row r="266">
      <c r="B266" s="12" t="n"/>
      <c r="F266" s="10" t="n"/>
    </row>
    <row r="267">
      <c r="B267" s="12" t="n"/>
      <c r="F267" s="10" t="n"/>
    </row>
    <row r="268">
      <c r="B268" s="12" t="n"/>
      <c r="F268" s="10" t="n"/>
    </row>
    <row r="269">
      <c r="B269" s="12" t="n"/>
      <c r="F269" s="10" t="n"/>
    </row>
    <row r="270">
      <c r="B270" s="12" t="n"/>
      <c r="F270" s="10" t="n"/>
    </row>
    <row r="271">
      <c r="B271" s="12" t="n"/>
      <c r="F271" s="10" t="n"/>
    </row>
    <row r="272">
      <c r="B272" s="12" t="n"/>
      <c r="F272" s="10" t="n"/>
    </row>
    <row r="273">
      <c r="B273" s="12" t="n"/>
      <c r="F273" s="10" t="n"/>
    </row>
    <row r="274">
      <c r="B274" s="12" t="n"/>
      <c r="F274" s="10" t="n"/>
    </row>
    <row r="275">
      <c r="B275" s="12" t="n"/>
      <c r="F275" s="10" t="n"/>
    </row>
    <row r="276">
      <c r="B276" s="12" t="n"/>
      <c r="F276" s="10" t="n"/>
    </row>
    <row r="277">
      <c r="B277" s="12" t="n"/>
      <c r="F277" s="10" t="n"/>
    </row>
    <row r="278">
      <c r="B278" s="12" t="n"/>
      <c r="F278" s="10" t="n"/>
    </row>
    <row r="279">
      <c r="B279" s="12" t="n"/>
      <c r="F279" s="10" t="n"/>
    </row>
    <row r="280">
      <c r="B280" s="12" t="n"/>
      <c r="F280" s="10" t="n"/>
    </row>
    <row r="281">
      <c r="B281" s="12" t="n"/>
      <c r="F281" s="10" t="n"/>
    </row>
    <row r="282">
      <c r="B282" s="12" t="n"/>
      <c r="F282" s="10" t="n"/>
    </row>
    <row r="283">
      <c r="B283" s="12" t="n"/>
      <c r="F283" s="10" t="n"/>
    </row>
    <row r="284">
      <c r="B284" s="12" t="n"/>
      <c r="F284" s="10" t="n"/>
    </row>
    <row r="285">
      <c r="B285" s="12" t="n"/>
      <c r="F285" s="10" t="n"/>
    </row>
    <row r="286">
      <c r="B286" s="12" t="n"/>
      <c r="F286" s="10" t="n"/>
    </row>
    <row r="287">
      <c r="B287" s="12" t="n"/>
      <c r="F287" s="10" t="n"/>
    </row>
    <row r="288">
      <c r="B288" s="12" t="n"/>
      <c r="F288" s="10" t="n"/>
    </row>
    <row r="289">
      <c r="B289" s="12" t="n"/>
      <c r="F289" s="10" t="n"/>
    </row>
    <row r="290">
      <c r="B290" s="12" t="n"/>
      <c r="F290" s="10" t="n"/>
    </row>
    <row r="291">
      <c r="B291" s="12" t="n"/>
      <c r="F291" s="10" t="n"/>
    </row>
    <row r="292">
      <c r="B292" s="12" t="n"/>
      <c r="F292" s="10" t="n"/>
    </row>
    <row r="293">
      <c r="B293" s="12" t="n"/>
      <c r="F293" s="10" t="n"/>
    </row>
    <row r="294">
      <c r="B294" s="12" t="n"/>
      <c r="F294" s="10" t="n"/>
    </row>
    <row r="295">
      <c r="B295" s="12" t="n"/>
      <c r="F295" s="10" t="n"/>
    </row>
    <row r="296">
      <c r="B296" s="12" t="n"/>
      <c r="F296" s="10" t="n"/>
    </row>
    <row r="297">
      <c r="B297" s="12" t="n"/>
      <c r="F297" s="10" t="n"/>
    </row>
    <row r="298">
      <c r="B298" s="12" t="n"/>
      <c r="F298" s="10" t="n"/>
    </row>
    <row r="299">
      <c r="B299" s="12" t="n"/>
      <c r="F299" s="10" t="n"/>
    </row>
    <row r="300">
      <c r="B300" s="12" t="n"/>
      <c r="F300" s="10" t="n"/>
    </row>
    <row r="301">
      <c r="B301" s="12" t="n"/>
      <c r="F301" s="10" t="n"/>
    </row>
    <row r="302">
      <c r="B302" s="12" t="n"/>
      <c r="F302" s="10" t="n"/>
    </row>
    <row r="303">
      <c r="B303" s="12" t="n"/>
      <c r="F303" s="10" t="n"/>
    </row>
    <row r="304">
      <c r="B304" s="12" t="n"/>
      <c r="F304" s="10" t="n"/>
    </row>
    <row r="305">
      <c r="B305" s="12" t="n"/>
      <c r="F305" s="10" t="n"/>
    </row>
    <row r="306">
      <c r="B306" s="12" t="n"/>
      <c r="F306" s="10" t="n"/>
    </row>
    <row r="307">
      <c r="B307" s="12" t="n"/>
      <c r="F307" s="10" t="n"/>
    </row>
    <row r="308">
      <c r="B308" s="12" t="n"/>
      <c r="F308" s="10" t="n"/>
    </row>
    <row r="309">
      <c r="B309" s="12" t="n"/>
      <c r="F309" s="10" t="n"/>
    </row>
    <row r="310">
      <c r="B310" s="12" t="n"/>
      <c r="F310" s="10" t="n"/>
    </row>
    <row r="311">
      <c r="B311" s="12" t="n"/>
      <c r="F311" s="10" t="n"/>
    </row>
    <row r="312">
      <c r="B312" s="12" t="n"/>
      <c r="F312" s="10" t="n"/>
    </row>
    <row r="313">
      <c r="B313" s="12" t="n"/>
      <c r="F313" s="10" t="n"/>
    </row>
    <row r="314">
      <c r="B314" s="12" t="n"/>
      <c r="F314" s="10" t="n"/>
    </row>
    <row r="315">
      <c r="B315" s="12" t="n"/>
      <c r="F315" s="10" t="n"/>
    </row>
    <row r="316">
      <c r="B316" s="12" t="n"/>
      <c r="F316" s="10" t="n"/>
    </row>
    <row r="317">
      <c r="B317" s="12" t="n"/>
      <c r="F317" s="10" t="n"/>
    </row>
    <row r="318">
      <c r="B318" s="12" t="n"/>
      <c r="F318" s="10" t="n"/>
    </row>
    <row r="319">
      <c r="B319" s="12" t="n"/>
      <c r="F319" s="10" t="n"/>
    </row>
    <row r="320">
      <c r="B320" s="12" t="n"/>
      <c r="F320" s="10" t="n"/>
    </row>
    <row r="321">
      <c r="B321" s="12" t="n"/>
      <c r="F321" s="10" t="n"/>
    </row>
    <row r="322">
      <c r="B322" s="12" t="n"/>
      <c r="F322" s="10" t="n"/>
    </row>
    <row r="323">
      <c r="B323" s="12" t="n"/>
      <c r="F323" s="10" t="n"/>
    </row>
    <row r="324">
      <c r="B324" s="12" t="n"/>
      <c r="F324" s="10" t="n"/>
    </row>
    <row r="325">
      <c r="B325" s="12" t="n"/>
      <c r="F325" s="10" t="n"/>
    </row>
    <row r="326">
      <c r="B326" s="12" t="n"/>
      <c r="F326" s="10" t="n"/>
    </row>
    <row r="327">
      <c r="B327" s="12" t="n"/>
      <c r="F327" s="10" t="n"/>
    </row>
    <row r="328">
      <c r="B328" s="12" t="n"/>
      <c r="F328" s="10" t="n"/>
    </row>
    <row r="329">
      <c r="B329" s="12" t="n"/>
      <c r="F329" s="10" t="n"/>
    </row>
    <row r="330">
      <c r="B330" s="12" t="n"/>
      <c r="F330" s="10" t="n"/>
    </row>
    <row r="331">
      <c r="B331" s="12" t="n"/>
      <c r="F331" s="10" t="n"/>
    </row>
    <row r="332">
      <c r="B332" s="12" t="n"/>
      <c r="F332" s="10" t="n"/>
    </row>
    <row r="333">
      <c r="B333" s="12" t="n"/>
      <c r="F333" s="10" t="n"/>
    </row>
    <row r="334">
      <c r="B334" s="12" t="n"/>
      <c r="F334" s="10" t="n"/>
    </row>
    <row r="335">
      <c r="B335" s="12" t="n"/>
      <c r="F335" s="10" t="n"/>
    </row>
    <row r="336">
      <c r="B336" s="12" t="n"/>
      <c r="F336" s="10" t="n"/>
    </row>
    <row r="337">
      <c r="B337" s="12" t="n"/>
      <c r="F337" s="10" t="n"/>
    </row>
    <row r="338">
      <c r="B338" s="12" t="n"/>
      <c r="F338" s="10" t="n"/>
    </row>
    <row r="339">
      <c r="B339" s="12" t="n"/>
      <c r="F339" s="10" t="n"/>
    </row>
    <row r="340">
      <c r="B340" s="12" t="n"/>
      <c r="F340" s="10" t="n"/>
    </row>
    <row r="341">
      <c r="B341" s="12" t="n"/>
      <c r="F341" s="10" t="n"/>
    </row>
    <row r="342">
      <c r="B342" s="12" t="n"/>
      <c r="F342" s="10" t="n"/>
    </row>
    <row r="343">
      <c r="B343" s="12" t="n"/>
      <c r="F343" s="10" t="n"/>
    </row>
    <row r="344">
      <c r="B344" s="12" t="n"/>
      <c r="F344" s="10" t="n"/>
    </row>
    <row r="345">
      <c r="B345" s="12" t="n"/>
      <c r="F345" s="10" t="n"/>
    </row>
    <row r="346">
      <c r="B346" s="12" t="n"/>
      <c r="F346" s="10" t="n"/>
    </row>
    <row r="347">
      <c r="B347" s="12" t="n"/>
      <c r="F347" s="10" t="n"/>
    </row>
    <row r="348">
      <c r="B348" s="12" t="n"/>
      <c r="F348" s="10" t="n"/>
    </row>
    <row r="349">
      <c r="B349" s="12" t="n"/>
      <c r="F349" s="10" t="n"/>
    </row>
    <row r="350">
      <c r="B350" s="12" t="n"/>
      <c r="F350" s="10" t="n"/>
    </row>
    <row r="351">
      <c r="B351" s="12" t="n"/>
      <c r="F351" s="10" t="n"/>
    </row>
    <row r="352">
      <c r="B352" s="12" t="n"/>
      <c r="F352" s="10" t="n"/>
    </row>
    <row r="353">
      <c r="B353" s="12" t="n"/>
      <c r="F353" s="10" t="n"/>
    </row>
    <row r="354">
      <c r="B354" s="12" t="n"/>
      <c r="F354" s="10" t="n"/>
    </row>
    <row r="355">
      <c r="B355" s="12" t="n"/>
      <c r="F355" s="10" t="n"/>
    </row>
    <row r="356">
      <c r="B356" s="12" t="n"/>
      <c r="F356" s="10" t="n"/>
    </row>
    <row r="357">
      <c r="B357" s="12" t="n"/>
      <c r="F357" s="10" t="n"/>
    </row>
    <row r="358">
      <c r="B358" s="12" t="n"/>
      <c r="F358" s="10" t="n"/>
    </row>
    <row r="359">
      <c r="B359" s="12" t="n"/>
      <c r="F359" s="10" t="n"/>
    </row>
    <row r="360">
      <c r="B360" s="12" t="n"/>
      <c r="F360" s="10" t="n"/>
    </row>
    <row r="361">
      <c r="B361" s="12" t="n"/>
      <c r="F361" s="10" t="n"/>
    </row>
    <row r="362">
      <c r="B362" s="12" t="n"/>
      <c r="F362" s="10" t="n"/>
    </row>
    <row r="363">
      <c r="B363" s="12" t="n"/>
      <c r="F363" s="10" t="n"/>
    </row>
    <row r="364">
      <c r="B364" s="12" t="n"/>
      <c r="F364" s="10" t="n"/>
    </row>
    <row r="365">
      <c r="B365" s="12" t="n"/>
      <c r="F365" s="10" t="n"/>
    </row>
    <row r="366">
      <c r="B366" s="12" t="n"/>
      <c r="F366" s="10" t="n"/>
    </row>
    <row r="367">
      <c r="B367" s="12" t="n"/>
      <c r="F367" s="10" t="n"/>
    </row>
    <row r="368">
      <c r="B368" s="12" t="n"/>
      <c r="F368" s="10" t="n"/>
    </row>
    <row r="369">
      <c r="B369" s="12" t="n"/>
      <c r="F369" s="10" t="n"/>
    </row>
    <row r="370">
      <c r="B370" s="12" t="n"/>
      <c r="F370" s="10" t="n"/>
    </row>
    <row r="371">
      <c r="B371" s="12" t="n"/>
      <c r="F371" s="10" t="n"/>
    </row>
    <row r="372">
      <c r="B372" s="12" t="n"/>
      <c r="F372" s="10" t="n"/>
    </row>
    <row r="373">
      <c r="B373" s="12" t="n"/>
      <c r="F373" s="10" t="n"/>
    </row>
    <row r="374">
      <c r="B374" s="12" t="n"/>
      <c r="F374" s="10" t="n"/>
    </row>
    <row r="375">
      <c r="B375" s="12" t="n"/>
      <c r="F375" s="10" t="n"/>
    </row>
    <row r="376">
      <c r="B376" s="12" t="n"/>
      <c r="F376" s="10" t="n"/>
    </row>
    <row r="377">
      <c r="B377" s="12" t="n"/>
      <c r="F377" s="10" t="n"/>
    </row>
    <row r="378">
      <c r="B378" s="12" t="n"/>
      <c r="F378" s="10" t="n"/>
    </row>
    <row r="379">
      <c r="B379" s="12" t="n"/>
      <c r="F379" s="10" t="n"/>
    </row>
    <row r="380">
      <c r="B380" s="12" t="n"/>
      <c r="F380" s="10" t="n"/>
    </row>
    <row r="381">
      <c r="B381" s="12" t="n"/>
      <c r="F381" s="10" t="n"/>
    </row>
    <row r="382">
      <c r="B382" s="12" t="n"/>
      <c r="F382" s="10" t="n"/>
    </row>
    <row r="383">
      <c r="B383" s="12" t="n"/>
      <c r="F383" s="10" t="n"/>
    </row>
    <row r="384">
      <c r="B384" s="12" t="n"/>
      <c r="F384" s="10" t="n"/>
    </row>
    <row r="385">
      <c r="B385" s="12" t="n"/>
      <c r="F385" s="10" t="n"/>
    </row>
    <row r="386">
      <c r="B386" s="12" t="n"/>
      <c r="F386" s="10" t="n"/>
    </row>
    <row r="387">
      <c r="B387" s="12" t="n"/>
      <c r="F387" s="10" t="n"/>
    </row>
    <row r="388">
      <c r="B388" s="12" t="n"/>
      <c r="F388" s="10" t="n"/>
    </row>
    <row r="389">
      <c r="B389" s="12" t="n"/>
      <c r="F389" s="10" t="n"/>
    </row>
    <row r="390">
      <c r="B390" s="12" t="n"/>
      <c r="F390" s="10" t="n"/>
    </row>
    <row r="391">
      <c r="B391" s="12" t="n"/>
      <c r="F391" s="10" t="n"/>
    </row>
    <row r="392">
      <c r="B392" s="12" t="n"/>
      <c r="F392" s="10" t="n"/>
    </row>
    <row r="393">
      <c r="B393" s="12" t="n"/>
      <c r="F393" s="10" t="n"/>
    </row>
    <row r="394">
      <c r="B394" s="12" t="n"/>
      <c r="F394" s="10" t="n"/>
    </row>
    <row r="395">
      <c r="B395" s="12" t="n"/>
      <c r="F395" s="10" t="n"/>
    </row>
    <row r="396">
      <c r="B396" s="12" t="n"/>
      <c r="F396" s="10" t="n"/>
    </row>
    <row r="397">
      <c r="B397" s="12" t="n"/>
      <c r="F397" s="10" t="n"/>
    </row>
    <row r="398">
      <c r="B398" s="12" t="n"/>
      <c r="F398" s="10" t="n"/>
    </row>
    <row r="399">
      <c r="B399" s="12" t="n"/>
      <c r="F399" s="10" t="n"/>
    </row>
    <row r="400">
      <c r="B400" s="12" t="n"/>
      <c r="F400" s="10" t="n"/>
    </row>
    <row r="401">
      <c r="B401" s="12" t="n"/>
      <c r="F401" s="10" t="n"/>
    </row>
    <row r="402">
      <c r="B402" s="12" t="n"/>
      <c r="F402" s="10" t="n"/>
    </row>
    <row r="403">
      <c r="B403" s="12" t="n"/>
      <c r="F403" s="10" t="n"/>
    </row>
    <row r="404">
      <c r="B404" s="12" t="n"/>
      <c r="F404" s="10" t="n"/>
    </row>
    <row r="405">
      <c r="B405" s="12" t="n"/>
      <c r="F405" s="10" t="n"/>
    </row>
    <row r="406">
      <c r="B406" s="12" t="n"/>
      <c r="F406" s="10" t="n"/>
    </row>
    <row r="407">
      <c r="B407" s="12" t="n"/>
      <c r="F407" s="10" t="n"/>
    </row>
    <row r="408">
      <c r="B408" s="12" t="n"/>
      <c r="F408" s="10" t="n"/>
    </row>
    <row r="409">
      <c r="B409" s="12" t="n"/>
      <c r="F409" s="10" t="n"/>
    </row>
    <row r="410">
      <c r="B410" s="12" t="n"/>
      <c r="F410" s="10" t="n"/>
    </row>
    <row r="411">
      <c r="B411" s="12" t="n"/>
      <c r="F411" s="10" t="n"/>
    </row>
    <row r="412">
      <c r="B412" s="12" t="n"/>
      <c r="F412" s="10" t="n"/>
    </row>
    <row r="413">
      <c r="B413" s="12" t="n"/>
      <c r="F413" s="10" t="n"/>
    </row>
    <row r="414">
      <c r="B414" s="12" t="n"/>
      <c r="F414" s="10" t="n"/>
    </row>
    <row r="415">
      <c r="B415" s="12" t="n"/>
      <c r="F415" s="10" t="n"/>
    </row>
    <row r="416">
      <c r="B416" s="12" t="n"/>
      <c r="F416" s="10" t="n"/>
    </row>
    <row r="417">
      <c r="B417" s="12" t="n"/>
      <c r="F417" s="10" t="n"/>
    </row>
    <row r="418">
      <c r="B418" s="12" t="n"/>
      <c r="F418" s="10" t="n"/>
    </row>
    <row r="419">
      <c r="B419" s="12" t="n"/>
      <c r="F419" s="10" t="n"/>
    </row>
    <row r="420">
      <c r="B420" s="12" t="n"/>
      <c r="F420" s="10" t="n"/>
    </row>
    <row r="421">
      <c r="B421" s="12" t="n"/>
      <c r="F421" s="10" t="n"/>
    </row>
    <row r="422">
      <c r="B422" s="12" t="n"/>
      <c r="F422" s="10" t="n"/>
    </row>
    <row r="423">
      <c r="B423" s="12" t="n"/>
      <c r="F423" s="10" t="n"/>
    </row>
    <row r="424">
      <c r="B424" s="12" t="n"/>
      <c r="F424" s="10" t="n"/>
    </row>
    <row r="425">
      <c r="B425" s="12" t="n"/>
      <c r="F425" s="10" t="n"/>
    </row>
    <row r="426">
      <c r="B426" s="12" t="n"/>
      <c r="F426" s="10" t="n"/>
    </row>
    <row r="427">
      <c r="B427" s="12" t="n"/>
      <c r="F427" s="10" t="n"/>
    </row>
    <row r="428">
      <c r="B428" s="12" t="n"/>
      <c r="F428" s="10" t="n"/>
    </row>
    <row r="429">
      <c r="B429" s="12" t="n"/>
      <c r="F429" s="10" t="n"/>
    </row>
    <row r="430">
      <c r="B430" s="12" t="n"/>
      <c r="F430" s="10" t="n"/>
    </row>
    <row r="431">
      <c r="B431" s="12" t="n"/>
      <c r="F431" s="10" t="n"/>
    </row>
    <row r="432">
      <c r="B432" s="12" t="n"/>
      <c r="F432" s="10" t="n"/>
    </row>
    <row r="433">
      <c r="B433" s="12" t="n"/>
      <c r="F433" s="10" t="n"/>
    </row>
    <row r="434">
      <c r="B434" s="12" t="n"/>
      <c r="F434" s="10" t="n"/>
    </row>
    <row r="435">
      <c r="B435" s="12" t="n"/>
      <c r="F435" s="10" t="n"/>
    </row>
    <row r="436">
      <c r="B436" s="12" t="n"/>
      <c r="F436" s="10" t="n"/>
    </row>
    <row r="437">
      <c r="B437" s="12" t="n"/>
      <c r="F437" s="10" t="n"/>
    </row>
    <row r="438">
      <c r="B438" s="12" t="n"/>
      <c r="F438" s="10" t="n"/>
    </row>
    <row r="439">
      <c r="B439" s="12" t="n"/>
      <c r="F439" s="10" t="n"/>
    </row>
    <row r="440">
      <c r="B440" s="12" t="n"/>
      <c r="F440" s="10" t="n"/>
    </row>
    <row r="441">
      <c r="B441" s="12" t="n"/>
      <c r="F441" s="10" t="n"/>
    </row>
    <row r="442">
      <c r="B442" s="12" t="n"/>
      <c r="F442" s="10" t="n"/>
    </row>
    <row r="443">
      <c r="B443" s="12" t="n"/>
      <c r="F443" s="10" t="n"/>
    </row>
    <row r="444">
      <c r="B444" s="12" t="n"/>
      <c r="F444" s="10" t="n"/>
    </row>
    <row r="445">
      <c r="B445" s="12" t="n"/>
      <c r="F445" s="10" t="n"/>
    </row>
    <row r="446">
      <c r="B446" s="12" t="n"/>
      <c r="F446" s="10" t="n"/>
    </row>
    <row r="447">
      <c r="B447" s="12" t="n"/>
      <c r="F447" s="10" t="n"/>
    </row>
    <row r="448">
      <c r="B448" s="12" t="n"/>
      <c r="F448" s="10" t="n"/>
    </row>
    <row r="449">
      <c r="B449" s="12" t="n"/>
      <c r="F449" s="10" t="n"/>
    </row>
    <row r="450">
      <c r="B450" s="12" t="n"/>
      <c r="F450" s="10" t="n"/>
    </row>
    <row r="451">
      <c r="B451" s="12" t="n"/>
      <c r="F451" s="10" t="n"/>
    </row>
    <row r="452">
      <c r="B452" s="12" t="n"/>
      <c r="F452" s="10" t="n"/>
    </row>
    <row r="453">
      <c r="B453" s="12" t="n"/>
      <c r="F453" s="10" t="n"/>
    </row>
    <row r="454">
      <c r="B454" s="12" t="n"/>
      <c r="F454" s="10" t="n"/>
    </row>
    <row r="455">
      <c r="B455" s="12" t="n"/>
      <c r="F455" s="10" t="n"/>
    </row>
    <row r="456">
      <c r="B456" s="12" t="n"/>
      <c r="F456" s="10" t="n"/>
    </row>
    <row r="457">
      <c r="B457" s="12" t="n"/>
      <c r="F457" s="10" t="n"/>
    </row>
    <row r="458">
      <c r="B458" s="12" t="n"/>
      <c r="F458" s="10" t="n"/>
    </row>
    <row r="459">
      <c r="B459" s="12" t="n"/>
      <c r="F459" s="10" t="n"/>
    </row>
    <row r="460">
      <c r="B460" s="12" t="n"/>
      <c r="F460" s="10" t="n"/>
    </row>
    <row r="461">
      <c r="B461" s="12" t="n"/>
      <c r="F461" s="10" t="n"/>
    </row>
    <row r="462">
      <c r="B462" s="12" t="n"/>
      <c r="F462" s="10" t="n"/>
    </row>
    <row r="463">
      <c r="B463" s="12" t="n"/>
      <c r="F463" s="10" t="n"/>
    </row>
    <row r="464">
      <c r="B464" s="12" t="n"/>
      <c r="F464" s="10" t="n"/>
    </row>
    <row r="465">
      <c r="B465" s="12" t="n"/>
      <c r="F465" s="10" t="n"/>
    </row>
    <row r="466">
      <c r="B466" s="12" t="n"/>
      <c r="F466" s="10" t="n"/>
    </row>
    <row r="467">
      <c r="B467" s="12" t="n"/>
      <c r="F467" s="10" t="n"/>
    </row>
    <row r="468">
      <c r="B468" s="12" t="n"/>
      <c r="F468" s="10" t="n"/>
    </row>
    <row r="469">
      <c r="B469" s="12" t="n"/>
      <c r="F469" s="10" t="n"/>
    </row>
    <row r="470">
      <c r="B470" s="12" t="n"/>
      <c r="F470" s="10" t="n"/>
    </row>
    <row r="471">
      <c r="B471" s="12" t="n"/>
      <c r="F471" s="10" t="n"/>
    </row>
    <row r="472">
      <c r="B472" s="12" t="n"/>
      <c r="F472" s="10" t="n"/>
    </row>
    <row r="473">
      <c r="B473" s="12" t="n"/>
      <c r="F473" s="10" t="n"/>
    </row>
    <row r="474">
      <c r="B474" s="12" t="n"/>
      <c r="F474" s="10" t="n"/>
    </row>
    <row r="475">
      <c r="B475" s="12" t="n"/>
      <c r="F475" s="10" t="n"/>
    </row>
    <row r="476">
      <c r="B476" s="12" t="n"/>
      <c r="F476" s="10" t="n"/>
    </row>
    <row r="477">
      <c r="B477" s="12" t="n"/>
      <c r="F477" s="10" t="n"/>
    </row>
    <row r="478">
      <c r="B478" s="12" t="n"/>
      <c r="F478" s="10" t="n"/>
    </row>
    <row r="479">
      <c r="B479" s="12" t="n"/>
      <c r="F479" s="10" t="n"/>
    </row>
    <row r="480">
      <c r="B480" s="12" t="n"/>
      <c r="F480" s="10" t="n"/>
    </row>
    <row r="481">
      <c r="B481" s="12" t="n"/>
      <c r="F481" s="10" t="n"/>
    </row>
    <row r="482">
      <c r="B482" s="12" t="n"/>
      <c r="F482" s="10" t="n"/>
    </row>
    <row r="483">
      <c r="B483" s="12" t="n"/>
      <c r="F483" s="10" t="n"/>
    </row>
    <row r="484">
      <c r="B484" s="12" t="n"/>
      <c r="F484" s="10" t="n"/>
    </row>
    <row r="485">
      <c r="B485" s="12" t="n"/>
      <c r="F485" s="10" t="n"/>
    </row>
    <row r="486">
      <c r="B486" s="12" t="n"/>
      <c r="F486" s="10" t="n"/>
    </row>
    <row r="487">
      <c r="B487" s="12" t="n"/>
      <c r="F487" s="10" t="n"/>
    </row>
    <row r="488">
      <c r="B488" s="12" t="n"/>
      <c r="F488" s="10" t="n"/>
    </row>
    <row r="489">
      <c r="B489" s="12" t="n"/>
      <c r="F489" s="10" t="n"/>
    </row>
    <row r="490">
      <c r="B490" s="12" t="n"/>
      <c r="F490" s="10" t="n"/>
    </row>
    <row r="491">
      <c r="B491" s="12" t="n"/>
      <c r="F491" s="10" t="n"/>
    </row>
    <row r="492">
      <c r="B492" s="12" t="n"/>
      <c r="F492" s="10" t="n"/>
    </row>
    <row r="493">
      <c r="B493" s="12" t="n"/>
      <c r="F493" s="10" t="n"/>
    </row>
    <row r="494">
      <c r="B494" s="12" t="n"/>
      <c r="F494" s="10" t="n"/>
    </row>
    <row r="495">
      <c r="B495" s="12" t="n"/>
      <c r="F495" s="10" t="n"/>
    </row>
    <row r="496">
      <c r="B496" s="12" t="n"/>
      <c r="F496" s="10" t="n"/>
    </row>
    <row r="497">
      <c r="B497" s="12" t="n"/>
      <c r="F497" s="10" t="n"/>
    </row>
    <row r="498">
      <c r="B498" s="12" t="n"/>
      <c r="F498" s="10" t="n"/>
    </row>
    <row r="499">
      <c r="B499" s="12" t="n"/>
      <c r="F499" s="10" t="n"/>
    </row>
    <row r="500">
      <c r="B500" s="12" t="n"/>
      <c r="F500" s="10" t="n"/>
    </row>
    <row r="501">
      <c r="B501" s="12" t="n"/>
      <c r="F501" s="10" t="n"/>
    </row>
    <row r="502">
      <c r="B502" s="12" t="n"/>
      <c r="F502" s="10" t="n"/>
    </row>
    <row r="503">
      <c r="B503" s="12" t="n"/>
      <c r="F503" s="10" t="n"/>
    </row>
    <row r="504">
      <c r="B504" s="12" t="n"/>
      <c r="F504" s="10" t="n"/>
    </row>
    <row r="505">
      <c r="B505" s="12" t="n"/>
      <c r="F505" s="10" t="n"/>
    </row>
    <row r="506">
      <c r="B506" s="12" t="n"/>
      <c r="F506" s="10" t="n"/>
    </row>
    <row r="507">
      <c r="B507" s="12" t="n"/>
      <c r="F507" s="10" t="n"/>
    </row>
    <row r="508">
      <c r="B508" s="12" t="n"/>
      <c r="F508" s="10" t="n"/>
    </row>
    <row r="509">
      <c r="B509" s="12" t="n"/>
      <c r="F509" s="10" t="n"/>
    </row>
    <row r="510">
      <c r="B510" s="12" t="n"/>
      <c r="F510" s="10" t="n"/>
    </row>
    <row r="511">
      <c r="B511" s="12" t="n"/>
      <c r="F511" s="10" t="n"/>
    </row>
    <row r="512">
      <c r="B512" s="12" t="n"/>
      <c r="F512" s="10" t="n"/>
    </row>
    <row r="513">
      <c r="B513" s="12" t="n"/>
      <c r="F513" s="10" t="n"/>
    </row>
    <row r="514">
      <c r="B514" s="12" t="n"/>
      <c r="F514" s="10" t="n"/>
    </row>
    <row r="515">
      <c r="B515" s="12" t="n"/>
      <c r="F515" s="10" t="n"/>
    </row>
    <row r="516">
      <c r="B516" s="12" t="n"/>
      <c r="F516" s="10" t="n"/>
    </row>
    <row r="517">
      <c r="B517" s="12" t="n"/>
      <c r="F517" s="10" t="n"/>
    </row>
    <row r="518">
      <c r="B518" s="12" t="n"/>
      <c r="F518" s="10" t="n"/>
    </row>
    <row r="519">
      <c r="B519" s="12" t="n"/>
      <c r="F519" s="10" t="n"/>
    </row>
    <row r="520">
      <c r="B520" s="12" t="n"/>
      <c r="F520" s="10" t="n"/>
    </row>
    <row r="521">
      <c r="B521" s="12" t="n"/>
      <c r="F521" s="10" t="n"/>
    </row>
    <row r="522">
      <c r="B522" s="12" t="n"/>
      <c r="F522" s="10" t="n"/>
    </row>
    <row r="523">
      <c r="B523" s="12" t="n"/>
      <c r="F523" s="10" t="n"/>
    </row>
    <row r="524">
      <c r="B524" s="12" t="n"/>
      <c r="F524" s="10" t="n"/>
    </row>
    <row r="525">
      <c r="B525" s="12" t="n"/>
      <c r="F525" s="10" t="n"/>
    </row>
    <row r="526">
      <c r="B526" s="12" t="n"/>
      <c r="F526" s="10" t="n"/>
    </row>
    <row r="527">
      <c r="B527" s="12" t="n"/>
      <c r="F527" s="10" t="n"/>
    </row>
    <row r="528">
      <c r="B528" s="12" t="n"/>
      <c r="F528" s="10" t="n"/>
    </row>
    <row r="529">
      <c r="B529" s="12" t="n"/>
      <c r="F529" s="10" t="n"/>
    </row>
    <row r="530">
      <c r="B530" s="12" t="n"/>
      <c r="F530" s="10" t="n"/>
    </row>
    <row r="531">
      <c r="B531" s="12" t="n"/>
      <c r="F531" s="10" t="n"/>
    </row>
    <row r="532">
      <c r="B532" s="12" t="n"/>
      <c r="F532" s="10" t="n"/>
    </row>
    <row r="533">
      <c r="B533" s="12" t="n"/>
      <c r="F533" s="10" t="n"/>
    </row>
    <row r="534">
      <c r="B534" s="12" t="n"/>
      <c r="F534" s="10" t="n"/>
    </row>
    <row r="535">
      <c r="B535" s="12" t="n"/>
      <c r="F535" s="10" t="n"/>
    </row>
    <row r="536">
      <c r="B536" s="12" t="n"/>
      <c r="F536" s="10" t="n"/>
    </row>
    <row r="537">
      <c r="B537" s="12" t="n"/>
      <c r="F537" s="10" t="n"/>
    </row>
    <row r="538">
      <c r="B538" s="12" t="n"/>
      <c r="F538" s="10" t="n"/>
    </row>
    <row r="539">
      <c r="B539" s="12" t="n"/>
      <c r="F539" s="10" t="n"/>
    </row>
    <row r="540">
      <c r="B540" s="12" t="n"/>
      <c r="F540" s="10" t="n"/>
    </row>
    <row r="541">
      <c r="B541" s="12" t="n"/>
      <c r="F541" s="10" t="n"/>
    </row>
    <row r="542">
      <c r="B542" s="12" t="n"/>
      <c r="F542" s="10" t="n"/>
    </row>
    <row r="543">
      <c r="B543" s="12" t="n"/>
      <c r="F543" s="10" t="n"/>
    </row>
    <row r="544">
      <c r="B544" s="12" t="n"/>
      <c r="F544" s="10" t="n"/>
    </row>
    <row r="545">
      <c r="B545" s="12" t="n"/>
      <c r="F545" s="10" t="n"/>
    </row>
    <row r="546">
      <c r="B546" s="12" t="n"/>
      <c r="F546" s="10" t="n"/>
    </row>
    <row r="547">
      <c r="B547" s="12" t="n"/>
      <c r="F547" s="10" t="n"/>
    </row>
    <row r="548">
      <c r="B548" s="12" t="n"/>
      <c r="F548" s="10" t="n"/>
    </row>
    <row r="549">
      <c r="B549" s="12" t="n"/>
      <c r="F549" s="10" t="n"/>
    </row>
    <row r="550">
      <c r="B550" s="12" t="n"/>
      <c r="F550" s="10" t="n"/>
    </row>
    <row r="551">
      <c r="B551" s="12" t="n"/>
      <c r="F551" s="10" t="n"/>
    </row>
    <row r="552">
      <c r="B552" s="12" t="n"/>
      <c r="F552" s="10" t="n"/>
    </row>
    <row r="553">
      <c r="B553" s="12" t="n"/>
      <c r="F553" s="10" t="n"/>
    </row>
    <row r="554">
      <c r="B554" s="12" t="n"/>
      <c r="F554" s="10" t="n"/>
    </row>
    <row r="555">
      <c r="B555" s="12" t="n"/>
      <c r="F555" s="10" t="n"/>
    </row>
    <row r="556">
      <c r="B556" s="12" t="n"/>
      <c r="F556" s="10" t="n"/>
    </row>
    <row r="557">
      <c r="B557" s="12" t="n"/>
      <c r="F557" s="10" t="n"/>
    </row>
    <row r="558">
      <c r="B558" s="12" t="n"/>
      <c r="F558" s="10" t="n"/>
    </row>
    <row r="559">
      <c r="B559" s="12" t="n"/>
      <c r="F559" s="10" t="n"/>
    </row>
    <row r="560">
      <c r="B560" s="12" t="n"/>
      <c r="F560" s="10" t="n"/>
    </row>
    <row r="561">
      <c r="B561" s="12" t="n"/>
      <c r="F561" s="10" t="n"/>
    </row>
    <row r="562">
      <c r="B562" s="12" t="n"/>
      <c r="F562" s="10" t="n"/>
    </row>
    <row r="563">
      <c r="B563" s="12" t="n"/>
      <c r="F563" s="10" t="n"/>
    </row>
    <row r="564">
      <c r="B564" s="12" t="n"/>
      <c r="F564" s="10" t="n"/>
    </row>
    <row r="565">
      <c r="B565" s="12" t="n"/>
      <c r="F565" s="10" t="n"/>
    </row>
    <row r="566">
      <c r="B566" s="12" t="n"/>
      <c r="F566" s="10" t="n"/>
    </row>
    <row r="567">
      <c r="B567" s="12" t="n"/>
      <c r="F567" s="10" t="n"/>
    </row>
    <row r="568">
      <c r="B568" s="12" t="n"/>
      <c r="F568" s="10" t="n"/>
    </row>
    <row r="569">
      <c r="B569" s="12" t="n"/>
      <c r="F569" s="10" t="n"/>
    </row>
    <row r="570">
      <c r="B570" s="12" t="n"/>
      <c r="F570" s="10" t="n"/>
    </row>
    <row r="571">
      <c r="B571" s="12" t="n"/>
      <c r="F571" s="10" t="n"/>
    </row>
    <row r="572">
      <c r="B572" s="12" t="n"/>
      <c r="F572" s="10" t="n"/>
    </row>
    <row r="573">
      <c r="B573" s="12" t="n"/>
      <c r="F573" s="10" t="n"/>
    </row>
    <row r="574">
      <c r="B574" s="12" t="n"/>
      <c r="F574" s="10" t="n"/>
    </row>
    <row r="575">
      <c r="B575" s="12" t="n"/>
      <c r="F575" s="10" t="n"/>
    </row>
    <row r="576">
      <c r="B576" s="12" t="n"/>
      <c r="F576" s="10" t="n"/>
    </row>
    <row r="577">
      <c r="B577" s="12" t="n"/>
      <c r="F577" s="10" t="n"/>
    </row>
    <row r="578">
      <c r="B578" s="12" t="n"/>
      <c r="F578" s="10" t="n"/>
    </row>
    <row r="579">
      <c r="B579" s="12" t="n"/>
      <c r="F579" s="10" t="n"/>
    </row>
    <row r="580">
      <c r="B580" s="12" t="n"/>
      <c r="F580" s="10" t="n"/>
    </row>
    <row r="581">
      <c r="B581" s="12" t="n"/>
      <c r="F581" s="10" t="n"/>
    </row>
    <row r="582">
      <c r="B582" s="12" t="n"/>
      <c r="F582" s="10" t="n"/>
    </row>
    <row r="583">
      <c r="B583" s="12" t="n"/>
      <c r="F583" s="10" t="n"/>
    </row>
    <row r="584">
      <c r="B584" s="12" t="n"/>
      <c r="F584" s="10" t="n"/>
    </row>
    <row r="585">
      <c r="B585" s="12" t="n"/>
      <c r="F585" s="10" t="n"/>
    </row>
    <row r="586">
      <c r="B586" s="12" t="n"/>
      <c r="F586" s="10" t="n"/>
    </row>
    <row r="587">
      <c r="B587" s="12" t="n"/>
      <c r="F587" s="10" t="n"/>
    </row>
    <row r="588">
      <c r="B588" s="12" t="n"/>
      <c r="F588" s="10" t="n"/>
    </row>
    <row r="589">
      <c r="B589" s="12" t="n"/>
      <c r="F589" s="10" t="n"/>
    </row>
    <row r="590">
      <c r="B590" s="12" t="n"/>
      <c r="F590" s="10" t="n"/>
    </row>
    <row r="591">
      <c r="B591" s="12" t="n"/>
      <c r="F591" s="10" t="n"/>
    </row>
    <row r="592">
      <c r="B592" s="12" t="n"/>
      <c r="F592" s="10" t="n"/>
    </row>
    <row r="593">
      <c r="B593" s="12" t="n"/>
      <c r="F593" s="10" t="n"/>
    </row>
    <row r="594">
      <c r="B594" s="12" t="n"/>
      <c r="F594" s="10" t="n"/>
    </row>
    <row r="595">
      <c r="B595" s="12" t="n"/>
      <c r="F595" s="10" t="n"/>
    </row>
    <row r="596">
      <c r="B596" s="12" t="n"/>
      <c r="F596" s="10" t="n"/>
    </row>
    <row r="597">
      <c r="B597" s="12" t="n"/>
      <c r="F597" s="10" t="n"/>
    </row>
    <row r="598">
      <c r="B598" s="12" t="n"/>
      <c r="F598" s="10" t="n"/>
    </row>
    <row r="599">
      <c r="B599" s="12" t="n"/>
      <c r="F599" s="10" t="n"/>
    </row>
    <row r="600">
      <c r="B600" s="12" t="n"/>
      <c r="F600" s="10" t="n"/>
    </row>
    <row r="601">
      <c r="B601" s="12" t="n"/>
      <c r="F601" s="10" t="n"/>
    </row>
    <row r="602">
      <c r="B602" s="12" t="n"/>
      <c r="F602" s="10" t="n"/>
    </row>
    <row r="603">
      <c r="B603" s="12" t="n"/>
      <c r="F603" s="10" t="n"/>
    </row>
    <row r="604">
      <c r="B604" s="12" t="n"/>
      <c r="F604" s="10" t="n"/>
    </row>
    <row r="605">
      <c r="B605" s="12" t="n"/>
      <c r="F605" s="10" t="n"/>
    </row>
    <row r="606">
      <c r="B606" s="12" t="n"/>
      <c r="F606" s="10" t="n"/>
    </row>
    <row r="607">
      <c r="B607" s="12" t="n"/>
      <c r="F607" s="10" t="n"/>
    </row>
    <row r="608">
      <c r="B608" s="12" t="n"/>
      <c r="F608" s="10" t="n"/>
    </row>
    <row r="609">
      <c r="B609" s="12" t="n"/>
      <c r="F609" s="10" t="n"/>
    </row>
    <row r="610">
      <c r="B610" s="12" t="n"/>
      <c r="F610" s="10" t="n"/>
    </row>
    <row r="611">
      <c r="B611" s="12" t="n"/>
      <c r="F611" s="10" t="n"/>
    </row>
    <row r="612">
      <c r="B612" s="12" t="n"/>
      <c r="F612" s="10" t="n"/>
    </row>
    <row r="613">
      <c r="B613" s="12" t="n"/>
      <c r="F613" s="10" t="n"/>
    </row>
    <row r="614">
      <c r="B614" s="12" t="n"/>
      <c r="F614" s="10" t="n"/>
    </row>
    <row r="615">
      <c r="B615" s="12" t="n"/>
      <c r="F615" s="10" t="n"/>
    </row>
    <row r="616">
      <c r="B616" s="12" t="n"/>
      <c r="F616" s="10" t="n"/>
    </row>
    <row r="617">
      <c r="B617" s="12" t="n"/>
      <c r="F617" s="10" t="n"/>
    </row>
    <row r="618">
      <c r="B618" s="12" t="n"/>
      <c r="F618" s="10" t="n"/>
    </row>
    <row r="619">
      <c r="B619" s="12" t="n"/>
      <c r="F619" s="10" t="n"/>
    </row>
    <row r="620">
      <c r="B620" s="12" t="n"/>
      <c r="F620" s="10" t="n"/>
    </row>
    <row r="621">
      <c r="B621" s="12" t="n"/>
      <c r="F621" s="10" t="n"/>
    </row>
    <row r="622">
      <c r="B622" s="12" t="n"/>
      <c r="F622" s="10" t="n"/>
    </row>
    <row r="623">
      <c r="B623" s="12" t="n"/>
      <c r="F623" s="10" t="n"/>
    </row>
    <row r="624">
      <c r="B624" s="12" t="n"/>
      <c r="F624" s="10" t="n"/>
    </row>
    <row r="625">
      <c r="B625" s="12" t="n"/>
      <c r="F625" s="10" t="n"/>
    </row>
    <row r="626">
      <c r="B626" s="12" t="n"/>
      <c r="F626" s="10" t="n"/>
    </row>
    <row r="627">
      <c r="B627" s="12" t="n"/>
      <c r="F627" s="10" t="n"/>
    </row>
    <row r="628">
      <c r="B628" s="12" t="n"/>
      <c r="F628" s="10" t="n"/>
    </row>
    <row r="629">
      <c r="B629" s="12" t="n"/>
      <c r="F629" s="10" t="n"/>
    </row>
    <row r="630">
      <c r="B630" s="12" t="n"/>
      <c r="F630" s="10" t="n"/>
    </row>
    <row r="631">
      <c r="B631" s="12" t="n"/>
      <c r="F631" s="10" t="n"/>
    </row>
    <row r="632">
      <c r="B632" s="12" t="n"/>
      <c r="F632" s="10" t="n"/>
    </row>
    <row r="633">
      <c r="B633" s="12" t="n"/>
      <c r="F633" s="10" t="n"/>
    </row>
    <row r="634">
      <c r="B634" s="12" t="n"/>
      <c r="F634" s="10" t="n"/>
    </row>
    <row r="635">
      <c r="B635" s="12" t="n"/>
      <c r="F635" s="10" t="n"/>
    </row>
    <row r="636">
      <c r="B636" s="12" t="n"/>
      <c r="F636" s="10" t="n"/>
    </row>
    <row r="637">
      <c r="B637" s="12" t="n"/>
      <c r="F637" s="10" t="n"/>
    </row>
    <row r="638">
      <c r="B638" s="12" t="n"/>
      <c r="F638" s="10" t="n"/>
    </row>
    <row r="639">
      <c r="B639" s="12" t="n"/>
      <c r="F639" s="10" t="n"/>
    </row>
    <row r="640">
      <c r="B640" s="12" t="n"/>
      <c r="F640" s="10" t="n"/>
    </row>
    <row r="641">
      <c r="B641" s="12" t="n"/>
      <c r="F641" s="10" t="n"/>
    </row>
    <row r="642">
      <c r="B642" s="12" t="n"/>
      <c r="F642" s="10" t="n"/>
    </row>
    <row r="643">
      <c r="B643" s="12" t="n"/>
      <c r="F643" s="10" t="n"/>
    </row>
    <row r="644">
      <c r="B644" s="12" t="n"/>
      <c r="F644" s="10" t="n"/>
    </row>
    <row r="645">
      <c r="B645" s="12" t="n"/>
      <c r="F645" s="10" t="n"/>
    </row>
    <row r="646">
      <c r="B646" s="12" t="n"/>
      <c r="F646" s="10" t="n"/>
    </row>
    <row r="647">
      <c r="B647" s="12" t="n"/>
      <c r="F647" s="10" t="n"/>
    </row>
    <row r="648">
      <c r="B648" s="12" t="n"/>
      <c r="F648" s="10" t="n"/>
    </row>
    <row r="649">
      <c r="B649" s="12" t="n"/>
      <c r="F649" s="10" t="n"/>
    </row>
    <row r="650">
      <c r="B650" s="12" t="n"/>
      <c r="F650" s="10" t="n"/>
    </row>
    <row r="651">
      <c r="B651" s="12" t="n"/>
      <c r="F651" s="10" t="n"/>
    </row>
    <row r="652">
      <c r="B652" s="12" t="n"/>
      <c r="F652" s="10" t="n"/>
    </row>
    <row r="653">
      <c r="B653" s="12" t="n"/>
      <c r="F653" s="10" t="n"/>
    </row>
    <row r="654">
      <c r="B654" s="12" t="n"/>
      <c r="F654" s="10" t="n"/>
    </row>
    <row r="655">
      <c r="B655" s="12" t="n"/>
      <c r="F655" s="10" t="n"/>
    </row>
    <row r="656">
      <c r="B656" s="12" t="n"/>
      <c r="F656" s="10" t="n"/>
    </row>
    <row r="657">
      <c r="B657" s="12" t="n"/>
      <c r="F657" s="10" t="n"/>
    </row>
    <row r="658">
      <c r="B658" s="12" t="n"/>
      <c r="F658" s="10" t="n"/>
    </row>
    <row r="659">
      <c r="B659" s="12" t="n"/>
      <c r="F659" s="10" t="n"/>
    </row>
    <row r="660">
      <c r="B660" s="12" t="n"/>
      <c r="F660" s="10" t="n"/>
    </row>
    <row r="661">
      <c r="B661" s="12" t="n"/>
      <c r="F661" s="10" t="n"/>
    </row>
    <row r="662">
      <c r="B662" s="12" t="n"/>
      <c r="F662" s="10" t="n"/>
    </row>
    <row r="663">
      <c r="B663" s="12" t="n"/>
      <c r="F663" s="10" t="n"/>
    </row>
    <row r="664">
      <c r="B664" s="12" t="n"/>
      <c r="F664" s="10" t="n"/>
    </row>
    <row r="665">
      <c r="B665" s="12" t="n"/>
      <c r="F665" s="10" t="n"/>
    </row>
    <row r="666">
      <c r="B666" s="12" t="n"/>
      <c r="F666" s="10" t="n"/>
    </row>
    <row r="667">
      <c r="B667" s="12" t="n"/>
      <c r="F667" s="10" t="n"/>
    </row>
    <row r="668">
      <c r="B668" s="12" t="n"/>
      <c r="F668" s="10" t="n"/>
    </row>
    <row r="669">
      <c r="B669" s="12" t="n"/>
      <c r="F669" s="10" t="n"/>
    </row>
    <row r="670">
      <c r="B670" s="12" t="n"/>
      <c r="F670" s="10" t="n"/>
    </row>
    <row r="671">
      <c r="B671" s="12" t="n"/>
      <c r="F671" s="10" t="n"/>
    </row>
    <row r="672">
      <c r="B672" s="12" t="n"/>
      <c r="F672" s="10" t="n"/>
    </row>
    <row r="673">
      <c r="B673" s="12" t="n"/>
      <c r="F673" s="10" t="n"/>
    </row>
    <row r="674">
      <c r="B674" s="12" t="n"/>
      <c r="F674" s="10" t="n"/>
    </row>
    <row r="675">
      <c r="B675" s="12" t="n"/>
      <c r="F675" s="10" t="n"/>
    </row>
    <row r="676">
      <c r="B676" s="12" t="n"/>
      <c r="F676" s="10" t="n"/>
    </row>
    <row r="677">
      <c r="B677" s="12" t="n"/>
      <c r="F677" s="10" t="n"/>
    </row>
    <row r="678">
      <c r="B678" s="12" t="n"/>
      <c r="F678" s="10" t="n"/>
    </row>
    <row r="679">
      <c r="B679" s="12" t="n"/>
      <c r="F679" s="10" t="n"/>
    </row>
    <row r="680">
      <c r="B680" s="12" t="n"/>
      <c r="F680" s="10" t="n"/>
    </row>
    <row r="681">
      <c r="B681" s="12" t="n"/>
      <c r="F681" s="10" t="n"/>
    </row>
    <row r="682">
      <c r="B682" s="12" t="n"/>
      <c r="F682" s="10" t="n"/>
    </row>
    <row r="683">
      <c r="B683" s="12" t="n"/>
      <c r="F683" s="10" t="n"/>
    </row>
    <row r="684">
      <c r="B684" s="12" t="n"/>
      <c r="F684" s="10" t="n"/>
    </row>
    <row r="685">
      <c r="B685" s="12" t="n"/>
      <c r="F685" s="10" t="n"/>
    </row>
    <row r="686">
      <c r="B686" s="12" t="n"/>
      <c r="F686" s="10" t="n"/>
    </row>
    <row r="687">
      <c r="B687" s="12" t="n"/>
      <c r="F687" s="10" t="n"/>
    </row>
    <row r="688">
      <c r="B688" s="12" t="n"/>
      <c r="F688" s="10" t="n"/>
    </row>
    <row r="689">
      <c r="B689" s="12" t="n"/>
      <c r="F689" s="10" t="n"/>
    </row>
    <row r="690">
      <c r="B690" s="12" t="n"/>
      <c r="F690" s="10" t="n"/>
    </row>
    <row r="691">
      <c r="B691" s="12" t="n"/>
      <c r="F691" s="10" t="n"/>
    </row>
    <row r="692">
      <c r="B692" s="12" t="n"/>
      <c r="F692" s="10" t="n"/>
    </row>
    <row r="693">
      <c r="B693" s="12" t="n"/>
      <c r="F693" s="10" t="n"/>
    </row>
    <row r="694">
      <c r="B694" s="12" t="n"/>
      <c r="F694" s="10" t="n"/>
    </row>
    <row r="695">
      <c r="B695" s="12" t="n"/>
      <c r="F695" s="10" t="n"/>
    </row>
    <row r="696">
      <c r="B696" s="12" t="n"/>
      <c r="F696" s="10" t="n"/>
    </row>
    <row r="697">
      <c r="B697" s="12" t="n"/>
      <c r="F697" s="10" t="n"/>
    </row>
    <row r="698">
      <c r="B698" s="12" t="n"/>
      <c r="F698" s="10" t="n"/>
    </row>
    <row r="699">
      <c r="B699" s="12" t="n"/>
      <c r="F699" s="10" t="n"/>
    </row>
    <row r="700">
      <c r="B700" s="12" t="n"/>
      <c r="F700" s="10" t="n"/>
    </row>
    <row r="701">
      <c r="B701" s="12" t="n"/>
      <c r="F701" s="10" t="n"/>
    </row>
    <row r="702">
      <c r="B702" s="12" t="n"/>
      <c r="F702" s="10" t="n"/>
    </row>
    <row r="703">
      <c r="B703" s="12" t="n"/>
      <c r="F703" s="10" t="n"/>
    </row>
    <row r="704">
      <c r="B704" s="12" t="n"/>
      <c r="F704" s="10" t="n"/>
    </row>
    <row r="705">
      <c r="B705" s="12" t="n"/>
      <c r="F705" s="10" t="n"/>
    </row>
    <row r="706">
      <c r="B706" s="12" t="n"/>
      <c r="F706" s="10" t="n"/>
    </row>
    <row r="707">
      <c r="B707" s="12" t="n"/>
      <c r="F707" s="10" t="n"/>
    </row>
    <row r="708">
      <c r="B708" s="12" t="n"/>
      <c r="F708" s="10" t="n"/>
    </row>
    <row r="709">
      <c r="B709" s="12" t="n"/>
      <c r="F709" s="10" t="n"/>
    </row>
    <row r="710">
      <c r="B710" s="12" t="n"/>
      <c r="F710" s="10" t="n"/>
    </row>
    <row r="711">
      <c r="B711" s="12" t="n"/>
      <c r="F711" s="10" t="n"/>
    </row>
    <row r="712">
      <c r="B712" s="12" t="n"/>
      <c r="F712" s="10" t="n"/>
    </row>
    <row r="713">
      <c r="B713" s="12" t="n"/>
      <c r="F713" s="10" t="n"/>
    </row>
    <row r="714">
      <c r="B714" s="12" t="n"/>
      <c r="F714" s="10" t="n"/>
    </row>
    <row r="715">
      <c r="B715" s="12" t="n"/>
      <c r="F715" s="10" t="n"/>
    </row>
    <row r="716">
      <c r="B716" s="12" t="n"/>
      <c r="F716" s="10" t="n"/>
    </row>
    <row r="717">
      <c r="B717" s="12" t="n"/>
      <c r="F717" s="10" t="n"/>
    </row>
    <row r="718">
      <c r="B718" s="12" t="n"/>
      <c r="F718" s="10" t="n"/>
    </row>
    <row r="719">
      <c r="B719" s="12" t="n"/>
      <c r="F719" s="10" t="n"/>
    </row>
    <row r="720">
      <c r="B720" s="12" t="n"/>
      <c r="F720" s="10" t="n"/>
    </row>
    <row r="721">
      <c r="B721" s="12" t="n"/>
      <c r="F721" s="10" t="n"/>
    </row>
    <row r="722">
      <c r="B722" s="12" t="n"/>
      <c r="F722" s="10" t="n"/>
    </row>
    <row r="723">
      <c r="B723" s="12" t="n"/>
      <c r="F723" s="10" t="n"/>
    </row>
    <row r="724">
      <c r="B724" s="12" t="n"/>
      <c r="F724" s="10" t="n"/>
    </row>
    <row r="725">
      <c r="B725" s="12" t="n"/>
      <c r="F725" s="10" t="n"/>
    </row>
    <row r="726">
      <c r="B726" s="12" t="n"/>
      <c r="F726" s="10" t="n"/>
    </row>
    <row r="727">
      <c r="B727" s="12" t="n"/>
      <c r="F727" s="10" t="n"/>
    </row>
    <row r="728">
      <c r="B728" s="12" t="n"/>
      <c r="F728" s="10" t="n"/>
    </row>
    <row r="729">
      <c r="B729" s="12" t="n"/>
      <c r="F729" s="10" t="n"/>
    </row>
    <row r="730">
      <c r="B730" s="12" t="n"/>
      <c r="F730" s="10" t="n"/>
    </row>
    <row r="731">
      <c r="B731" s="12" t="n"/>
      <c r="F731" s="10" t="n"/>
    </row>
    <row r="732">
      <c r="B732" s="12" t="n"/>
      <c r="F732" s="10" t="n"/>
    </row>
    <row r="733">
      <c r="B733" s="12" t="n"/>
      <c r="F733" s="10" t="n"/>
    </row>
    <row r="734">
      <c r="B734" s="12" t="n"/>
      <c r="F734" s="10" t="n"/>
    </row>
    <row r="735">
      <c r="B735" s="12" t="n"/>
      <c r="F735" s="10" t="n"/>
    </row>
    <row r="736">
      <c r="B736" s="12" t="n"/>
      <c r="F736" s="10" t="n"/>
    </row>
    <row r="737">
      <c r="B737" s="12" t="n"/>
      <c r="F737" s="10" t="n"/>
    </row>
    <row r="738">
      <c r="B738" s="12" t="n"/>
      <c r="F738" s="10" t="n"/>
    </row>
    <row r="739">
      <c r="B739" s="12" t="n"/>
      <c r="F739" s="10" t="n"/>
    </row>
    <row r="740">
      <c r="B740" s="12" t="n"/>
      <c r="F740" s="10" t="n"/>
    </row>
    <row r="741">
      <c r="B741" s="12" t="n"/>
      <c r="F741" s="10" t="n"/>
    </row>
    <row r="742">
      <c r="B742" s="12" t="n"/>
      <c r="F742" s="10" t="n"/>
    </row>
    <row r="743">
      <c r="B743" s="12" t="n"/>
      <c r="F743" s="10" t="n"/>
    </row>
    <row r="744">
      <c r="B744" s="12" t="n"/>
      <c r="F744" s="10" t="n"/>
    </row>
    <row r="745">
      <c r="B745" s="12" t="n"/>
      <c r="F745" s="10" t="n"/>
    </row>
    <row r="746">
      <c r="B746" s="12" t="n"/>
      <c r="F746" s="10" t="n"/>
    </row>
    <row r="747">
      <c r="B747" s="12" t="n"/>
      <c r="F747" s="10" t="n"/>
    </row>
    <row r="748">
      <c r="B748" s="12" t="n"/>
      <c r="F748" s="10" t="n"/>
    </row>
    <row r="749">
      <c r="B749" s="12" t="n"/>
      <c r="F749" s="10" t="n"/>
    </row>
    <row r="750">
      <c r="B750" s="12" t="n"/>
      <c r="F750" s="10" t="n"/>
    </row>
    <row r="751">
      <c r="B751" s="12" t="n"/>
      <c r="F751" s="10" t="n"/>
    </row>
    <row r="752">
      <c r="B752" s="12" t="n"/>
      <c r="F752" s="10" t="n"/>
    </row>
    <row r="753">
      <c r="B753" s="12" t="n"/>
      <c r="F753" s="10" t="n"/>
    </row>
    <row r="754">
      <c r="B754" s="12" t="n"/>
      <c r="F754" s="10" t="n"/>
    </row>
    <row r="755">
      <c r="B755" s="12" t="n"/>
      <c r="F755" s="10" t="n"/>
    </row>
    <row r="756">
      <c r="B756" s="12" t="n"/>
      <c r="F756" s="10" t="n"/>
    </row>
    <row r="757">
      <c r="B757" s="12" t="n"/>
      <c r="F757" s="10" t="n"/>
    </row>
    <row r="758">
      <c r="B758" s="12" t="n"/>
      <c r="F758" s="10" t="n"/>
    </row>
    <row r="759">
      <c r="B759" s="12" t="n"/>
      <c r="F759" s="10" t="n"/>
    </row>
    <row r="760">
      <c r="B760" s="12" t="n"/>
      <c r="F760" s="10" t="n"/>
    </row>
    <row r="761">
      <c r="B761" s="12" t="n"/>
      <c r="F761" s="10" t="n"/>
    </row>
    <row r="762">
      <c r="B762" s="12" t="n"/>
      <c r="F762" s="10" t="n"/>
    </row>
    <row r="763">
      <c r="B763" s="12" t="n"/>
      <c r="F763" s="10" t="n"/>
    </row>
    <row r="764">
      <c r="B764" s="12" t="n"/>
      <c r="F764" s="10" t="n"/>
    </row>
    <row r="765">
      <c r="B765" s="12" t="n"/>
      <c r="F765" s="10" t="n"/>
    </row>
    <row r="766">
      <c r="B766" s="12" t="n"/>
      <c r="F766" s="10" t="n"/>
    </row>
    <row r="767">
      <c r="B767" s="12" t="n"/>
      <c r="F767" s="10" t="n"/>
    </row>
    <row r="768">
      <c r="B768" s="12" t="n"/>
      <c r="F768" s="10" t="n"/>
    </row>
    <row r="769">
      <c r="B769" s="12" t="n"/>
      <c r="F769" s="10" t="n"/>
    </row>
    <row r="770">
      <c r="B770" s="12" t="n"/>
      <c r="F770" s="10" t="n"/>
    </row>
    <row r="771">
      <c r="B771" s="12" t="n"/>
      <c r="F771" s="10" t="n"/>
    </row>
    <row r="772">
      <c r="B772" s="12" t="n"/>
      <c r="F772" s="10" t="n"/>
    </row>
    <row r="773">
      <c r="B773" s="12" t="n"/>
      <c r="F773" s="10" t="n"/>
    </row>
    <row r="774">
      <c r="B774" s="12" t="n"/>
      <c r="F774" s="10" t="n"/>
    </row>
    <row r="775">
      <c r="B775" s="12" t="n"/>
      <c r="F775" s="10" t="n"/>
    </row>
    <row r="776">
      <c r="B776" s="12" t="n"/>
      <c r="F776" s="10" t="n"/>
    </row>
    <row r="777">
      <c r="B777" s="12" t="n"/>
      <c r="F777" s="10" t="n"/>
    </row>
    <row r="778">
      <c r="B778" s="12" t="n"/>
      <c r="F778" s="10" t="n"/>
    </row>
    <row r="779">
      <c r="B779" s="12" t="n"/>
      <c r="F779" s="10" t="n"/>
    </row>
    <row r="780">
      <c r="B780" s="12" t="n"/>
      <c r="F780" s="10" t="n"/>
    </row>
    <row r="781">
      <c r="B781" s="12" t="n"/>
      <c r="F781" s="10" t="n"/>
    </row>
    <row r="782">
      <c r="B782" s="12" t="n"/>
      <c r="F782" s="10" t="n"/>
    </row>
    <row r="783">
      <c r="B783" s="12" t="n"/>
      <c r="F783" s="10" t="n"/>
    </row>
    <row r="784">
      <c r="B784" s="12" t="n"/>
      <c r="F784" s="10" t="n"/>
    </row>
    <row r="785">
      <c r="B785" s="12" t="n"/>
      <c r="F785" s="10" t="n"/>
    </row>
    <row r="786">
      <c r="B786" s="12" t="n"/>
      <c r="F786" s="10" t="n"/>
    </row>
    <row r="787">
      <c r="B787" s="12" t="n"/>
      <c r="F787" s="10" t="n"/>
    </row>
    <row r="788">
      <c r="B788" s="12" t="n"/>
      <c r="F788" s="10" t="n"/>
    </row>
    <row r="789">
      <c r="B789" s="12" t="n"/>
      <c r="F789" s="10" t="n"/>
    </row>
    <row r="790">
      <c r="B790" s="12" t="n"/>
      <c r="F790" s="10" t="n"/>
    </row>
    <row r="791">
      <c r="B791" s="12" t="n"/>
      <c r="F791" s="10" t="n"/>
    </row>
    <row r="792">
      <c r="B792" s="12" t="n"/>
      <c r="F792" s="10" t="n"/>
    </row>
    <row r="793">
      <c r="B793" s="12" t="n"/>
      <c r="F793" s="10" t="n"/>
    </row>
    <row r="794">
      <c r="B794" s="12" t="n"/>
      <c r="F794" s="10" t="n"/>
    </row>
    <row r="795">
      <c r="B795" s="12" t="n"/>
      <c r="F795" s="10" t="n"/>
    </row>
    <row r="796">
      <c r="B796" s="12" t="n"/>
      <c r="F796" s="10" t="n"/>
    </row>
    <row r="797">
      <c r="B797" s="12" t="n"/>
      <c r="F797" s="10" t="n"/>
    </row>
    <row r="798">
      <c r="B798" s="12" t="n"/>
      <c r="F798" s="10" t="n"/>
    </row>
    <row r="799">
      <c r="B799" s="12" t="n"/>
      <c r="F799" s="10" t="n"/>
    </row>
    <row r="800">
      <c r="B800" s="12" t="n"/>
      <c r="F800" s="10" t="n"/>
    </row>
    <row r="801">
      <c r="B801" s="12" t="n"/>
      <c r="F801" s="10" t="n"/>
    </row>
    <row r="802">
      <c r="B802" s="12" t="n"/>
      <c r="F802" s="10" t="n"/>
    </row>
    <row r="803">
      <c r="B803" s="12" t="n"/>
      <c r="F803" s="10" t="n"/>
    </row>
    <row r="804">
      <c r="B804" s="12" t="n"/>
      <c r="F804" s="10" t="n"/>
    </row>
    <row r="805">
      <c r="B805" s="12" t="n"/>
      <c r="F805" s="10" t="n"/>
    </row>
    <row r="806">
      <c r="B806" s="12" t="n"/>
      <c r="F806" s="10" t="n"/>
    </row>
    <row r="807">
      <c r="B807" s="12" t="n"/>
      <c r="F807" s="10" t="n"/>
    </row>
    <row r="808">
      <c r="B808" s="12" t="n"/>
      <c r="F808" s="10" t="n"/>
    </row>
    <row r="809">
      <c r="B809" s="12" t="n"/>
      <c r="F809" s="10" t="n"/>
    </row>
    <row r="810">
      <c r="B810" s="12" t="n"/>
      <c r="F810" s="10" t="n"/>
    </row>
    <row r="811">
      <c r="B811" s="12" t="n"/>
      <c r="F811" s="10" t="n"/>
    </row>
    <row r="812">
      <c r="B812" s="12" t="n"/>
      <c r="F812" s="10" t="n"/>
    </row>
    <row r="813">
      <c r="B813" s="12" t="n"/>
      <c r="F813" s="10" t="n"/>
    </row>
    <row r="814">
      <c r="B814" s="12" t="n"/>
      <c r="F814" s="10" t="n"/>
    </row>
    <row r="815">
      <c r="B815" s="12" t="n"/>
      <c r="F815" s="10" t="n"/>
    </row>
    <row r="816">
      <c r="B816" s="12" t="n"/>
      <c r="F816" s="10" t="n"/>
    </row>
    <row r="817">
      <c r="B817" s="12" t="n"/>
      <c r="F817" s="10" t="n"/>
    </row>
    <row r="818">
      <c r="B818" s="12" t="n"/>
      <c r="F818" s="10" t="n"/>
    </row>
    <row r="819">
      <c r="B819" s="12" t="n"/>
      <c r="F819" s="10" t="n"/>
    </row>
    <row r="820">
      <c r="B820" s="12" t="n"/>
      <c r="F820" s="10" t="n"/>
    </row>
    <row r="821">
      <c r="B821" s="12" t="n"/>
      <c r="F821" s="10" t="n"/>
    </row>
    <row r="822">
      <c r="B822" s="12" t="n"/>
      <c r="F822" s="10" t="n"/>
    </row>
    <row r="823">
      <c r="B823" s="12" t="n"/>
      <c r="F823" s="10" t="n"/>
    </row>
    <row r="824">
      <c r="B824" s="12" t="n"/>
      <c r="F824" s="10" t="n"/>
    </row>
    <row r="825">
      <c r="B825" s="12" t="n"/>
      <c r="F825" s="10" t="n"/>
    </row>
    <row r="826">
      <c r="B826" s="12" t="n"/>
      <c r="F826" s="10" t="n"/>
    </row>
    <row r="827">
      <c r="B827" s="12" t="n"/>
      <c r="F827" s="10" t="n"/>
    </row>
    <row r="828">
      <c r="B828" s="12" t="n"/>
      <c r="F828" s="10" t="n"/>
    </row>
    <row r="829">
      <c r="B829" s="12" t="n"/>
      <c r="F829" s="10" t="n"/>
    </row>
    <row r="830">
      <c r="B830" s="12" t="n"/>
      <c r="F830" s="10" t="n"/>
    </row>
    <row r="831">
      <c r="B831" s="12" t="n"/>
      <c r="F831" s="10" t="n"/>
    </row>
    <row r="832">
      <c r="B832" s="12" t="n"/>
      <c r="F832" s="10" t="n"/>
    </row>
    <row r="833">
      <c r="B833" s="12" t="n"/>
      <c r="F833" s="10" t="n"/>
    </row>
    <row r="834">
      <c r="B834" s="12" t="n"/>
      <c r="F834" s="10" t="n"/>
    </row>
    <row r="835">
      <c r="B835" s="12" t="n"/>
      <c r="F835" s="10" t="n"/>
    </row>
    <row r="836">
      <c r="B836" s="12" t="n"/>
      <c r="F836" s="10" t="n"/>
    </row>
    <row r="837">
      <c r="B837" s="12" t="n"/>
      <c r="F837" s="10" t="n"/>
    </row>
    <row r="838">
      <c r="B838" s="12" t="n"/>
      <c r="F838" s="10" t="n"/>
    </row>
    <row r="839">
      <c r="B839" s="12" t="n"/>
      <c r="F839" s="10" t="n"/>
    </row>
    <row r="840">
      <c r="B840" s="12" t="n"/>
      <c r="F840" s="10" t="n"/>
    </row>
    <row r="841">
      <c r="B841" s="12" t="n"/>
      <c r="F841" s="10" t="n"/>
    </row>
    <row r="842">
      <c r="B842" s="12" t="n"/>
      <c r="F842" s="10" t="n"/>
    </row>
    <row r="843">
      <c r="B843" s="12" t="n"/>
      <c r="F843" s="10" t="n"/>
    </row>
    <row r="844">
      <c r="B844" s="12" t="n"/>
      <c r="F844" s="10" t="n"/>
    </row>
    <row r="845">
      <c r="B845" s="12" t="n"/>
      <c r="F845" s="10" t="n"/>
    </row>
    <row r="846">
      <c r="B846" s="12" t="n"/>
      <c r="F846" s="10" t="n"/>
    </row>
    <row r="847">
      <c r="B847" s="12" t="n"/>
      <c r="F847" s="10" t="n"/>
    </row>
    <row r="848">
      <c r="B848" s="12" t="n"/>
      <c r="F848" s="10" t="n"/>
    </row>
    <row r="849">
      <c r="B849" s="12" t="n"/>
      <c r="F849" s="10" t="n"/>
    </row>
    <row r="850">
      <c r="B850" s="12" t="n"/>
      <c r="F850" s="10" t="n"/>
    </row>
    <row r="851">
      <c r="B851" s="12" t="n"/>
      <c r="F851" s="10" t="n"/>
    </row>
    <row r="852">
      <c r="B852" s="12" t="n"/>
      <c r="F852" s="10" t="n"/>
    </row>
    <row r="853">
      <c r="B853" s="12" t="n"/>
      <c r="F853" s="10" t="n"/>
    </row>
    <row r="854">
      <c r="B854" s="12" t="n"/>
      <c r="F854" s="10" t="n"/>
    </row>
    <row r="855">
      <c r="B855" s="12" t="n"/>
      <c r="F855" s="10" t="n"/>
    </row>
    <row r="856">
      <c r="B856" s="12" t="n"/>
      <c r="F856" s="10" t="n"/>
    </row>
    <row r="857">
      <c r="B857" s="12" t="n"/>
      <c r="F857" s="10" t="n"/>
    </row>
    <row r="858">
      <c r="B858" s="12" t="n"/>
      <c r="F858" s="10" t="n"/>
    </row>
    <row r="859">
      <c r="B859" s="12" t="n"/>
      <c r="F859" s="10" t="n"/>
    </row>
    <row r="860">
      <c r="B860" s="12" t="n"/>
      <c r="F860" s="10" t="n"/>
    </row>
    <row r="861">
      <c r="B861" s="12" t="n"/>
      <c r="F861" s="10" t="n"/>
    </row>
    <row r="862">
      <c r="B862" s="12" t="n"/>
      <c r="F862" s="10" t="n"/>
    </row>
    <row r="863">
      <c r="B863" s="12" t="n"/>
      <c r="F863" s="10" t="n"/>
    </row>
    <row r="864">
      <c r="B864" s="12" t="n"/>
      <c r="F864" s="10" t="n"/>
    </row>
    <row r="865">
      <c r="B865" s="12" t="n"/>
      <c r="F865" s="10" t="n"/>
    </row>
    <row r="866">
      <c r="B866" s="12" t="n"/>
      <c r="F866" s="10" t="n"/>
    </row>
    <row r="867">
      <c r="B867" s="12" t="n"/>
      <c r="F867" s="10" t="n"/>
    </row>
    <row r="868">
      <c r="B868" s="12" t="n"/>
      <c r="F868" s="10" t="n"/>
    </row>
    <row r="869">
      <c r="B869" s="12" t="n"/>
      <c r="F869" s="10" t="n"/>
    </row>
    <row r="870">
      <c r="B870" s="12" t="n"/>
      <c r="F870" s="10" t="n"/>
    </row>
    <row r="871">
      <c r="B871" s="12" t="n"/>
      <c r="F871" s="10" t="n"/>
    </row>
    <row r="872">
      <c r="B872" s="12" t="n"/>
      <c r="F872" s="10" t="n"/>
    </row>
    <row r="873">
      <c r="B873" s="12" t="n"/>
      <c r="F873" s="10" t="n"/>
    </row>
    <row r="874">
      <c r="B874" s="12" t="n"/>
      <c r="F874" s="10" t="n"/>
    </row>
    <row r="875">
      <c r="B875" s="12" t="n"/>
      <c r="F875" s="10" t="n"/>
    </row>
    <row r="876">
      <c r="B876" s="12" t="n"/>
      <c r="F876" s="10" t="n"/>
    </row>
    <row r="877">
      <c r="B877" s="12" t="n"/>
      <c r="F877" s="10" t="n"/>
    </row>
    <row r="878">
      <c r="B878" s="12" t="n"/>
      <c r="F878" s="10" t="n"/>
    </row>
    <row r="879">
      <c r="B879" s="12" t="n"/>
      <c r="F879" s="10" t="n"/>
    </row>
    <row r="880">
      <c r="B880" s="12" t="n"/>
      <c r="F880" s="10" t="n"/>
    </row>
    <row r="881">
      <c r="B881" s="12" t="n"/>
      <c r="F881" s="10" t="n"/>
    </row>
    <row r="882">
      <c r="B882" s="12" t="n"/>
      <c r="F882" s="10" t="n"/>
    </row>
    <row r="883">
      <c r="B883" s="12" t="n"/>
      <c r="F883" s="10" t="n"/>
    </row>
    <row r="884">
      <c r="B884" s="12" t="n"/>
      <c r="F884" s="10" t="n"/>
    </row>
    <row r="885">
      <c r="B885" s="12" t="n"/>
      <c r="F885" s="10" t="n"/>
    </row>
    <row r="886">
      <c r="B886" s="12" t="n"/>
      <c r="F886" s="10" t="n"/>
    </row>
    <row r="887">
      <c r="B887" s="12" t="n"/>
      <c r="F887" s="10" t="n"/>
    </row>
    <row r="888">
      <c r="B888" s="12" t="n"/>
      <c r="F888" s="10" t="n"/>
    </row>
    <row r="889">
      <c r="B889" s="12" t="n"/>
      <c r="F889" s="10" t="n"/>
    </row>
    <row r="890">
      <c r="B890" s="12" t="n"/>
      <c r="F890" s="10" t="n"/>
    </row>
    <row r="891">
      <c r="B891" s="12" t="n"/>
      <c r="F891" s="10" t="n"/>
    </row>
    <row r="892">
      <c r="B892" s="12" t="n"/>
      <c r="F892" s="10" t="n"/>
    </row>
    <row r="893">
      <c r="B893" s="12" t="n"/>
      <c r="F893" s="10" t="n"/>
    </row>
    <row r="894">
      <c r="B894" s="12" t="n"/>
      <c r="F894" s="10" t="n"/>
    </row>
    <row r="895">
      <c r="B895" s="12" t="n"/>
      <c r="F895" s="10" t="n"/>
    </row>
    <row r="896">
      <c r="B896" s="12" t="n"/>
      <c r="F896" s="10" t="n"/>
    </row>
    <row r="897">
      <c r="B897" s="12" t="n"/>
      <c r="F897" s="10" t="n"/>
    </row>
    <row r="898">
      <c r="B898" s="12" t="n"/>
      <c r="F898" s="10" t="n"/>
    </row>
    <row r="899">
      <c r="B899" s="12" t="n"/>
      <c r="F899" s="10" t="n"/>
    </row>
    <row r="900">
      <c r="B900" s="12" t="n"/>
      <c r="F900" s="10" t="n"/>
    </row>
    <row r="901">
      <c r="B901" s="12" t="n"/>
      <c r="F901" s="10" t="n"/>
    </row>
    <row r="902">
      <c r="B902" s="12" t="n"/>
      <c r="F902" s="10" t="n"/>
    </row>
    <row r="903">
      <c r="B903" s="12" t="n"/>
      <c r="F903" s="10" t="n"/>
    </row>
    <row r="904">
      <c r="B904" s="12" t="n"/>
      <c r="F904" s="10" t="n"/>
    </row>
    <row r="905">
      <c r="B905" s="12" t="n"/>
      <c r="F905" s="10" t="n"/>
    </row>
    <row r="906">
      <c r="B906" s="12" t="n"/>
      <c r="F906" s="10" t="n"/>
    </row>
    <row r="907">
      <c r="B907" s="12" t="n"/>
      <c r="F907" s="10" t="n"/>
    </row>
    <row r="908">
      <c r="B908" s="12" t="n"/>
      <c r="F908" s="10" t="n"/>
    </row>
    <row r="909">
      <c r="B909" s="12" t="n"/>
      <c r="F909" s="10" t="n"/>
    </row>
    <row r="910">
      <c r="B910" s="12" t="n"/>
      <c r="F910" s="10" t="n"/>
    </row>
    <row r="911">
      <c r="B911" s="12" t="n"/>
      <c r="F911" s="10" t="n"/>
    </row>
    <row r="912">
      <c r="B912" s="12" t="n"/>
      <c r="F912" s="10" t="n"/>
    </row>
    <row r="913">
      <c r="B913" s="12" t="n"/>
      <c r="F913" s="10" t="n"/>
    </row>
    <row r="914">
      <c r="B914" s="12" t="n"/>
      <c r="F914" s="10" t="n"/>
    </row>
    <row r="915">
      <c r="B915" s="12" t="n"/>
      <c r="F915" s="10" t="n"/>
    </row>
    <row r="916">
      <c r="B916" s="12" t="n"/>
      <c r="F916" s="10" t="n"/>
    </row>
    <row r="917">
      <c r="B917" s="12" t="n"/>
      <c r="F917" s="10" t="n"/>
    </row>
    <row r="918">
      <c r="B918" s="12" t="n"/>
      <c r="F918" s="10" t="n"/>
    </row>
    <row r="919">
      <c r="B919" s="12" t="n"/>
      <c r="F919" s="10" t="n"/>
    </row>
    <row r="920">
      <c r="B920" s="12" t="n"/>
      <c r="F920" s="10" t="n"/>
    </row>
    <row r="921">
      <c r="B921" s="12" t="n"/>
      <c r="F921" s="10" t="n"/>
    </row>
    <row r="922">
      <c r="B922" s="12" t="n"/>
      <c r="F922" s="10" t="n"/>
    </row>
    <row r="923">
      <c r="B923" s="12" t="n"/>
      <c r="F923" s="10" t="n"/>
    </row>
    <row r="924">
      <c r="B924" s="12" t="n"/>
      <c r="F924" s="10" t="n"/>
    </row>
    <row r="925">
      <c r="B925" s="12" t="n"/>
      <c r="F925" s="10" t="n"/>
    </row>
    <row r="926">
      <c r="B926" s="12" t="n"/>
      <c r="F926" s="10" t="n"/>
    </row>
    <row r="927">
      <c r="B927" s="12" t="n"/>
      <c r="F927" s="10" t="n"/>
    </row>
    <row r="928">
      <c r="B928" s="12" t="n"/>
      <c r="F928" s="10" t="n"/>
    </row>
    <row r="929">
      <c r="B929" s="12" t="n"/>
      <c r="F929" s="10" t="n"/>
    </row>
    <row r="930">
      <c r="B930" s="12" t="n"/>
      <c r="F930" s="10" t="n"/>
    </row>
    <row r="931">
      <c r="B931" s="12" t="n"/>
      <c r="F931" s="10" t="n"/>
    </row>
    <row r="932">
      <c r="B932" s="12" t="n"/>
      <c r="F932" s="10" t="n"/>
    </row>
    <row r="933">
      <c r="B933" s="12" t="n"/>
      <c r="F933" s="10" t="n"/>
    </row>
    <row r="934">
      <c r="B934" s="12" t="n"/>
      <c r="F934" s="10" t="n"/>
    </row>
    <row r="935">
      <c r="B935" s="12" t="n"/>
      <c r="F935" s="10" t="n"/>
    </row>
    <row r="936">
      <c r="B936" s="12" t="n"/>
      <c r="F936" s="10" t="n"/>
    </row>
    <row r="937">
      <c r="B937" s="12" t="n"/>
      <c r="F937" s="10" t="n"/>
    </row>
    <row r="938">
      <c r="B938" s="12" t="n"/>
      <c r="F938" s="10" t="n"/>
    </row>
    <row r="939">
      <c r="B939" s="12" t="n"/>
      <c r="F939" s="10" t="n"/>
    </row>
    <row r="940">
      <c r="B940" s="12" t="n"/>
      <c r="F940" s="10" t="n"/>
    </row>
    <row r="941">
      <c r="B941" s="12" t="n"/>
      <c r="F941" s="10" t="n"/>
    </row>
    <row r="942">
      <c r="B942" s="12" t="n"/>
      <c r="F942" s="10" t="n"/>
    </row>
    <row r="943">
      <c r="B943" s="12" t="n"/>
      <c r="F943" s="10" t="n"/>
    </row>
    <row r="944">
      <c r="B944" s="12" t="n"/>
      <c r="F944" s="10" t="n"/>
    </row>
    <row r="945">
      <c r="B945" s="12" t="n"/>
      <c r="F945" s="10" t="n"/>
    </row>
    <row r="946">
      <c r="B946" s="12" t="n"/>
      <c r="F946" s="10" t="n"/>
    </row>
    <row r="947">
      <c r="B947" s="12" t="n"/>
      <c r="F947" s="10" t="n"/>
    </row>
    <row r="948">
      <c r="B948" s="12" t="n"/>
      <c r="F948" s="10" t="n"/>
    </row>
    <row r="949">
      <c r="B949" s="12" t="n"/>
      <c r="F949" s="10" t="n"/>
    </row>
    <row r="950">
      <c r="B950" s="12" t="n"/>
      <c r="F950" s="10" t="n"/>
    </row>
    <row r="951">
      <c r="B951" s="12" t="n"/>
      <c r="F951" s="10" t="n"/>
    </row>
    <row r="952">
      <c r="B952" s="12" t="n"/>
      <c r="F952" s="10" t="n"/>
    </row>
    <row r="953">
      <c r="B953" s="12" t="n"/>
      <c r="F953" s="10" t="n"/>
    </row>
    <row r="954">
      <c r="B954" s="12" t="n"/>
      <c r="F954" s="10" t="n"/>
    </row>
    <row r="955">
      <c r="B955" s="12" t="n"/>
      <c r="F955" s="10" t="n"/>
    </row>
    <row r="956">
      <c r="B956" s="12" t="n"/>
      <c r="F956" s="10" t="n"/>
    </row>
    <row r="957">
      <c r="B957" s="12" t="n"/>
      <c r="F957" s="10" t="n"/>
    </row>
    <row r="958">
      <c r="B958" s="12" t="n"/>
      <c r="F958" s="10" t="n"/>
    </row>
    <row r="959">
      <c r="B959" s="12" t="n"/>
      <c r="F959" s="10" t="n"/>
    </row>
    <row r="960">
      <c r="B960" s="12" t="n"/>
      <c r="F960" s="10" t="n"/>
    </row>
    <row r="961">
      <c r="B961" s="12" t="n"/>
      <c r="F961" s="10" t="n"/>
    </row>
    <row r="962">
      <c r="B962" s="12" t="n"/>
      <c r="F962" s="10" t="n"/>
    </row>
    <row r="963">
      <c r="B963" s="12" t="n"/>
      <c r="F963" s="10" t="n"/>
    </row>
    <row r="964">
      <c r="B964" s="12" t="n"/>
      <c r="F964" s="10" t="n"/>
    </row>
    <row r="965">
      <c r="B965" s="12" t="n"/>
      <c r="F965" s="10" t="n"/>
    </row>
    <row r="966">
      <c r="B966" s="12" t="n"/>
      <c r="F966" s="10" t="n"/>
    </row>
    <row r="967">
      <c r="B967" s="12" t="n"/>
      <c r="F967" s="10" t="n"/>
    </row>
    <row r="968">
      <c r="B968" s="12" t="n"/>
      <c r="F968" s="10" t="n"/>
    </row>
    <row r="969">
      <c r="B969" s="12" t="n"/>
      <c r="F969" s="10" t="n"/>
    </row>
    <row r="970">
      <c r="B970" s="12" t="n"/>
      <c r="F970" s="10" t="n"/>
    </row>
    <row r="971">
      <c r="B971" s="12" t="n"/>
      <c r="F971" s="10" t="n"/>
    </row>
    <row r="972">
      <c r="B972" s="12" t="n"/>
      <c r="F972" s="10" t="n"/>
    </row>
    <row r="973">
      <c r="B973" s="12" t="n"/>
      <c r="F973" s="10" t="n"/>
    </row>
    <row r="974">
      <c r="B974" s="12" t="n"/>
      <c r="F974" s="10" t="n"/>
    </row>
    <row r="975">
      <c r="B975" s="12" t="n"/>
      <c r="F975" s="10" t="n"/>
    </row>
    <row r="976">
      <c r="B976" s="12" t="n"/>
      <c r="F976" s="10" t="n"/>
    </row>
    <row r="977">
      <c r="B977" s="12" t="n"/>
      <c r="F977" s="10" t="n"/>
    </row>
    <row r="978">
      <c r="B978" s="12" t="n"/>
      <c r="F978" s="10" t="n"/>
    </row>
    <row r="979">
      <c r="B979" s="12" t="n"/>
      <c r="F979" s="10" t="n"/>
    </row>
    <row r="980">
      <c r="B980" s="12" t="n"/>
      <c r="F980" s="10" t="n"/>
    </row>
    <row r="981">
      <c r="B981" s="12" t="n"/>
      <c r="F981" s="10" t="n"/>
    </row>
    <row r="982">
      <c r="B982" s="12" t="n"/>
      <c r="F982" s="10" t="n"/>
    </row>
    <row r="983">
      <c r="B983" s="12" t="n"/>
      <c r="F983" s="10" t="n"/>
    </row>
    <row r="984">
      <c r="B984" s="12" t="n"/>
      <c r="F984" s="10" t="n"/>
    </row>
    <row r="985">
      <c r="B985" s="12" t="n"/>
      <c r="F985" s="10" t="n"/>
    </row>
    <row r="986">
      <c r="B986" s="12" t="n"/>
      <c r="F986" s="10" t="n"/>
    </row>
    <row r="987">
      <c r="B987" s="12" t="n"/>
      <c r="F987" s="10" t="n"/>
    </row>
    <row r="988">
      <c r="B988" s="12" t="n"/>
      <c r="F988" s="10" t="n"/>
    </row>
    <row r="989">
      <c r="B989" s="12" t="n"/>
      <c r="F989" s="10" t="n"/>
    </row>
    <row r="990">
      <c r="B990" s="12" t="n"/>
      <c r="F990" s="10" t="n"/>
    </row>
    <row r="991">
      <c r="B991" s="12" t="n"/>
      <c r="F991" s="10" t="n"/>
    </row>
    <row r="992">
      <c r="B992" s="12" t="n"/>
      <c r="F992" s="10" t="n"/>
    </row>
    <row r="993">
      <c r="B993" s="12" t="n"/>
      <c r="F993" s="10" t="n"/>
    </row>
    <row r="994">
      <c r="B994" s="12" t="n"/>
      <c r="F994" s="10" t="n"/>
    </row>
    <row r="995">
      <c r="B995" s="12" t="n"/>
      <c r="F995" s="10" t="n"/>
    </row>
    <row r="996">
      <c r="B996" s="12" t="n"/>
      <c r="F996" s="10" t="n"/>
    </row>
    <row r="997">
      <c r="B997" s="12" t="n"/>
      <c r="F997" s="10" t="n"/>
    </row>
    <row r="998">
      <c r="B998" s="12" t="n"/>
      <c r="F998" s="10" t="n"/>
    </row>
    <row r="999">
      <c r="B999" s="12" t="n"/>
      <c r="F999" s="10" t="n"/>
    </row>
    <row r="1000">
      <c r="B1000" s="12" t="n"/>
      <c r="F1000" s="10" t="n"/>
    </row>
  </sheetData>
  <dataValidations count="1">
    <dataValidation sqref="G2:G1000" showDropDown="0" showInputMessage="0" showErrorMessage="0" allowBlank="1" type="list">
      <formula1>"Cash,Bank,UPI,Card,Other"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REPORT</t>
        </is>
      </c>
      <c r="B1" s="13" t="inlineStr">
        <is>
          <t>VALUE</t>
        </is>
      </c>
    </row>
    <row r="2">
      <c r="A2" t="inlineStr">
        <is>
          <t>Total Sales</t>
        </is>
      </c>
      <c r="B2" s="10">
        <f>SUM(Sales[NetAmount])</f>
        <v/>
      </c>
    </row>
    <row r="3">
      <c r="A3" t="inlineStr">
        <is>
          <t>Total Purchases</t>
        </is>
      </c>
      <c r="B3" s="10">
        <f>SUM(Purchases[NetAmount])</f>
        <v/>
      </c>
    </row>
    <row r="4">
      <c r="A4" t="inlineStr">
        <is>
          <t>Total Expenses</t>
        </is>
      </c>
      <c r="B4" s="10">
        <f>SUM(Expenses[Amount])</f>
        <v/>
      </c>
    </row>
    <row r="5">
      <c r="A5" t="inlineStr">
        <is>
          <t>Gross Profit</t>
        </is>
      </c>
      <c r="B5" s="10">
        <f>B2-B3</f>
        <v/>
      </c>
    </row>
    <row r="6">
      <c r="A6" t="inlineStr">
        <is>
          <t>Net Profit</t>
        </is>
      </c>
      <c r="B6" s="10">
        <f>B5-B4</f>
        <v/>
      </c>
    </row>
    <row r="7">
      <c r="A7" t="inlineStr">
        <is>
          <t>Customer Receivables</t>
        </is>
      </c>
      <c r="B7" s="10">
        <f>SUM(Sales[Balance])</f>
        <v/>
      </c>
    </row>
    <row r="8">
      <c r="A8" t="inlineStr">
        <is>
          <t>Supplier Payables</t>
        </is>
      </c>
      <c r="B8" s="10">
        <f>SUM(Purchases[Balance])</f>
        <v/>
      </c>
    </row>
    <row r="9">
      <c r="A9" t="inlineStr">
        <is>
          <t>Inventory Value</t>
        </is>
      </c>
      <c r="B9" s="10">
        <f>SUM(Products[StockValue])</f>
        <v/>
      </c>
    </row>
    <row r="10">
      <c r="A10" t="inlineStr">
        <is>
          <t>Total Customers</t>
        </is>
      </c>
      <c r="B10" s="10">
        <f>COUNTA(Customers[CustomerID])</f>
        <v/>
      </c>
    </row>
    <row r="11">
      <c r="A11" t="inlineStr">
        <is>
          <t>Total Products</t>
        </is>
      </c>
      <c r="B11" s="10">
        <f>COUNTA(Products[ProductID])</f>
        <v/>
      </c>
    </row>
    <row r="12">
      <c r="A12" t="inlineStr">
        <is>
          <t>Low Stock Items</t>
        </is>
      </c>
      <c r="B12" s="10">
        <f>COUNTIF(Products[StockStatus],"LOW")</f>
        <v/>
      </c>
    </row>
    <row r="16">
      <c r="A16" s="14" t="inlineStr">
        <is>
          <t>Month</t>
        </is>
      </c>
      <c r="B16" s="14" t="inlineStr">
        <is>
          <t>Sales</t>
        </is>
      </c>
      <c r="C16" s="14" t="inlineStr">
        <is>
          <t>Purchases</t>
        </is>
      </c>
      <c r="D16" s="14" t="inlineStr">
        <is>
          <t>Expenses</t>
        </is>
      </c>
    </row>
    <row r="17">
      <c r="A17" t="inlineStr">
        <is>
          <t>Jan</t>
        </is>
      </c>
      <c r="B17">
        <f>SUMPRODUCT((MONTH(Sales[Date])=1)*Sales[NetAmount])</f>
        <v/>
      </c>
      <c r="C17">
        <f>SUMPRODUCT((MONTH(Purchases[Date])=1)*Purchases[NetAmount])</f>
        <v/>
      </c>
      <c r="D17">
        <f>SUMPRODUCT((MONTH(Expenses[Date])=1)*Expenses[Amount])</f>
        <v/>
      </c>
    </row>
    <row r="18">
      <c r="A18" t="inlineStr">
        <is>
          <t>Feb</t>
        </is>
      </c>
      <c r="B18">
        <f>SUMPRODUCT((MONTH(Sales[Date])=2)*Sales[NetAmount])</f>
        <v/>
      </c>
      <c r="C18">
        <f>SUMPRODUCT((MONTH(Purchases[Date])=2)*Purchases[NetAmount])</f>
        <v/>
      </c>
      <c r="D18">
        <f>SUMPRODUCT((MONTH(Expenses[Date])=2)*Expenses[Amount])</f>
        <v/>
      </c>
    </row>
    <row r="19">
      <c r="A19" t="inlineStr">
        <is>
          <t>Mar</t>
        </is>
      </c>
      <c r="B19">
        <f>SUMPRODUCT((MONTH(Sales[Date])=3)*Sales[NetAmount])</f>
        <v/>
      </c>
      <c r="C19">
        <f>SUMPRODUCT((MONTH(Purchases[Date])=3)*Purchases[NetAmount])</f>
        <v/>
      </c>
      <c r="D19">
        <f>SUMPRODUCT((MONTH(Expenses[Date])=3)*Expenses[Amount])</f>
        <v/>
      </c>
    </row>
    <row r="20">
      <c r="A20" t="inlineStr">
        <is>
          <t>Apr</t>
        </is>
      </c>
      <c r="B20">
        <f>SUMPRODUCT((MONTH(Sales[Date])=4)*Sales[NetAmount])</f>
        <v/>
      </c>
      <c r="C20">
        <f>SUMPRODUCT((MONTH(Purchases[Date])=4)*Purchases[NetAmount])</f>
        <v/>
      </c>
      <c r="D20">
        <f>SUMPRODUCT((MONTH(Expenses[Date])=4)*Expenses[Amount])</f>
        <v/>
      </c>
    </row>
    <row r="21">
      <c r="A21" t="inlineStr">
        <is>
          <t>May</t>
        </is>
      </c>
      <c r="B21">
        <f>SUMPRODUCT((MONTH(Sales[Date])=5)*Sales[NetAmount])</f>
        <v/>
      </c>
      <c r="C21">
        <f>SUMPRODUCT((MONTH(Purchases[Date])=5)*Purchases[NetAmount])</f>
        <v/>
      </c>
      <c r="D21">
        <f>SUMPRODUCT((MONTH(Expenses[Date])=5)*Expenses[Amount])</f>
        <v/>
      </c>
    </row>
    <row r="22">
      <c r="A22" t="inlineStr">
        <is>
          <t>Jun</t>
        </is>
      </c>
      <c r="B22">
        <f>SUMPRODUCT((MONTH(Sales[Date])=6)*Sales[NetAmount])</f>
        <v/>
      </c>
      <c r="C22">
        <f>SUMPRODUCT((MONTH(Purchases[Date])=6)*Purchases[NetAmount])</f>
        <v/>
      </c>
      <c r="D22">
        <f>SUMPRODUCT((MONTH(Expenses[Date])=6)*Expenses[Amount])</f>
        <v/>
      </c>
    </row>
    <row r="23">
      <c r="A23" t="inlineStr">
        <is>
          <t>Jul</t>
        </is>
      </c>
      <c r="B23">
        <f>SUMPRODUCT((MONTH(Sales[Date])=7)*Sales[NetAmount])</f>
        <v/>
      </c>
      <c r="C23">
        <f>SUMPRODUCT((MONTH(Purchases[Date])=7)*Purchases[NetAmount])</f>
        <v/>
      </c>
      <c r="D23">
        <f>SUMPRODUCT((MONTH(Expenses[Date])=7)*Expenses[Amount])</f>
        <v/>
      </c>
    </row>
    <row r="24">
      <c r="A24" t="inlineStr">
        <is>
          <t>Aug</t>
        </is>
      </c>
      <c r="B24">
        <f>SUMPRODUCT((MONTH(Sales[Date])=8)*Sales[NetAmount])</f>
        <v/>
      </c>
      <c r="C24">
        <f>SUMPRODUCT((MONTH(Purchases[Date])=8)*Purchases[NetAmount])</f>
        <v/>
      </c>
      <c r="D24">
        <f>SUMPRODUCT((MONTH(Expenses[Date])=8)*Expenses[Amount])</f>
        <v/>
      </c>
    </row>
    <row r="25">
      <c r="A25" t="inlineStr">
        <is>
          <t>Sep</t>
        </is>
      </c>
      <c r="B25">
        <f>SUMPRODUCT((MONTH(Sales[Date])=9)*Sales[NetAmount])</f>
        <v/>
      </c>
      <c r="C25">
        <f>SUMPRODUCT((MONTH(Purchases[Date])=9)*Purchases[NetAmount])</f>
        <v/>
      </c>
      <c r="D25">
        <f>SUMPRODUCT((MONTH(Expenses[Date])=9)*Expenses[Amount])</f>
        <v/>
      </c>
    </row>
    <row r="26">
      <c r="A26" t="inlineStr">
        <is>
          <t>Oct</t>
        </is>
      </c>
      <c r="B26">
        <f>SUMPRODUCT((MONTH(Sales[Date])=10)*Sales[NetAmount])</f>
        <v/>
      </c>
      <c r="C26">
        <f>SUMPRODUCT((MONTH(Purchases[Date])=10)*Purchases[NetAmount])</f>
        <v/>
      </c>
      <c r="D26">
        <f>SUMPRODUCT((MONTH(Expenses[Date])=10)*Expenses[Amount])</f>
        <v/>
      </c>
    </row>
    <row r="27">
      <c r="A27" t="inlineStr">
        <is>
          <t>Nov</t>
        </is>
      </c>
      <c r="B27">
        <f>SUMPRODUCT((MONTH(Sales[Date])=11)*Sales[NetAmount])</f>
        <v/>
      </c>
      <c r="C27">
        <f>SUMPRODUCT((MONTH(Purchases[Date])=11)*Purchases[NetAmount])</f>
        <v/>
      </c>
      <c r="D27">
        <f>SUMPRODUCT((MONTH(Expenses[Date])=11)*Expenses[Amount])</f>
        <v/>
      </c>
    </row>
    <row r="28">
      <c r="A28" t="inlineStr">
        <is>
          <t>Dec</t>
        </is>
      </c>
      <c r="B28">
        <f>SUMPRODUCT((MONTH(Sales[Date])=12)*Sales[NetAmount])</f>
        <v/>
      </c>
      <c r="C28">
        <f>SUMPRODUCT((MONTH(Purchases[Date])=12)*Purchases[NetAmount])</f>
        <v/>
      </c>
      <c r="D28">
        <f>SUMPRODUCT((MONTH(Expenses[Date])=12)*Expenses[Amount])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t="inlineStr">
        <is>
          <t>Total Sales</t>
        </is>
      </c>
      <c r="B2">
        <f>SUM(Sales[NetAmount])</f>
        <v/>
      </c>
    </row>
    <row r="3">
      <c r="A3" t="inlineStr">
        <is>
          <t>Total Purchases</t>
        </is>
      </c>
      <c r="B3">
        <f>SUM(Purchases[NetAmount])</f>
        <v/>
      </c>
    </row>
    <row r="4">
      <c r="A4" t="inlineStr">
        <is>
          <t>Total Expenses</t>
        </is>
      </c>
      <c r="B4">
        <f>SUM(Expenses[Amount])</f>
        <v/>
      </c>
    </row>
    <row r="5">
      <c r="A5" t="inlineStr">
        <is>
          <t>Receivables</t>
        </is>
      </c>
      <c r="B5">
        <f>SUM(Sales[Balance])</f>
        <v/>
      </c>
    </row>
    <row r="6">
      <c r="A6" t="inlineStr">
        <is>
          <t>Payables</t>
        </is>
      </c>
      <c r="B6">
        <f>SUM(Purchases[Balance])</f>
        <v/>
      </c>
    </row>
    <row r="7">
      <c r="A7" t="inlineStr">
        <is>
          <t>Inventory Value</t>
        </is>
      </c>
      <c r="B7">
        <f>SUM(Products[StockValue])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1" t="inlineStr">
        <is>
          <t>Setting</t>
        </is>
      </c>
      <c r="B1" s="11" t="inlineStr">
        <is>
          <t>Value</t>
        </is>
      </c>
    </row>
    <row r="2">
      <c r="A2" t="inlineStr">
        <is>
          <t>CompanyName</t>
        </is>
      </c>
      <c r="B2" t="inlineStr">
        <is>
          <t>Your Company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TaxRate</t>
        </is>
      </c>
      <c r="B4" t="inlineStr">
        <is>
          <t>0</t>
        </is>
      </c>
    </row>
    <row r="5">
      <c r="A5" t="inlineStr">
        <is>
          <t>Version</t>
        </is>
      </c>
      <c r="B5" t="inlineStr">
        <is>
          <t>2.0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NEW CUSTOMER</t>
        </is>
      </c>
    </row>
    <row r="2"/>
    <row r="4">
      <c r="A4" s="20" t="inlineStr">
        <is>
          <t>Enter customer details. VBA SAVE will append the record to Customers.</t>
        </is>
      </c>
    </row>
    <row r="6">
      <c r="A6" s="21" t="inlineStr">
        <is>
          <t>Customer ID</t>
        </is>
      </c>
      <c r="B6" s="22" t="inlineStr">
        <is>
          <t>C002</t>
        </is>
      </c>
    </row>
    <row r="7">
      <c r="A7" s="21" t="inlineStr">
        <is>
          <t>Customer Name</t>
        </is>
      </c>
      <c r="B7" s="22" t="inlineStr"/>
    </row>
    <row r="8">
      <c r="A8" s="21" t="inlineStr">
        <is>
          <t>Mobile</t>
        </is>
      </c>
      <c r="B8" s="22" t="inlineStr"/>
    </row>
    <row r="9">
      <c r="A9" s="21" t="inlineStr">
        <is>
          <t>Email</t>
        </is>
      </c>
      <c r="B9" s="22" t="inlineStr"/>
    </row>
    <row r="10">
      <c r="A10" s="21" t="inlineStr">
        <is>
          <t>Address</t>
        </is>
      </c>
      <c r="B10" s="22" t="inlineStr"/>
    </row>
    <row r="11">
      <c r="A11" s="21" t="inlineStr">
        <is>
          <t>GSTIN</t>
        </is>
      </c>
      <c r="B11" s="22" t="inlineStr"/>
    </row>
    <row r="12">
      <c r="A12" s="21" t="inlineStr">
        <is>
          <t>Opening Balance</t>
        </is>
      </c>
      <c r="B12" s="22" t="n">
        <v>0</v>
      </c>
    </row>
    <row r="13">
      <c r="A13" s="21" t="inlineStr">
        <is>
          <t>Credit Limit</t>
        </is>
      </c>
      <c r="B13" s="22" t="n">
        <v>0</v>
      </c>
    </row>
    <row r="14">
      <c r="A14" s="21" t="inlineStr">
        <is>
          <t>Status</t>
        </is>
      </c>
      <c r="B14" s="22" t="inlineStr">
        <is>
          <t>Active</t>
        </is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3">
    <mergeCell ref="B10:D10"/>
    <mergeCell ref="B11:D11"/>
    <mergeCell ref="A1:D2"/>
    <mergeCell ref="C20:D21"/>
    <mergeCell ref="B14:D14"/>
    <mergeCell ref="A20:B21"/>
    <mergeCell ref="A4:D4"/>
    <mergeCell ref="B8:D8"/>
    <mergeCell ref="B9:D9"/>
    <mergeCell ref="B13:D13"/>
    <mergeCell ref="B12:D12"/>
    <mergeCell ref="B7:D7"/>
    <mergeCell ref="B6:D6"/>
  </mergeCells>
  <dataValidations count="1">
    <dataValidation sqref="B14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NEW PRODUCT</t>
        </is>
      </c>
    </row>
    <row r="2"/>
    <row r="4">
      <c r="A4" s="20" t="inlineStr">
        <is>
          <t>Enter product details. Inventory is calculated from opening stock, purchases and sales.</t>
        </is>
      </c>
    </row>
    <row r="6">
      <c r="A6" s="21" t="inlineStr">
        <is>
          <t>Product ID</t>
        </is>
      </c>
      <c r="B6" s="22" t="inlineStr">
        <is>
          <t>P002</t>
        </is>
      </c>
    </row>
    <row r="7">
      <c r="A7" s="21" t="inlineStr">
        <is>
          <t>Product Name</t>
        </is>
      </c>
      <c r="B7" s="22" t="inlineStr"/>
    </row>
    <row r="8">
      <c r="A8" s="21" t="inlineStr">
        <is>
          <t>Category</t>
        </is>
      </c>
      <c r="B8" s="22" t="inlineStr"/>
    </row>
    <row r="9">
      <c r="A9" s="21" t="inlineStr">
        <is>
          <t>Unit</t>
        </is>
      </c>
      <c r="B9" s="22" t="inlineStr">
        <is>
          <t>Nos</t>
        </is>
      </c>
    </row>
    <row r="10">
      <c r="A10" s="21" t="inlineStr">
        <is>
          <t>Purchase Price</t>
        </is>
      </c>
      <c r="B10" s="22" t="n">
        <v>0</v>
      </c>
    </row>
    <row r="11">
      <c r="A11" s="21" t="inlineStr">
        <is>
          <t>Sale Price</t>
        </is>
      </c>
      <c r="B11" s="22" t="n">
        <v>0</v>
      </c>
    </row>
    <row r="12">
      <c r="A12" s="21" t="inlineStr">
        <is>
          <t>Opening Stock</t>
        </is>
      </c>
      <c r="B12" s="22" t="n">
        <v>0</v>
      </c>
    </row>
    <row r="13">
      <c r="A13" s="21" t="inlineStr">
        <is>
          <t>Reorder Level</t>
        </is>
      </c>
      <c r="B13" s="22" t="n">
        <v>10</v>
      </c>
    </row>
    <row r="14">
      <c r="A14" s="21" t="inlineStr">
        <is>
          <t>Status</t>
        </is>
      </c>
      <c r="B14" s="22" t="inlineStr">
        <is>
          <t>Active</t>
        </is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3">
    <mergeCell ref="B10:D10"/>
    <mergeCell ref="B11:D11"/>
    <mergeCell ref="A1:D2"/>
    <mergeCell ref="C20:D21"/>
    <mergeCell ref="B14:D14"/>
    <mergeCell ref="A20:B21"/>
    <mergeCell ref="A4:D4"/>
    <mergeCell ref="B8:D8"/>
    <mergeCell ref="B9:D9"/>
    <mergeCell ref="B13:D13"/>
    <mergeCell ref="B12:D12"/>
    <mergeCell ref="B7:D7"/>
    <mergeCell ref="B6:D6"/>
  </mergeCells>
  <dataValidations count="1">
    <dataValidation sqref="B14" showDropDown="0" showInputMessage="0" showErrorMessage="0" allowBlank="1" type="list">
      <formula1>"Active,Inactive"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NEW SALE</t>
        </is>
      </c>
    </row>
    <row r="2"/>
    <row r="4">
      <c r="A4" s="20" t="inlineStr">
        <is>
          <t>Sale total, balance and payment status are calculated automatically in Sales.</t>
        </is>
      </c>
    </row>
    <row r="6">
      <c r="A6" s="21" t="inlineStr">
        <is>
          <t>Sale ID</t>
        </is>
      </c>
      <c r="B6" s="22" t="inlineStr">
        <is>
          <t>S002</t>
        </is>
      </c>
    </row>
    <row r="7">
      <c r="A7" s="21" t="inlineStr">
        <is>
          <t>Date</t>
        </is>
      </c>
      <c r="B7" s="22" t="inlineStr">
        <is>
          <t>15-08-2026</t>
        </is>
      </c>
    </row>
    <row r="8">
      <c r="A8" s="21" t="inlineStr">
        <is>
          <t>Customer ID</t>
        </is>
      </c>
      <c r="B8" s="22" t="inlineStr">
        <is>
          <t>C001</t>
        </is>
      </c>
    </row>
    <row r="9">
      <c r="A9" s="21" t="inlineStr">
        <is>
          <t>Product ID</t>
        </is>
      </c>
      <c r="B9" s="22" t="inlineStr">
        <is>
          <t>P001</t>
        </is>
      </c>
    </row>
    <row r="10">
      <c r="A10" s="21" t="inlineStr">
        <is>
          <t>Quantity</t>
        </is>
      </c>
      <c r="B10" s="22" t="n">
        <v>1</v>
      </c>
    </row>
    <row r="11">
      <c r="A11" s="21" t="inlineStr">
        <is>
          <t>Rate</t>
        </is>
      </c>
      <c r="B11" s="22" t="n">
        <v>150</v>
      </c>
    </row>
    <row r="12">
      <c r="A12" s="21" t="inlineStr">
        <is>
          <t>Discount</t>
        </is>
      </c>
      <c r="B12" s="22" t="n">
        <v>0</v>
      </c>
    </row>
    <row r="13">
      <c r="A13" s="21" t="inlineStr">
        <is>
          <t>Tax</t>
        </is>
      </c>
      <c r="B13" s="22" t="n">
        <v>0</v>
      </c>
    </row>
    <row r="14">
      <c r="A14" s="21" t="inlineStr">
        <is>
          <t>Payment Received</t>
        </is>
      </c>
      <c r="B14" s="22" t="n">
        <v>0</v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3">
    <mergeCell ref="B10:D10"/>
    <mergeCell ref="B11:D11"/>
    <mergeCell ref="A1:D2"/>
    <mergeCell ref="C20:D21"/>
    <mergeCell ref="B14:D14"/>
    <mergeCell ref="A20:B21"/>
    <mergeCell ref="A4:D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NEW PURCHASE</t>
        </is>
      </c>
    </row>
    <row r="2"/>
    <row r="4">
      <c r="A4" s="20" t="inlineStr">
        <is>
          <t>Purchase total, supplier balance and payment status are calculated automatically.</t>
        </is>
      </c>
    </row>
    <row r="6">
      <c r="A6" s="21" t="inlineStr">
        <is>
          <t>Purchase ID</t>
        </is>
      </c>
      <c r="B6" s="22" t="inlineStr">
        <is>
          <t>PUR002</t>
        </is>
      </c>
    </row>
    <row r="7">
      <c r="A7" s="21" t="inlineStr">
        <is>
          <t>Date</t>
        </is>
      </c>
      <c r="B7" s="22" t="inlineStr">
        <is>
          <t>15-08-2026</t>
        </is>
      </c>
    </row>
    <row r="8">
      <c r="A8" s="21" t="inlineStr">
        <is>
          <t>Supplier ID</t>
        </is>
      </c>
      <c r="B8" s="22" t="inlineStr">
        <is>
          <t>SUP001</t>
        </is>
      </c>
    </row>
    <row r="9">
      <c r="A9" s="21" t="inlineStr">
        <is>
          <t>Product ID</t>
        </is>
      </c>
      <c r="B9" s="22" t="inlineStr">
        <is>
          <t>P001</t>
        </is>
      </c>
    </row>
    <row r="10">
      <c r="A10" s="21" t="inlineStr">
        <is>
          <t>Quantity</t>
        </is>
      </c>
      <c r="B10" s="22" t="n">
        <v>1</v>
      </c>
    </row>
    <row r="11">
      <c r="A11" s="21" t="inlineStr">
        <is>
          <t>Rate</t>
        </is>
      </c>
      <c r="B11" s="22" t="n">
        <v>100</v>
      </c>
    </row>
    <row r="12">
      <c r="A12" s="21" t="inlineStr">
        <is>
          <t>Tax</t>
        </is>
      </c>
      <c r="B12" s="22" t="n">
        <v>0</v>
      </c>
    </row>
    <row r="13">
      <c r="A13" s="21" t="inlineStr">
        <is>
          <t>Payment Made</t>
        </is>
      </c>
      <c r="B13" s="22" t="n">
        <v>0</v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2">
    <mergeCell ref="B10:D10"/>
    <mergeCell ref="B11:D11"/>
    <mergeCell ref="A1:D2"/>
    <mergeCell ref="C20:D21"/>
    <mergeCell ref="A20:B21"/>
    <mergeCell ref="A4:D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NEW EXPENSE</t>
        </is>
      </c>
    </row>
    <row r="2"/>
    <row r="4">
      <c r="A4" s="20" t="inlineStr">
        <is>
          <t>Record expenses for MIS and profit calculation.</t>
        </is>
      </c>
    </row>
    <row r="6">
      <c r="A6" s="21" t="inlineStr">
        <is>
          <t>Expense ID</t>
        </is>
      </c>
      <c r="B6" s="22" t="inlineStr">
        <is>
          <t>EXP002</t>
        </is>
      </c>
    </row>
    <row r="7">
      <c r="A7" s="21" t="inlineStr">
        <is>
          <t>Date</t>
        </is>
      </c>
      <c r="B7" s="22" t="inlineStr">
        <is>
          <t>15-08-2026</t>
        </is>
      </c>
    </row>
    <row r="8">
      <c r="A8" s="21" t="inlineStr">
        <is>
          <t>Category</t>
        </is>
      </c>
      <c r="B8" s="22" t="inlineStr">
        <is>
          <t>Office</t>
        </is>
      </c>
    </row>
    <row r="9">
      <c r="A9" s="21" t="inlineStr">
        <is>
          <t>Description</t>
        </is>
      </c>
      <c r="B9" s="22" t="inlineStr"/>
    </row>
    <row r="10">
      <c r="A10" s="21" t="inlineStr">
        <is>
          <t>Amount</t>
        </is>
      </c>
      <c r="B10" s="22" t="n">
        <v>0</v>
      </c>
    </row>
    <row r="11">
      <c r="A11" s="21" t="inlineStr">
        <is>
          <t>Payment Mode</t>
        </is>
      </c>
      <c r="B11" s="22" t="inlineStr">
        <is>
          <t>Cash</t>
        </is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0">
    <mergeCell ref="B10:D10"/>
    <mergeCell ref="B11:D11"/>
    <mergeCell ref="A1:D2"/>
    <mergeCell ref="C20:D21"/>
    <mergeCell ref="A20:B21"/>
    <mergeCell ref="A4:D4"/>
    <mergeCell ref="B8:D8"/>
    <mergeCell ref="B9:D9"/>
    <mergeCell ref="B7:D7"/>
    <mergeCell ref="B6:D6"/>
  </mergeCells>
  <dataValidations count="1">
    <dataValidation sqref="B11" showDropDown="0" showInputMessage="0" showErrorMessage="0" allowBlank="1" type="list">
      <formula1>"Cash,Bank,UPI,Card,Other"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RECEIVE / MAKE PAYMENT</t>
        </is>
      </c>
    </row>
    <row r="2"/>
    <row r="4">
      <c r="A4" s="20" t="inlineStr">
        <is>
          <t>Record a customer receipt or supplier payment.</t>
        </is>
      </c>
    </row>
    <row r="6">
      <c r="A6" s="21" t="inlineStr">
        <is>
          <t>Payment ID</t>
        </is>
      </c>
      <c r="B6" s="22" t="inlineStr">
        <is>
          <t>PAY002</t>
        </is>
      </c>
    </row>
    <row r="7">
      <c r="A7" s="21" t="inlineStr">
        <is>
          <t>Date</t>
        </is>
      </c>
      <c r="B7" s="22" t="inlineStr">
        <is>
          <t>15-08-2026</t>
        </is>
      </c>
    </row>
    <row r="8">
      <c r="A8" s="21" t="inlineStr">
        <is>
          <t>Party Type</t>
        </is>
      </c>
      <c r="B8" s="22" t="inlineStr">
        <is>
          <t>Customer</t>
        </is>
      </c>
    </row>
    <row r="9">
      <c r="A9" s="21" t="inlineStr">
        <is>
          <t>Party ID</t>
        </is>
      </c>
      <c r="B9" s="22" t="inlineStr">
        <is>
          <t>C001</t>
        </is>
      </c>
    </row>
    <row r="10">
      <c r="A10" s="21" t="inlineStr">
        <is>
          <t>Reference</t>
        </is>
      </c>
      <c r="B10" s="22" t="inlineStr"/>
    </row>
    <row r="11">
      <c r="A11" s="21" t="inlineStr">
        <is>
          <t>Amount</t>
        </is>
      </c>
      <c r="B11" s="22" t="n">
        <v>0</v>
      </c>
    </row>
    <row r="12">
      <c r="A12" s="21" t="inlineStr">
        <is>
          <t>Payment Mode</t>
        </is>
      </c>
      <c r="B12" s="22" t="inlineStr">
        <is>
          <t>Cash</t>
        </is>
      </c>
    </row>
    <row r="20">
      <c r="A20" s="23" t="inlineStr">
        <is>
          <t>SAVE</t>
        </is>
      </c>
      <c r="C20" s="3" t="inlineStr">
        <is>
          <t>CLEAR</t>
        </is>
      </c>
    </row>
    <row r="21"/>
  </sheetData>
  <mergeCells count="11">
    <mergeCell ref="B10:D10"/>
    <mergeCell ref="B11:D11"/>
    <mergeCell ref="A1:D2"/>
    <mergeCell ref="C20:D21"/>
    <mergeCell ref="A20:B21"/>
    <mergeCell ref="A4:D4"/>
    <mergeCell ref="B8:D8"/>
    <mergeCell ref="B9:D9"/>
    <mergeCell ref="B12:D12"/>
    <mergeCell ref="B7:D7"/>
    <mergeCell ref="B6:D6"/>
  </mergeCells>
  <dataValidations count="2">
    <dataValidation sqref="B8" showDropDown="0" showInputMessage="0" showErrorMessage="0" allowBlank="1" type="list">
      <formula1>"Customer,Supplier"</formula1>
    </dataValidation>
    <dataValidation sqref="B12" showDropDown="0" showInputMessage="0" showErrorMessage="0" allowBlank="1" type="list">
      <formula1>"Cash,Bank,UPI,Card,Other"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18" customWidth="1" min="7" max="7"/>
    <col width="12" customWidth="1" min="8" max="8"/>
  </cols>
  <sheetData>
    <row r="1">
      <c r="A1" s="1" t="inlineStr">
        <is>
          <t>SALES INVOICE</t>
        </is>
      </c>
    </row>
    <row r="2"/>
    <row r="4">
      <c r="A4" s="24" t="inlineStr">
        <is>
          <t>Invoice No.</t>
        </is>
      </c>
      <c r="B4" s="22">
        <f>SaleForm!B6</f>
        <v/>
      </c>
      <c r="E4" s="24" t="inlineStr">
        <is>
          <t>Date</t>
        </is>
      </c>
      <c r="F4" s="22">
        <f>SaleForm!B7</f>
        <v/>
      </c>
    </row>
    <row r="5">
      <c r="A5" s="24" t="inlineStr">
        <is>
          <t>Customer ID</t>
        </is>
      </c>
      <c r="B5" s="22">
        <f>SaleForm!B8</f>
        <v/>
      </c>
      <c r="E5" s="24" t="inlineStr">
        <is>
          <t>Customer Name</t>
        </is>
      </c>
      <c r="F5" s="22">
        <f>IFERROR(XLOOKUP(B5,Customers[CustomerID],Customers[CustomerName]),"")</f>
        <v/>
      </c>
    </row>
    <row r="6">
      <c r="A6" s="24" t="inlineStr">
        <is>
          <t>Mobile</t>
        </is>
      </c>
      <c r="B6" s="22">
        <f>IFERROR(XLOOKUP(B5,Customers[CustomerID],Customers[Mobile]),"")</f>
        <v/>
      </c>
    </row>
    <row r="8">
      <c r="A8" s="13" t="inlineStr">
        <is>
          <t>Product ID</t>
        </is>
      </c>
      <c r="B8" s="13" t="inlineStr">
        <is>
          <t>Description</t>
        </is>
      </c>
      <c r="C8" s="13" t="inlineStr">
        <is>
          <t>Qty</t>
        </is>
      </c>
      <c r="D8" s="13" t="inlineStr">
        <is>
          <t>Rate</t>
        </is>
      </c>
      <c r="E8" s="13" t="inlineStr">
        <is>
          <t>Discount</t>
        </is>
      </c>
      <c r="F8" s="13" t="inlineStr">
        <is>
          <t>Tax</t>
        </is>
      </c>
      <c r="G8" s="13" t="inlineStr">
        <is>
          <t>Net Amount</t>
        </is>
      </c>
    </row>
    <row r="9">
      <c r="A9">
        <f>SaleForm!B9</f>
        <v/>
      </c>
      <c r="B9">
        <f>IFERROR(XLOOKUP(A9,Products[ProductID],Products[ProductName]),"")</f>
        <v/>
      </c>
      <c r="C9">
        <f>SaleForm!B10</f>
        <v/>
      </c>
      <c r="D9">
        <f>SaleForm!B11</f>
        <v/>
      </c>
      <c r="E9">
        <f>SaleForm!B12</f>
        <v/>
      </c>
      <c r="F9">
        <f>SaleForm!B13</f>
        <v/>
      </c>
      <c r="G9">
        <f>C9*D9-E9+F9</f>
        <v/>
      </c>
    </row>
    <row r="20">
      <c r="F20" t="inlineStr">
        <is>
          <t>TOTAL</t>
        </is>
      </c>
      <c r="G20" s="10">
        <f>SUM(G9:G18)</f>
        <v/>
      </c>
    </row>
    <row r="22">
      <c r="A22" s="25" t="inlineStr">
        <is>
          <t>PDF EXPORT</t>
        </is>
      </c>
      <c r="D22" s="14" t="inlineStr">
        <is>
          <t>PRINT</t>
        </is>
      </c>
    </row>
    <row r="23"/>
  </sheetData>
  <mergeCells count="3">
    <mergeCell ref="A22:B23"/>
    <mergeCell ref="A1:H2"/>
    <mergeCell ref="D22:E23"/>
  </mergeCells>
  <pageMargins left="0.25" right="0.25" top="0.5" bottom="0.5" header="0.5" footer="0.5"/>
  <pageSetup orientation="portrait" fitToWidth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PAYMENT RECEIPT</t>
        </is>
      </c>
    </row>
    <row r="2"/>
    <row r="4">
      <c r="A4" s="24" t="inlineStr">
        <is>
          <t>Receipt No.</t>
        </is>
      </c>
      <c r="B4" s="22">
        <f>PaymentForm!B6</f>
        <v/>
      </c>
    </row>
    <row r="5">
      <c r="A5" s="24" t="inlineStr">
        <is>
          <t>Date</t>
        </is>
      </c>
      <c r="B5" s="22">
        <f>PaymentForm!B7</f>
        <v/>
      </c>
    </row>
    <row r="6">
      <c r="A6" s="24" t="inlineStr">
        <is>
          <t>Party Type</t>
        </is>
      </c>
      <c r="B6" s="22">
        <f>PaymentForm!B8</f>
        <v/>
      </c>
    </row>
    <row r="7">
      <c r="A7" s="24" t="inlineStr">
        <is>
          <t>Party ID</t>
        </is>
      </c>
      <c r="B7" s="22">
        <f>PaymentForm!B9</f>
        <v/>
      </c>
    </row>
    <row r="8">
      <c r="A8" s="24" t="inlineStr">
        <is>
          <t>Reference</t>
        </is>
      </c>
      <c r="B8" s="22">
        <f>PaymentForm!B10</f>
        <v/>
      </c>
    </row>
    <row r="9">
      <c r="A9" s="24" t="inlineStr">
        <is>
          <t>Amount</t>
        </is>
      </c>
      <c r="B9" s="26">
        <f>PaymentForm!B11</f>
        <v/>
      </c>
    </row>
    <row r="10">
      <c r="A10" s="24" t="inlineStr">
        <is>
          <t>Payment Mode</t>
        </is>
      </c>
      <c r="B10" s="22">
        <f>PaymentForm!B12</f>
        <v/>
      </c>
    </row>
    <row r="13">
      <c r="A13" s="25" t="inlineStr">
        <is>
          <t>PDF EXPORT</t>
        </is>
      </c>
      <c r="D13" s="14" t="inlineStr">
        <is>
          <t>PRINT</t>
        </is>
      </c>
    </row>
    <row r="14"/>
  </sheetData>
  <mergeCells count="3">
    <mergeCell ref="A13:B14"/>
    <mergeCell ref="A1:F2"/>
    <mergeCell ref="D13:E14"/>
  </mergeCells>
  <pageMargins left="0.75" right="0.75" top="1" bottom="1" header="0.5" footer="0.5"/>
  <pageSetup orientation="portrait" fitToWidth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V3 BUILD GUIDE</t>
        </is>
      </c>
    </row>
    <row r="2"/>
    <row r="4">
      <c r="A4" s="20" t="inlineStr">
        <is>
          <t>• Professional forms for Customer, Product, Sale, Purchase, Expense and Payment.</t>
        </is>
      </c>
    </row>
    <row r="5">
      <c r="A5" s="20" t="inlineStr">
        <is>
          <t>• Invoice template linked to SaleForm and master data.</t>
        </is>
      </c>
    </row>
    <row r="6">
      <c r="A6" s="20" t="inlineStr">
        <is>
          <t>• Receipt template linked to PaymentForm.</t>
        </is>
      </c>
    </row>
    <row r="7">
      <c r="A7" s="20" t="inlineStr">
        <is>
          <t>• Print areas and page setup prepared for PDF export.</t>
        </is>
      </c>
    </row>
    <row r="8">
      <c r="A8" s="20" t="inlineStr">
        <is>
          <t>• Dashboard and Data Entry navigation areas prepared.</t>
        </is>
      </c>
    </row>
    <row r="9">
      <c r="A9" s="20" t="inlineStr">
        <is>
          <t>• V2 formulas, inventory, receivables, payables and KPIs remain the foundation.</t>
        </is>
      </c>
    </row>
    <row r="10">
      <c r="A10" s="20" t="inlineStr">
        <is>
          <t>• Next automation stage: VBA buttons, Save/Clear, ID generation, validation, invoice PDF and receipt PDF.</t>
        </is>
      </c>
    </row>
  </sheetData>
  <mergeCells count="8">
    <mergeCell ref="A10:F10"/>
    <mergeCell ref="A5:F5"/>
    <mergeCell ref="A1:F2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2026-08-15T00:44:08Z</dcterms:created>
  <dcterms:modified xmlns:dcterms="http://purl.org/dc/terms/" xmlns:xsi="http://www.w3.org/2001/XMLSchema-instance" xsi:type="dcterms:W3CDTF">2026-08-15T00:45:33Z</dcterms:modified>
</cp:coreProperties>
</file>